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nsual" sheetId="1" r:id="rId5"/>
    <sheet state="visible" name="Balance Agosto" sheetId="2" r:id="rId6"/>
    <sheet state="visible" name="Calculo de cuotas prestamo" sheetId="3" r:id="rId7"/>
    <sheet state="visible" name="Hipoteca" sheetId="4" r:id="rId8"/>
    <sheet state="visible" name="Nomina Josue" sheetId="5" r:id="rId9"/>
    <sheet state="visible" name="Nomina Adi" sheetId="6" r:id="rId10"/>
    <sheet state="visible" name="Balance Abril" sheetId="7" r:id="rId11"/>
    <sheet state="visible" name="Balance Mayo" sheetId="8" r:id="rId12"/>
    <sheet state="visible" name="Balance Junio" sheetId="9" r:id="rId13"/>
    <sheet state="visible" name="Balance Julio" sheetId="10" r:id="rId14"/>
  </sheets>
  <definedNames/>
  <calcPr/>
</workbook>
</file>

<file path=xl/sharedStrings.xml><?xml version="1.0" encoding="utf-8"?>
<sst xmlns="http://schemas.openxmlformats.org/spreadsheetml/2006/main" count="675" uniqueCount="145">
  <si>
    <t>Date</t>
  </si>
  <si>
    <t>Principal</t>
  </si>
  <si>
    <t>Aug</t>
  </si>
  <si>
    <t>Sep</t>
  </si>
  <si>
    <t>Josue</t>
  </si>
  <si>
    <t>Gastos mensuales fijos</t>
  </si>
  <si>
    <t>Adi</t>
  </si>
  <si>
    <t>Fecha Inicio</t>
  </si>
  <si>
    <t>Fecha Final</t>
  </si>
  <si>
    <t>Prestamos</t>
  </si>
  <si>
    <t>Suscripciones</t>
  </si>
  <si>
    <t>Gastos Variables</t>
  </si>
  <si>
    <t>Gastos EuroC</t>
  </si>
  <si>
    <t>BBVA JGB Fijos</t>
  </si>
  <si>
    <t>BBVA AGL Fijos</t>
  </si>
  <si>
    <t>Gastos Comunes</t>
  </si>
  <si>
    <t>Ahorro/Inversiones</t>
  </si>
  <si>
    <t>Balance</t>
  </si>
  <si>
    <t>Ingresos Extra</t>
  </si>
  <si>
    <t>Salario</t>
  </si>
  <si>
    <t>Concepto</t>
  </si>
  <si>
    <t>Tasa</t>
  </si>
  <si>
    <t>Gasto</t>
  </si>
  <si>
    <t>BBVA JGB</t>
  </si>
  <si>
    <t>BBVA ADI</t>
  </si>
  <si>
    <t>Caja Rural</t>
  </si>
  <si>
    <t>Deuda Pendiente</t>
  </si>
  <si>
    <t>Gastos</t>
  </si>
  <si>
    <t>Netflix</t>
  </si>
  <si>
    <t>Años</t>
  </si>
  <si>
    <t>Hipoteca</t>
  </si>
  <si>
    <t>Prestamo BBVA JGB</t>
  </si>
  <si>
    <t>Meses</t>
  </si>
  <si>
    <t>Amazon</t>
  </si>
  <si>
    <t>Jan</t>
  </si>
  <si>
    <t>Ingresos</t>
  </si>
  <si>
    <t>Capital Personal</t>
  </si>
  <si>
    <t>Factor Aporte</t>
  </si>
  <si>
    <t>Comedor Colegio</t>
  </si>
  <si>
    <t>Cuota</t>
  </si>
  <si>
    <t>Kia Stonic</t>
  </si>
  <si>
    <t>Disney</t>
  </si>
  <si>
    <t>Feb</t>
  </si>
  <si>
    <t>Ingles</t>
  </si>
  <si>
    <t>AA Cetelem</t>
  </si>
  <si>
    <t>Con Coche</t>
  </si>
  <si>
    <t>Max</t>
  </si>
  <si>
    <t>Mar</t>
  </si>
  <si>
    <t>Basket</t>
  </si>
  <si>
    <t>Prestamo COFIDIS</t>
  </si>
  <si>
    <t>Spotify</t>
  </si>
  <si>
    <t>Apr</t>
  </si>
  <si>
    <t>Judo</t>
  </si>
  <si>
    <t>Prestamo CETELEM</t>
  </si>
  <si>
    <t>Hp Printer</t>
  </si>
  <si>
    <t>Hipoteca Pendiente</t>
  </si>
  <si>
    <t>BBVA JGB Var</t>
  </si>
  <si>
    <t>BBVA AGL Var</t>
  </si>
  <si>
    <t>May</t>
  </si>
  <si>
    <t>Total a Pagar</t>
  </si>
  <si>
    <t>Luz</t>
  </si>
  <si>
    <t>Seguro</t>
  </si>
  <si>
    <t>Office</t>
  </si>
  <si>
    <t>Seguro Vida</t>
  </si>
  <si>
    <t>Jun</t>
  </si>
  <si>
    <t>Gas</t>
  </si>
  <si>
    <t>Total sin Coche</t>
  </si>
  <si>
    <t>Subtotal</t>
  </si>
  <si>
    <t>Total</t>
  </si>
  <si>
    <t>Fin. Personal</t>
  </si>
  <si>
    <t>Jul</t>
  </si>
  <si>
    <t>Movil+internet</t>
  </si>
  <si>
    <t>Creditos</t>
  </si>
  <si>
    <t>Total Pendiente</t>
  </si>
  <si>
    <t>Cuota Def</t>
  </si>
  <si>
    <t>Agua</t>
  </si>
  <si>
    <t>Oct</t>
  </si>
  <si>
    <t>Por Amortizar</t>
  </si>
  <si>
    <t>Amortizado</t>
  </si>
  <si>
    <t>Nov</t>
  </si>
  <si>
    <t>Transferencias Mensuales</t>
  </si>
  <si>
    <t>Comunidad</t>
  </si>
  <si>
    <t>Seguros</t>
  </si>
  <si>
    <t>Dec</t>
  </si>
  <si>
    <t>Seguro Coche</t>
  </si>
  <si>
    <t>Totales</t>
  </si>
  <si>
    <t>Seguro Hogar</t>
  </si>
  <si>
    <t>To BBVA JGB</t>
  </si>
  <si>
    <t>Tranf BBVA - EuroC</t>
  </si>
  <si>
    <t>Sanitas Dental</t>
  </si>
  <si>
    <t>Amortizaciones</t>
  </si>
  <si>
    <t>to Ahorro</t>
  </si>
  <si>
    <t>Mant. Caldera</t>
  </si>
  <si>
    <t>Comision Tarjeta</t>
  </si>
  <si>
    <t>To ING</t>
  </si>
  <si>
    <t>Seguro Toyota</t>
  </si>
  <si>
    <t>Comision Tarj.</t>
  </si>
  <si>
    <t>Seguro Kia</t>
  </si>
  <si>
    <t>Gastos Propios</t>
  </si>
  <si>
    <t>Tarjeta Credito</t>
  </si>
  <si>
    <t>To Eurocaja</t>
  </si>
  <si>
    <t>Paga Carlos</t>
  </si>
  <si>
    <t>Gastos Extraordinarios</t>
  </si>
  <si>
    <t>Remesas</t>
  </si>
  <si>
    <t>DIA 15</t>
  </si>
  <si>
    <t>Gastos fijos</t>
  </si>
  <si>
    <t>Fijos Ejecutados</t>
  </si>
  <si>
    <t>Variables Ejecutados</t>
  </si>
  <si>
    <t>Total Ejecutado</t>
  </si>
  <si>
    <t>Limite Crediticio</t>
  </si>
  <si>
    <t>Costo Bonificacion Hipoteca</t>
  </si>
  <si>
    <t>Por Gastar fijos</t>
  </si>
  <si>
    <t>Por Gastar Variables</t>
  </si>
  <si>
    <t>Mensual</t>
  </si>
  <si>
    <t>Anual</t>
  </si>
  <si>
    <t>Saldo mes anterior</t>
  </si>
  <si>
    <t>Prevision</t>
  </si>
  <si>
    <t>Saldo acutal</t>
  </si>
  <si>
    <t>Dic</t>
  </si>
  <si>
    <t>Ene</t>
  </si>
  <si>
    <t>Subida</t>
  </si>
  <si>
    <t>Liquido</t>
  </si>
  <si>
    <t>Días Comedor</t>
  </si>
  <si>
    <t>Ticket Restaurant</t>
  </si>
  <si>
    <t>PE sin retención</t>
  </si>
  <si>
    <t>PE Con retencion</t>
  </si>
  <si>
    <t>Base SS</t>
  </si>
  <si>
    <t>Base AT y Des</t>
  </si>
  <si>
    <t>% IRPF</t>
  </si>
  <si>
    <t>IRPF</t>
  </si>
  <si>
    <t>SS</t>
  </si>
  <si>
    <t>A Percibir</t>
  </si>
  <si>
    <t>Contingencias</t>
  </si>
  <si>
    <t>Comunes</t>
  </si>
  <si>
    <t>MEI</t>
  </si>
  <si>
    <t>Formacion</t>
  </si>
  <si>
    <t>Desempleo</t>
  </si>
  <si>
    <t>&gt; 300.000 €</t>
  </si>
  <si>
    <t>TIcket Restaurant</t>
  </si>
  <si>
    <t>Pago en Especie</t>
  </si>
  <si>
    <t>Internet HB</t>
  </si>
  <si>
    <t>Prestamo Leroy M</t>
  </si>
  <si>
    <t>Presupuesto Fijo</t>
  </si>
  <si>
    <t>Presupuesto Variable</t>
  </si>
  <si>
    <t>Presupuesto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</si>
</sst>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/yyyy"/>
    <numFmt numFmtId="165" formatCode="#,##0.00\ [$€-1]"/>
    <numFmt numFmtId="166" formatCode="d/MM/yyyy"/>
    <numFmt numFmtId="167" formatCode="#,##0.00&quot;€&quot;"/>
    <numFmt numFmtId="168" formatCode="dd/mm/yyyy"/>
    <numFmt numFmtId="169" formatCode="mm&quot;/&quot;yyyy"/>
  </numFmts>
  <fonts count="16">
    <font>
      <sz val="10.0"/>
      <color rgb="FF000000"/>
      <name val="Arial"/>
      <scheme val="minor"/>
    </font>
    <font>
      <sz val="11.0"/>
      <color rgb="FF000000"/>
      <name val="&quot;Aptos Narrow&quot;"/>
    </font>
    <font>
      <sz val="11.0"/>
      <color theme="1"/>
      <name val="Arial"/>
      <scheme val="minor"/>
    </font>
    <font>
      <sz val="11.0"/>
      <color rgb="FF000000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b/>
      <sz val="10.0"/>
      <color theme="1"/>
      <name val="Arial"/>
      <scheme val="minor"/>
    </font>
    <font/>
    <font>
      <sz val="11.0"/>
      <color rgb="FF000000"/>
      <name val="&quot;Open Sans&quot;"/>
    </font>
    <font>
      <sz val="11.0"/>
      <color rgb="FF000000"/>
      <name val="Arial"/>
      <scheme val="minor"/>
    </font>
    <font>
      <sz val="10.0"/>
      <color rgb="FF000000"/>
      <name val="&quot;Aptos Narrow&quot;"/>
    </font>
    <font>
      <b/>
      <sz val="10.0"/>
      <color rgb="FF000000"/>
      <name val="Arial"/>
      <scheme val="minor"/>
    </font>
    <font>
      <sz val="10.0"/>
      <color rgb="FFFF0000"/>
      <name val="&quot;Aptos Narrow&quot;"/>
    </font>
    <font>
      <sz val="10.0"/>
      <color rgb="FF1155CC"/>
      <name val="&quot;Google Sans Mono&quot;"/>
    </font>
    <font>
      <color rgb="FF000000"/>
      <name val="Arial"/>
      <scheme val="minor"/>
    </font>
    <font>
      <sz val="10.0"/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FFE8E8"/>
        <bgColor rgb="FFFFE8E8"/>
      </patternFill>
    </fill>
    <fill>
      <patternFill patternType="solid">
        <fgColor rgb="FFD9EAD3"/>
        <bgColor rgb="FFD9EAD3"/>
      </patternFill>
    </fill>
    <fill>
      <patternFill patternType="solid">
        <fgColor rgb="FFCBF7F7"/>
        <bgColor rgb="FFCBF7F7"/>
      </patternFill>
    </fill>
    <fill>
      <patternFill patternType="solid">
        <fgColor rgb="FFD5F7CB"/>
        <bgColor rgb="FFD5F7CB"/>
      </patternFill>
    </fill>
    <fill>
      <patternFill patternType="solid">
        <fgColor rgb="FFF7CBCB"/>
        <bgColor rgb="FFF7CBCB"/>
      </patternFill>
    </fill>
    <fill>
      <patternFill patternType="solid">
        <fgColor theme="0"/>
        <bgColor theme="0"/>
      </patternFill>
    </fill>
  </fills>
  <borders count="22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FF0000"/>
      </top>
    </border>
    <border>
      <top style="thick">
        <color rgb="FFFF0000"/>
      </top>
    </border>
    <border>
      <left style="thick">
        <color rgb="FF000000"/>
      </left>
      <right style="thick">
        <color rgb="FF000000"/>
      </right>
      <bottom style="thick">
        <color rgb="FFFF0000"/>
      </bottom>
    </border>
    <border>
      <bottom style="thick">
        <color rgb="FFFF0000"/>
      </bottom>
    </border>
    <border>
      <left style="thick">
        <color rgb="FF000000"/>
      </left>
      <right style="thick">
        <color rgb="FF000000"/>
      </right>
      <top style="thick">
        <color rgb="FF00FF00"/>
      </top>
      <bottom style="thick">
        <color rgb="FF00FF00"/>
      </bottom>
    </border>
    <border>
      <top style="thick">
        <color rgb="FF00FF00"/>
      </top>
      <bottom style="thick">
        <color rgb="FF00FF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wrapText="0"/>
    </xf>
    <xf borderId="0" fillId="0" fontId="2" numFmtId="0" xfId="0" applyAlignment="1" applyFont="1">
      <alignment horizontal="center" readingOrder="0" vertical="bottom"/>
    </xf>
    <xf borderId="0" fillId="0" fontId="3" numFmtId="164" xfId="0" applyAlignment="1" applyFont="1" applyNumberFormat="1">
      <alignment horizontal="center" readingOrder="0" shrinkToFit="0" wrapText="0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 vertical="bottom"/>
    </xf>
    <xf borderId="1" fillId="0" fontId="6" numFmtId="165" xfId="0" applyAlignment="1" applyBorder="1" applyFont="1" applyNumberFormat="1">
      <alignment horizontal="center" readingOrder="0"/>
    </xf>
    <xf borderId="2" fillId="0" fontId="4" numFmtId="165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bottom"/>
    </xf>
    <xf borderId="3" fillId="0" fontId="6" numFmtId="165" xfId="0" applyAlignment="1" applyBorder="1" applyFont="1" applyNumberFormat="1">
      <alignment horizontal="center" readingOrder="0"/>
    </xf>
    <xf borderId="4" fillId="0" fontId="7" numFmtId="0" xfId="0" applyBorder="1" applyFont="1"/>
    <xf borderId="1" fillId="0" fontId="2" numFmtId="0" xfId="0" applyAlignment="1" applyBorder="1" applyFont="1">
      <alignment readingOrder="0"/>
    </xf>
    <xf borderId="0" fillId="2" fontId="8" numFmtId="167" xfId="0" applyAlignment="1" applyFill="1" applyFont="1" applyNumberFormat="1">
      <alignment horizontal="center" readingOrder="0" shrinkToFit="0" wrapText="0"/>
    </xf>
    <xf borderId="3" fillId="0" fontId="7" numFmtId="0" xfId="0" applyBorder="1" applyFont="1"/>
    <xf borderId="1" fillId="0" fontId="2" numFmtId="0" xfId="0" applyAlignment="1" applyBorder="1" applyFont="1">
      <alignment horizontal="center" readingOrder="0" vertical="bottom"/>
    </xf>
    <xf borderId="0" fillId="0" fontId="4" numFmtId="165" xfId="0" applyAlignment="1" applyFont="1" applyNumberFormat="1">
      <alignment horizontal="center"/>
    </xf>
    <xf borderId="0" fillId="0" fontId="5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5" fillId="3" fontId="6" numFmtId="165" xfId="0" applyAlignment="1" applyBorder="1" applyFill="1" applyFont="1" applyNumberFormat="1">
      <alignment horizontal="center" readingOrder="0"/>
    </xf>
    <xf borderId="0" fillId="0" fontId="2" numFmtId="0" xfId="0" applyFont="1"/>
    <xf borderId="6" fillId="0" fontId="4" numFmtId="165" xfId="0" applyAlignment="1" applyBorder="1" applyFont="1" applyNumberFormat="1">
      <alignment horizontal="center" readingOrder="0" vertical="center"/>
    </xf>
    <xf borderId="7" fillId="3" fontId="6" numFmtId="165" xfId="0" applyAlignment="1" applyBorder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 vertical="center"/>
    </xf>
    <xf borderId="0" fillId="0" fontId="9" numFmtId="0" xfId="0" applyAlignment="1" applyFont="1">
      <alignment horizontal="center" readingOrder="0" shrinkToFit="0" wrapText="0"/>
    </xf>
    <xf borderId="0" fillId="0" fontId="5" numFmtId="165" xfId="0" applyAlignment="1" applyFont="1" applyNumberFormat="1">
      <alignment horizontal="center" readingOrder="0"/>
    </xf>
    <xf borderId="7" fillId="0" fontId="4" numFmtId="165" xfId="0" applyAlignment="1" applyBorder="1" applyFont="1" applyNumberFormat="1">
      <alignment horizontal="center" readingOrder="0" vertical="center"/>
    </xf>
    <xf borderId="0" fillId="0" fontId="3" numFmtId="10" xfId="0" applyAlignment="1" applyFont="1" applyNumberFormat="1">
      <alignment horizontal="center" readingOrder="0" shrinkToFit="0" wrapText="0"/>
    </xf>
    <xf borderId="0" fillId="0" fontId="10" numFmtId="165" xfId="0" applyAlignment="1" applyFont="1" applyNumberFormat="1">
      <alignment horizontal="center" readingOrder="0" shrinkToFit="0" vertical="bottom" wrapText="0"/>
    </xf>
    <xf borderId="8" fillId="0" fontId="2" numFmtId="167" xfId="0" applyAlignment="1" applyBorder="1" applyFont="1" applyNumberFormat="1">
      <alignment horizontal="center" readingOrder="0" vertical="bottom"/>
    </xf>
    <xf borderId="0" fillId="0" fontId="2" numFmtId="168" xfId="0" applyAlignment="1" applyFont="1" applyNumberFormat="1">
      <alignment horizontal="center" readingOrder="0" vertical="bottom"/>
    </xf>
    <xf borderId="5" fillId="3" fontId="4" numFmtId="165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5" fillId="0" fontId="2" numFmtId="166" xfId="0" applyAlignment="1" applyBorder="1" applyFont="1" applyNumberFormat="1">
      <alignment horizontal="center" readingOrder="0" vertical="bottom"/>
    </xf>
    <xf borderId="0" fillId="0" fontId="5" numFmtId="165" xfId="0" applyAlignment="1" applyFont="1" applyNumberFormat="1">
      <alignment horizontal="center" readingOrder="0" vertical="center"/>
    </xf>
    <xf borderId="8" fillId="0" fontId="2" numFmtId="164" xfId="0" applyAlignment="1" applyBorder="1" applyFont="1" applyNumberFormat="1">
      <alignment horizontal="center" readingOrder="0" vertical="bottom"/>
    </xf>
    <xf borderId="5" fillId="0" fontId="2" numFmtId="164" xfId="0" applyAlignment="1" applyBorder="1" applyFont="1" applyNumberFormat="1">
      <alignment horizontal="center" readingOrder="0" vertical="bottom"/>
    </xf>
    <xf borderId="0" fillId="0" fontId="3" numFmtId="1" xfId="0" applyAlignment="1" applyFont="1" applyNumberFormat="1">
      <alignment horizontal="center" readingOrder="0" shrinkToFit="0" wrapText="0"/>
    </xf>
    <xf borderId="5" fillId="0" fontId="6" numFmtId="165" xfId="0" applyAlignment="1" applyBorder="1" applyFont="1" applyNumberFormat="1">
      <alignment horizontal="center" readingOrder="0"/>
    </xf>
    <xf borderId="7" fillId="0" fontId="6" numFmtId="165" xfId="0" applyAlignment="1" applyBorder="1" applyFont="1" applyNumberFormat="1">
      <alignment horizontal="center" readingOrder="0"/>
    </xf>
    <xf borderId="0" fillId="2" fontId="9" numFmtId="167" xfId="0" applyAlignment="1" applyFont="1" applyNumberFormat="1">
      <alignment horizontal="center" readingOrder="0" shrinkToFit="0" wrapText="0"/>
    </xf>
    <xf borderId="0" fillId="0" fontId="1" numFmtId="167" xfId="0" applyAlignment="1" applyFont="1" applyNumberFormat="1">
      <alignment horizontal="center" readingOrder="0" shrinkToFit="0" wrapText="0"/>
    </xf>
    <xf borderId="0" fillId="0" fontId="2" numFmtId="165" xfId="0" applyAlignment="1" applyFont="1" applyNumberFormat="1">
      <alignment horizontal="center" readingOrder="0" vertical="bottom"/>
    </xf>
    <xf borderId="9" fillId="0" fontId="2" numFmtId="0" xfId="0" applyAlignment="1" applyBorder="1" applyFont="1">
      <alignment horizontal="center" vertical="bottom"/>
    </xf>
    <xf borderId="5" fillId="0" fontId="4" numFmtId="10" xfId="0" applyAlignment="1" applyBorder="1" applyFont="1" applyNumberFormat="1">
      <alignment horizontal="center"/>
    </xf>
    <xf borderId="10" fillId="0" fontId="2" numFmtId="10" xfId="0" applyAlignment="1" applyBorder="1" applyFont="1" applyNumberFormat="1">
      <alignment horizontal="center" readingOrder="0" vertical="bottom"/>
    </xf>
    <xf borderId="0" fillId="0" fontId="2" numFmtId="167" xfId="0" applyAlignment="1" applyFont="1" applyNumberFormat="1">
      <alignment horizontal="center"/>
    </xf>
    <xf borderId="7" fillId="0" fontId="2" numFmtId="168" xfId="0" applyAlignment="1" applyBorder="1" applyFont="1" applyNumberFormat="1">
      <alignment horizontal="center" readingOrder="0" vertical="bottom"/>
    </xf>
    <xf borderId="7" fillId="0" fontId="4" numFmtId="10" xfId="0" applyAlignment="1" applyBorder="1" applyFont="1" applyNumberFormat="1">
      <alignment horizontal="center"/>
    </xf>
    <xf borderId="5" fillId="4" fontId="6" numFmtId="165" xfId="0" applyAlignment="1" applyBorder="1" applyFill="1" applyFont="1" applyNumberFormat="1">
      <alignment horizontal="center" readingOrder="0"/>
    </xf>
    <xf borderId="0" fillId="0" fontId="2" numFmtId="165" xfId="0" applyAlignment="1" applyFont="1" applyNumberFormat="1">
      <alignment horizontal="center" vertical="bottom"/>
    </xf>
    <xf borderId="7" fillId="4" fontId="6" numFmtId="165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 vertical="bottom"/>
    </xf>
    <xf borderId="1" fillId="0" fontId="2" numFmtId="165" xfId="0" applyAlignment="1" applyBorder="1" applyFont="1" applyNumberFormat="1">
      <alignment horizontal="center" readingOrder="0" vertical="bottom"/>
    </xf>
    <xf borderId="5" fillId="0" fontId="2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/>
    </xf>
    <xf borderId="0" fillId="0" fontId="9" numFmtId="10" xfId="0" applyAlignment="1" applyFont="1" applyNumberFormat="1">
      <alignment horizontal="center" readingOrder="0" shrinkToFit="0" wrapText="0"/>
    </xf>
    <xf borderId="5" fillId="4" fontId="6" numFmtId="165" xfId="0" applyAlignment="1" applyBorder="1" applyFont="1" applyNumberFormat="1">
      <alignment horizontal="center"/>
    </xf>
    <xf borderId="7" fillId="4" fontId="11" numFmtId="165" xfId="0" applyAlignment="1" applyBorder="1" applyFont="1" applyNumberFormat="1">
      <alignment horizontal="center"/>
    </xf>
    <xf borderId="0" fillId="5" fontId="4" numFmtId="165" xfId="0" applyAlignment="1" applyFill="1" applyFont="1" applyNumberFormat="1">
      <alignment horizontal="center" readingOrder="0" vertical="center"/>
    </xf>
    <xf borderId="8" fillId="0" fontId="2" numFmtId="165" xfId="0" applyAlignment="1" applyBorder="1" applyFont="1" applyNumberFormat="1">
      <alignment horizontal="center" vertical="bottom"/>
    </xf>
    <xf borderId="8" fillId="0" fontId="2" numFmtId="165" xfId="0" applyAlignment="1" applyBorder="1" applyFont="1" applyNumberFormat="1">
      <alignment horizontal="center" readingOrder="0"/>
    </xf>
    <xf borderId="5" fillId="0" fontId="2" numFmtId="0" xfId="0" applyBorder="1" applyFont="1"/>
    <xf borderId="0" fillId="5" fontId="4" numFmtId="165" xfId="0" applyAlignment="1" applyFont="1" applyNumberFormat="1">
      <alignment horizontal="center" vertical="center"/>
    </xf>
    <xf borderId="0" fillId="5" fontId="5" numFmtId="0" xfId="0" applyAlignment="1" applyFont="1">
      <alignment horizontal="center" readingOrder="0"/>
    </xf>
    <xf borderId="0" fillId="5" fontId="5" numFmtId="165" xfId="0" applyAlignment="1" applyFont="1" applyNumberFormat="1">
      <alignment horizontal="center"/>
    </xf>
    <xf borderId="5" fillId="6" fontId="6" numFmtId="165" xfId="0" applyAlignment="1" applyBorder="1" applyFill="1" applyFont="1" applyNumberFormat="1">
      <alignment horizontal="center" readingOrder="0"/>
    </xf>
    <xf borderId="6" fillId="0" fontId="5" numFmtId="0" xfId="0" applyAlignment="1" applyBorder="1" applyFont="1">
      <alignment horizontal="center" readingOrder="0" vertical="center"/>
    </xf>
    <xf borderId="7" fillId="0" fontId="5" numFmtId="165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/>
    </xf>
    <xf borderId="0" fillId="0" fontId="4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/>
    </xf>
    <xf borderId="8" fillId="6" fontId="6" numFmtId="165" xfId="0" applyAlignment="1" applyBorder="1" applyFont="1" applyNumberFormat="1">
      <alignment horizontal="center"/>
    </xf>
    <xf borderId="11" fillId="0" fontId="2" numFmtId="165" xfId="0" applyAlignment="1" applyBorder="1" applyFont="1" applyNumberFormat="1">
      <alignment horizontal="center" readingOrder="0" vertical="bottom"/>
    </xf>
    <xf borderId="12" fillId="6" fontId="6" numFmtId="165" xfId="0" applyAlignment="1" applyBorder="1" applyFont="1" applyNumberFormat="1">
      <alignment horizontal="center"/>
    </xf>
    <xf borderId="12" fillId="0" fontId="2" numFmtId="165" xfId="0" applyAlignment="1" applyBorder="1" applyFont="1" applyNumberFormat="1">
      <alignment horizontal="center"/>
    </xf>
    <xf borderId="0" fillId="2" fontId="5" numFmtId="0" xfId="0" applyAlignment="1" applyFont="1">
      <alignment horizontal="center" readingOrder="0"/>
    </xf>
    <xf borderId="0" fillId="2" fontId="5" numFmtId="10" xfId="0" applyAlignment="1" applyFont="1" applyNumberFormat="1">
      <alignment horizontal="center"/>
    </xf>
    <xf borderId="0" fillId="0" fontId="9" numFmtId="1" xfId="0" applyAlignment="1" applyFont="1" applyNumberFormat="1">
      <alignment horizontal="center" readingOrder="0" shrinkToFit="0" wrapText="0"/>
    </xf>
    <xf borderId="1" fillId="0" fontId="2" numFmtId="165" xfId="0" applyAlignment="1" applyBorder="1" applyFont="1" applyNumberFormat="1">
      <alignment horizontal="center" readingOrder="0"/>
    </xf>
    <xf borderId="5" fillId="0" fontId="2" numFmtId="165" xfId="0" applyAlignment="1" applyBorder="1" applyFont="1" applyNumberFormat="1">
      <alignment horizontal="center"/>
    </xf>
    <xf borderId="0" fillId="0" fontId="2" numFmtId="167" xfId="0" applyAlignment="1" applyFont="1" applyNumberFormat="1">
      <alignment horizontal="center" vertical="bottom"/>
    </xf>
    <xf borderId="6" fillId="0" fontId="5" numFmtId="0" xfId="0" applyAlignment="1" applyBorder="1" applyFont="1">
      <alignment horizontal="center" readingOrder="0"/>
    </xf>
    <xf borderId="8" fillId="7" fontId="2" numFmtId="165" xfId="0" applyAlignment="1" applyBorder="1" applyFill="1" applyFont="1" applyNumberFormat="1">
      <alignment horizontal="center" vertical="bottom"/>
    </xf>
    <xf borderId="7" fillId="0" fontId="5" numFmtId="165" xfId="0" applyAlignment="1" applyBorder="1" applyFont="1" applyNumberFormat="1">
      <alignment horizontal="center" readingOrder="0"/>
    </xf>
    <xf borderId="13" fillId="8" fontId="2" numFmtId="165" xfId="0" applyAlignment="1" applyBorder="1" applyFill="1" applyFont="1" applyNumberFormat="1">
      <alignment horizontal="center"/>
    </xf>
    <xf borderId="8" fillId="0" fontId="2" numFmtId="165" xfId="0" applyAlignment="1" applyBorder="1" applyFont="1" applyNumberFormat="1">
      <alignment horizontal="center"/>
    </xf>
    <xf borderId="0" fillId="0" fontId="9" numFmtId="167" xfId="0" applyAlignment="1" applyFont="1" applyNumberFormat="1">
      <alignment horizontal="center" readingOrder="0" shrinkToFit="0" wrapText="0"/>
    </xf>
    <xf borderId="9" fillId="0" fontId="2" numFmtId="165" xfId="0" applyAlignment="1" applyBorder="1" applyFont="1" applyNumberFormat="1">
      <alignment horizontal="center" readingOrder="0"/>
    </xf>
    <xf borderId="14" fillId="0" fontId="7" numFmtId="0" xfId="0" applyBorder="1" applyFont="1"/>
    <xf borderId="10" fillId="0" fontId="7" numFmtId="0" xfId="0" applyBorder="1" applyFont="1"/>
    <xf borderId="2" fillId="0" fontId="2" numFmtId="165" xfId="0" applyAlignment="1" applyBorder="1" applyFont="1" applyNumberFormat="1">
      <alignment horizontal="center" readingOrder="0"/>
    </xf>
    <xf borderId="0" fillId="0" fontId="4" numFmtId="0" xfId="0" applyFont="1"/>
    <xf borderId="0" fillId="0" fontId="5" numFmtId="169" xfId="0" applyAlignment="1" applyFont="1" applyNumberFormat="1">
      <alignment horizontal="center"/>
    </xf>
    <xf borderId="6" fillId="0" fontId="2" numFmtId="166" xfId="0" applyAlignment="1" applyBorder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7" fillId="0" fontId="4" numFmtId="165" xfId="0" applyAlignment="1" applyBorder="1" applyFont="1" applyNumberFormat="1">
      <alignment horizontal="center"/>
    </xf>
    <xf borderId="7" fillId="0" fontId="2" numFmtId="165" xfId="0" applyAlignment="1" applyBorder="1" applyFont="1" applyNumberFormat="1">
      <alignment horizontal="center"/>
    </xf>
    <xf borderId="2" fillId="0" fontId="2" numFmtId="166" xfId="0" applyAlignment="1" applyBorder="1" applyFont="1" applyNumberFormat="1">
      <alignment horizontal="center" readingOrder="0" vertical="bottom"/>
    </xf>
    <xf borderId="4" fillId="0" fontId="2" numFmtId="165" xfId="0" applyAlignment="1" applyBorder="1" applyFont="1" applyNumberFormat="1">
      <alignment horizontal="center" readingOrder="0" vertical="bottom"/>
    </xf>
    <xf borderId="0" fillId="0" fontId="12" numFmtId="165" xfId="0" applyAlignment="1" applyFont="1" applyNumberFormat="1">
      <alignment horizontal="center" readingOrder="0" shrinkToFit="0" vertical="bottom" wrapText="0"/>
    </xf>
    <xf borderId="3" fillId="0" fontId="2" numFmtId="165" xfId="0" applyAlignment="1" applyBorder="1" applyFont="1" applyNumberFormat="1">
      <alignment horizontal="center" readingOrder="0"/>
    </xf>
    <xf borderId="0" fillId="0" fontId="4" numFmtId="169" xfId="0" applyAlignment="1" applyFont="1" applyNumberFormat="1">
      <alignment horizontal="center"/>
    </xf>
    <xf borderId="11" fillId="0" fontId="5" numFmtId="0" xfId="0" applyAlignment="1" applyBorder="1" applyFont="1">
      <alignment horizontal="center" readingOrder="0"/>
    </xf>
    <xf borderId="13" fillId="0" fontId="5" numFmtId="165" xfId="0" applyAlignment="1" applyBorder="1" applyFont="1" applyNumberFormat="1">
      <alignment horizontal="center" readingOrder="0" vertical="center"/>
    </xf>
    <xf borderId="13" fillId="0" fontId="4" numFmtId="165" xfId="0" applyAlignment="1" applyBorder="1" applyFont="1" applyNumberFormat="1">
      <alignment horizontal="center" readingOrder="0"/>
    </xf>
    <xf borderId="0" fillId="0" fontId="4" numFmtId="166" xfId="0" applyAlignment="1" applyFont="1" applyNumberFormat="1">
      <alignment horizontal="center"/>
    </xf>
    <xf borderId="12" fillId="0" fontId="5" numFmtId="165" xfId="0" applyAlignment="1" applyBorder="1" applyFont="1" applyNumberFormat="1">
      <alignment horizontal="center" readingOrder="0"/>
    </xf>
    <xf borderId="0" fillId="2" fontId="13" numFmtId="165" xfId="0" applyAlignment="1" applyFont="1" applyNumberFormat="1">
      <alignment readingOrder="0"/>
    </xf>
    <xf borderId="2" fillId="9" fontId="4" numFmtId="165" xfId="0" applyAlignment="1" applyBorder="1" applyFill="1" applyFont="1" applyNumberFormat="1">
      <alignment horizontal="center" readingOrder="0" vertical="center"/>
    </xf>
    <xf borderId="4" fillId="9" fontId="4" numFmtId="165" xfId="0" applyAlignment="1" applyBorder="1" applyFont="1" applyNumberFormat="1">
      <alignment horizontal="center" vertical="center"/>
    </xf>
    <xf borderId="3" fillId="9" fontId="4" numFmtId="165" xfId="0" applyAlignment="1" applyBorder="1" applyFont="1" applyNumberFormat="1">
      <alignment horizontal="center" vertical="center"/>
    </xf>
    <xf borderId="6" fillId="0" fontId="2" numFmtId="166" xfId="0" applyAlignment="1" applyBorder="1" applyFont="1" applyNumberFormat="1">
      <alignment horizontal="center" readingOrder="0" vertical="bottom"/>
    </xf>
    <xf borderId="0" fillId="2" fontId="4" numFmtId="0" xfId="0" applyAlignment="1" applyFont="1">
      <alignment horizontal="center" readingOrder="0"/>
    </xf>
    <xf borderId="0" fillId="2" fontId="4" numFmtId="165" xfId="0" applyAlignment="1" applyFont="1" applyNumberFormat="1">
      <alignment horizontal="center" vertical="center"/>
    </xf>
    <xf borderId="0" fillId="2" fontId="4" numFmtId="0" xfId="0" applyAlignment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0" fillId="10" fontId="5" numFmtId="165" xfId="0" applyAlignment="1" applyFont="1" applyNumberFormat="1">
      <alignment horizontal="center"/>
    </xf>
    <xf borderId="0" fillId="10" fontId="5" numFmtId="165" xfId="0" applyAlignment="1" applyFont="1" applyNumberFormat="1">
      <alignment horizontal="center" readingOrder="0"/>
    </xf>
    <xf borderId="7" fillId="10" fontId="5" numFmtId="165" xfId="0" applyAlignment="1" applyBorder="1" applyFont="1" applyNumberFormat="1">
      <alignment horizontal="center" readingOrder="0"/>
    </xf>
    <xf borderId="11" fillId="11" fontId="5" numFmtId="0" xfId="0" applyAlignment="1" applyBorder="1" applyFill="1" applyFont="1">
      <alignment horizontal="center" readingOrder="0" vertical="center"/>
    </xf>
    <xf borderId="13" fillId="11" fontId="5" numFmtId="165" xfId="0" applyAlignment="1" applyBorder="1" applyFont="1" applyNumberFormat="1">
      <alignment horizontal="center" vertical="center"/>
    </xf>
    <xf borderId="12" fillId="11" fontId="5" numFmtId="165" xfId="0" applyAlignment="1" applyBorder="1" applyFont="1" applyNumberFormat="1">
      <alignment horizontal="center" vertical="center"/>
    </xf>
    <xf borderId="0" fillId="0" fontId="2" numFmtId="0" xfId="0" applyAlignment="1" applyFont="1">
      <alignment readingOrder="0"/>
    </xf>
    <xf borderId="6" fillId="10" fontId="4" numFmtId="0" xfId="0" applyAlignment="1" applyBorder="1" applyFont="1">
      <alignment horizontal="center" readingOrder="0"/>
    </xf>
    <xf borderId="0" fillId="10" fontId="4" numFmtId="165" xfId="0" applyAlignment="1" applyFont="1" applyNumberFormat="1">
      <alignment horizontal="center"/>
    </xf>
    <xf borderId="0" fillId="10" fontId="4" numFmtId="165" xfId="0" applyAlignment="1" applyFont="1" applyNumberFormat="1">
      <alignment horizontal="center" readingOrder="0"/>
    </xf>
    <xf borderId="7" fillId="10" fontId="4" numFmtId="165" xfId="0" applyAlignment="1" applyBorder="1" applyFont="1" applyNumberFormat="1">
      <alignment horizontal="center" readingOrder="0"/>
    </xf>
    <xf borderId="11" fillId="11" fontId="4" numFmtId="0" xfId="0" applyAlignment="1" applyBorder="1" applyFont="1">
      <alignment horizontal="center" readingOrder="0" vertical="center"/>
    </xf>
    <xf borderId="13" fillId="11" fontId="4" numFmtId="165" xfId="0" applyAlignment="1" applyBorder="1" applyFont="1" applyNumberFormat="1">
      <alignment horizontal="center" vertical="center"/>
    </xf>
    <xf borderId="12" fillId="11" fontId="4" numFmtId="165" xfId="0" applyAlignment="1" applyBorder="1" applyFont="1" applyNumberFormat="1">
      <alignment horizontal="center" vertical="center"/>
    </xf>
    <xf borderId="0" fillId="0" fontId="4" numFmtId="165" xfId="0" applyAlignment="1" applyFont="1" applyNumberFormat="1">
      <alignment horizontal="center" vertical="center"/>
    </xf>
    <xf borderId="0" fillId="12" fontId="4" numFmtId="165" xfId="0" applyAlignment="1" applyFill="1" applyFont="1" applyNumberFormat="1">
      <alignment horizontal="center"/>
    </xf>
    <xf borderId="0" fillId="5" fontId="4" numFmtId="165" xfId="0" applyAlignment="1" applyFont="1" applyNumberFormat="1">
      <alignment horizontal="center" readingOrder="0"/>
    </xf>
    <xf borderId="15" fillId="0" fontId="5" numFmtId="0" xfId="0" applyAlignment="1" applyBorder="1" applyFont="1">
      <alignment horizontal="center" readingOrder="0"/>
    </xf>
    <xf borderId="14" fillId="0" fontId="5" numFmtId="165" xfId="0" applyAlignment="1" applyBorder="1" applyFont="1" applyNumberFormat="1">
      <alignment horizontal="center" readingOrder="0"/>
    </xf>
    <xf borderId="5" fillId="0" fontId="5" numFmtId="0" xfId="0" applyAlignment="1" applyBorder="1" applyFont="1">
      <alignment readingOrder="0"/>
    </xf>
    <xf borderId="5" fillId="0" fontId="5" numFmtId="165" xfId="0" applyAlignment="1" applyBorder="1" applyFont="1" applyNumberFormat="1">
      <alignment horizontal="center" readingOrder="0"/>
    </xf>
    <xf borderId="5" fillId="0" fontId="5" numFmtId="0" xfId="0" applyAlignment="1" applyBorder="1" applyFont="1">
      <alignment horizontal="center" readingOrder="0"/>
    </xf>
    <xf borderId="16" fillId="0" fontId="5" numFmtId="165" xfId="0" applyAlignment="1" applyBorder="1" applyFont="1" applyNumberFormat="1">
      <alignment horizontal="center" readingOrder="0"/>
    </xf>
    <xf borderId="17" fillId="0" fontId="5" numFmtId="10" xfId="0" applyAlignment="1" applyBorder="1" applyFont="1" applyNumberFormat="1">
      <alignment horizontal="center" readingOrder="0"/>
    </xf>
    <xf borderId="18" fillId="0" fontId="5" numFmtId="165" xfId="0" applyAlignment="1" applyBorder="1" applyFont="1" applyNumberFormat="1">
      <alignment horizontal="center" readingOrder="0"/>
    </xf>
    <xf borderId="19" fillId="0" fontId="5" numFmtId="165" xfId="0" applyAlignment="1" applyBorder="1" applyFont="1" applyNumberFormat="1">
      <alignment horizontal="center"/>
    </xf>
    <xf borderId="20" fillId="0" fontId="5" numFmtId="165" xfId="0" applyAlignment="1" applyBorder="1" applyFont="1" applyNumberFormat="1">
      <alignment horizontal="center" readingOrder="0"/>
    </xf>
    <xf borderId="21" fillId="0" fontId="5" numFmtId="165" xfId="0" applyAlignment="1" applyBorder="1" applyFont="1" applyNumberFormat="1">
      <alignment horizontal="center" readingOrder="0"/>
    </xf>
    <xf borderId="8" fillId="0" fontId="5" numFmtId="0" xfId="0" applyAlignment="1" applyBorder="1" applyFont="1">
      <alignment horizontal="center"/>
    </xf>
    <xf borderId="13" fillId="0" fontId="5" numFmtId="10" xfId="0" applyAlignment="1" applyBorder="1" applyFont="1" applyNumberFormat="1">
      <alignment horizontal="center"/>
    </xf>
    <xf borderId="0" fillId="0" fontId="5" numFmtId="10" xfId="0" applyAlignment="1" applyFont="1" applyNumberFormat="1">
      <alignment horizontal="center" readingOrder="0"/>
    </xf>
    <xf borderId="0" fillId="0" fontId="14" numFmtId="165" xfId="0" applyAlignment="1" applyFont="1" applyNumberFormat="1">
      <alignment horizontal="center" readingOrder="0"/>
    </xf>
    <xf borderId="0" fillId="0" fontId="14" numFmtId="10" xfId="0" applyAlignment="1" applyFont="1" applyNumberFormat="1">
      <alignment horizontal="center" readingOrder="0"/>
    </xf>
    <xf borderId="0" fillId="0" fontId="5" numFmtId="10" xfId="0" applyAlignment="1" applyFont="1" applyNumberFormat="1">
      <alignment horizontal="center"/>
    </xf>
    <xf borderId="0" fillId="0" fontId="15" numFmtId="165" xfId="0" applyAlignment="1" applyFont="1" applyNumberFormat="1">
      <alignment horizontal="center" readingOrder="0" shrinkToFit="0" vertical="bottom" wrapText="0"/>
    </xf>
    <xf borderId="0" fillId="5" fontId="4" numFmtId="0" xfId="0" applyAlignment="1" applyFont="1">
      <alignment horizontal="center" readingOrder="0"/>
    </xf>
    <xf borderId="0" fillId="5" fontId="4" numFmtId="165" xfId="0" applyAlignment="1" applyFont="1" applyNumberFormat="1">
      <alignment horizontal="center"/>
    </xf>
    <xf borderId="0" fillId="2" fontId="4" numFmtId="10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2" max="2" width="14.88"/>
    <col customWidth="1" min="3" max="3" width="10.75"/>
    <col customWidth="1" min="4" max="5" width="14.88"/>
    <col customWidth="1" min="6" max="6" width="2.25"/>
    <col customWidth="1" min="7" max="7" width="18.25"/>
    <col customWidth="1" min="8" max="8" width="8.88"/>
    <col customWidth="1" min="9" max="9" width="9.0"/>
    <col customWidth="1" min="10" max="10" width="8.5"/>
    <col customWidth="1" min="11" max="11" width="10.5"/>
    <col customWidth="1" min="12" max="12" width="2.13"/>
    <col customWidth="1" min="13" max="13" width="16.5"/>
    <col customWidth="1" min="14" max="14" width="9.63"/>
    <col customWidth="1" min="15" max="15" width="11.75"/>
    <col customWidth="1" min="16" max="16" width="10.63"/>
  </cols>
  <sheetData>
    <row r="1">
      <c r="A1" s="5" t="s">
        <v>3</v>
      </c>
      <c r="C1" s="7"/>
      <c r="D1" s="12" t="s">
        <v>4</v>
      </c>
      <c r="E1" s="15" t="s">
        <v>6</v>
      </c>
      <c r="F1" s="9"/>
      <c r="G1" s="13" t="s">
        <v>5</v>
      </c>
      <c r="H1" s="16"/>
      <c r="I1" s="16"/>
      <c r="J1" s="16"/>
      <c r="K1" s="19"/>
      <c r="L1" s="21"/>
      <c r="M1" s="22" t="s">
        <v>9</v>
      </c>
      <c r="O1" s="22" t="s">
        <v>10</v>
      </c>
      <c r="Q1" s="21"/>
      <c r="R1" s="21"/>
      <c r="S1" s="7"/>
      <c r="T1" s="7"/>
      <c r="U1" s="21"/>
      <c r="V1" s="21"/>
      <c r="W1" s="21"/>
      <c r="X1" s="7"/>
      <c r="Y1" s="21"/>
    </row>
    <row r="2">
      <c r="A2" s="7" t="s">
        <v>15</v>
      </c>
      <c r="B2" s="7" t="s">
        <v>16</v>
      </c>
      <c r="C2" s="7"/>
      <c r="D2" s="24" t="s">
        <v>19</v>
      </c>
      <c r="E2" s="27" t="s">
        <v>19</v>
      </c>
      <c r="F2" s="9"/>
      <c r="G2" s="26" t="s">
        <v>20</v>
      </c>
      <c r="H2" s="28" t="s">
        <v>22</v>
      </c>
      <c r="I2" s="30" t="s">
        <v>23</v>
      </c>
      <c r="J2" s="7" t="s">
        <v>24</v>
      </c>
      <c r="K2" s="31" t="s">
        <v>25</v>
      </c>
      <c r="L2" s="21"/>
      <c r="M2" s="28" t="s">
        <v>20</v>
      </c>
      <c r="N2" s="28" t="s">
        <v>27</v>
      </c>
      <c r="O2" s="7" t="s">
        <v>28</v>
      </c>
      <c r="P2" s="7">
        <v>14.99</v>
      </c>
      <c r="Q2" s="21"/>
      <c r="R2" s="21"/>
      <c r="S2" s="5"/>
      <c r="T2" s="28"/>
      <c r="U2" s="21"/>
      <c r="V2" s="21"/>
      <c r="W2" s="21"/>
      <c r="X2" s="7"/>
      <c r="Y2" s="21"/>
    </row>
    <row r="3">
      <c r="A3" s="7">
        <f>H27</f>
        <v>4785.12</v>
      </c>
      <c r="B3" s="7">
        <f>A5-A3-B5</f>
        <v>66.22</v>
      </c>
      <c r="C3" s="21"/>
      <c r="D3" s="36">
        <v>1953.79</v>
      </c>
      <c r="E3" s="37">
        <v>2977.55</v>
      </c>
      <c r="F3" s="21"/>
      <c r="G3" s="26" t="s">
        <v>30</v>
      </c>
      <c r="H3" s="39">
        <f t="shared" ref="H3:H24" si="1">I3+K3+J3</f>
        <v>550.93</v>
      </c>
      <c r="I3" s="30"/>
      <c r="J3" s="7"/>
      <c r="K3" s="31">
        <v>550.93</v>
      </c>
      <c r="L3" s="5"/>
      <c r="M3" s="28" t="s">
        <v>31</v>
      </c>
      <c r="N3" s="30">
        <v>30.3</v>
      </c>
      <c r="O3" s="7" t="s">
        <v>33</v>
      </c>
      <c r="P3" s="21">
        <f>IF($A$1="Sep",49.99,0)</f>
        <v>49.99</v>
      </c>
      <c r="Q3" s="21"/>
      <c r="R3" s="21"/>
      <c r="S3" s="21"/>
      <c r="T3" s="21"/>
      <c r="U3" s="21"/>
      <c r="V3" s="21"/>
      <c r="W3" s="21"/>
      <c r="X3" s="7"/>
      <c r="Y3" s="21"/>
    </row>
    <row r="4">
      <c r="A4" s="5" t="s">
        <v>35</v>
      </c>
      <c r="B4" s="7" t="s">
        <v>36</v>
      </c>
      <c r="C4" s="21"/>
      <c r="D4" s="43" t="s">
        <v>37</v>
      </c>
      <c r="E4" s="44" t="s">
        <v>37</v>
      </c>
      <c r="F4" s="21"/>
      <c r="G4" s="26" t="s">
        <v>38</v>
      </c>
      <c r="H4" s="39">
        <f t="shared" si="1"/>
        <v>0</v>
      </c>
      <c r="I4" s="30"/>
      <c r="J4" s="30"/>
      <c r="K4" s="31">
        <f>IF(OR($A$1="Jul",$A$1="Aug",$A$1="Sep"),0,IF($A$1="Oct",242,121))</f>
        <v>0</v>
      </c>
      <c r="L4" s="7"/>
      <c r="M4" s="5" t="s">
        <v>40</v>
      </c>
      <c r="N4" s="30">
        <v>246.04</v>
      </c>
      <c r="O4" s="7" t="s">
        <v>41</v>
      </c>
      <c r="P4" s="7">
        <v>10.99</v>
      </c>
      <c r="Q4" s="21"/>
      <c r="R4" s="21"/>
      <c r="S4" s="21"/>
      <c r="T4" s="21"/>
      <c r="U4" s="21"/>
      <c r="V4" s="21"/>
      <c r="W4" s="21"/>
      <c r="X4" s="7"/>
      <c r="Y4" s="21"/>
    </row>
    <row r="5">
      <c r="A5" s="7">
        <f>D3+E3+A7</f>
        <v>4931.34</v>
      </c>
      <c r="B5" s="7">
        <f>B17+C17</f>
        <v>80</v>
      </c>
      <c r="C5" s="21"/>
      <c r="D5" s="49">
        <f>D3/(D3+E3)</f>
        <v>0.3961985992</v>
      </c>
      <c r="E5" s="53">
        <f>E3/(E3+D3)</f>
        <v>0.6038014008</v>
      </c>
      <c r="F5" s="21"/>
      <c r="G5" s="26" t="s">
        <v>43</v>
      </c>
      <c r="H5" s="39">
        <f t="shared" si="1"/>
        <v>74.22</v>
      </c>
      <c r="I5" s="30"/>
      <c r="J5" s="7"/>
      <c r="K5" s="31">
        <v>74.22</v>
      </c>
      <c r="L5" s="5"/>
      <c r="M5" s="22" t="s">
        <v>44</v>
      </c>
      <c r="N5" s="39">
        <v>124.82</v>
      </c>
      <c r="O5" s="7" t="s">
        <v>46</v>
      </c>
      <c r="P5" s="7">
        <v>7.99</v>
      </c>
      <c r="Q5" s="21"/>
      <c r="R5" s="21"/>
      <c r="S5" s="21"/>
      <c r="T5" s="21"/>
      <c r="U5" s="21"/>
      <c r="V5" s="21"/>
      <c r="W5" s="21"/>
      <c r="X5" s="7"/>
      <c r="Y5" s="21"/>
    </row>
    <row r="6">
      <c r="A6" s="7" t="s">
        <v>18</v>
      </c>
      <c r="B6" s="21"/>
      <c r="C6" s="21"/>
      <c r="D6" s="54" t="s">
        <v>59</v>
      </c>
      <c r="E6" s="56" t="s">
        <v>59</v>
      </c>
      <c r="F6" s="21"/>
      <c r="G6" s="26" t="s">
        <v>48</v>
      </c>
      <c r="H6" s="39">
        <f t="shared" si="1"/>
        <v>0</v>
      </c>
      <c r="I6" s="30">
        <v>0.0</v>
      </c>
      <c r="J6" s="7"/>
      <c r="K6" s="31">
        <v>0.0</v>
      </c>
      <c r="L6" s="7"/>
      <c r="M6" s="22" t="s">
        <v>49</v>
      </c>
      <c r="N6" s="39">
        <v>238.4</v>
      </c>
      <c r="O6" s="7" t="s">
        <v>50</v>
      </c>
      <c r="P6" s="7">
        <v>16.99</v>
      </c>
      <c r="Q6" s="21"/>
      <c r="R6" s="21"/>
      <c r="S6" s="7"/>
      <c r="T6" s="21"/>
      <c r="U6" s="21"/>
      <c r="V6" s="21"/>
      <c r="W6" s="21"/>
      <c r="X6" s="7"/>
      <c r="Y6" s="21"/>
    </row>
    <row r="7">
      <c r="A7" s="7">
        <f>IF($A$1="Jul",2527.27-D3,0)</f>
        <v>0</v>
      </c>
      <c r="B7" s="21"/>
      <c r="C7" s="21"/>
      <c r="D7" s="62">
        <f>(A3*D5)</f>
        <v>1895.857841</v>
      </c>
      <c r="E7" s="63">
        <f>(A3*E5)</f>
        <v>2889.262159</v>
      </c>
      <c r="F7" s="21"/>
      <c r="G7" s="26" t="s">
        <v>52</v>
      </c>
      <c r="H7" s="39">
        <f t="shared" si="1"/>
        <v>0</v>
      </c>
      <c r="I7" s="30">
        <v>0.0</v>
      </c>
      <c r="J7" s="7"/>
      <c r="K7" s="31">
        <v>0.0</v>
      </c>
      <c r="L7" s="7"/>
      <c r="M7" s="28" t="s">
        <v>53</v>
      </c>
      <c r="N7" s="28">
        <v>308.96</v>
      </c>
      <c r="O7" s="7" t="s">
        <v>54</v>
      </c>
      <c r="P7" s="7">
        <v>1.79</v>
      </c>
      <c r="Q7" s="21"/>
      <c r="R7" s="21"/>
      <c r="S7" s="7"/>
      <c r="T7" s="21"/>
      <c r="U7" s="21"/>
      <c r="V7" s="21"/>
      <c r="W7" s="21"/>
      <c r="X7" s="7"/>
      <c r="Y7" s="21"/>
    </row>
    <row r="8">
      <c r="A8" s="21"/>
      <c r="B8" s="21"/>
      <c r="C8" s="21"/>
      <c r="D8" s="71" t="s">
        <v>69</v>
      </c>
      <c r="E8" s="71" t="s">
        <v>69</v>
      </c>
      <c r="F8" s="21"/>
      <c r="G8" s="26" t="s">
        <v>60</v>
      </c>
      <c r="H8" s="39">
        <f t="shared" si="1"/>
        <v>150</v>
      </c>
      <c r="I8" s="30"/>
      <c r="J8" s="21"/>
      <c r="K8" s="31">
        <f>IF(OR($A$1="Jul",$A$1="Aug",$A$1="Sep"),150,IF(OR($A$1="May",$A$1="Jun",$A$1="Oct",$A$1="Nov"),120,100))</f>
        <v>150</v>
      </c>
      <c r="L8" s="74"/>
      <c r="M8" s="5"/>
      <c r="N8" s="30"/>
      <c r="O8" s="7" t="s">
        <v>62</v>
      </c>
      <c r="P8" s="21">
        <f>IF($A$1="Aug",129.99,0)</f>
        <v>0</v>
      </c>
      <c r="Q8" s="21"/>
      <c r="R8" s="21"/>
      <c r="S8" s="21"/>
      <c r="T8" s="21"/>
      <c r="U8" s="21"/>
      <c r="V8" s="21"/>
      <c r="W8" s="21"/>
      <c r="X8" s="7"/>
      <c r="Y8" s="21"/>
    </row>
    <row r="9">
      <c r="B9" s="21"/>
      <c r="C9" s="21"/>
      <c r="D9" s="77">
        <f>B5*D5</f>
        <v>31.69588793</v>
      </c>
      <c r="E9" s="79">
        <f>(B5)*E5</f>
        <v>48.30411207</v>
      </c>
      <c r="F9" s="21"/>
      <c r="G9" s="26" t="s">
        <v>65</v>
      </c>
      <c r="H9" s="39">
        <f t="shared" si="1"/>
        <v>0</v>
      </c>
      <c r="I9" s="30"/>
      <c r="J9" s="21"/>
      <c r="K9" s="31">
        <f>IF(OR($A$1="Jun",$A$1="Aug",$A$1="Oct"),90,IF(OR($A$1="Apr",$A$1="Dec"),130,IF($A$1="Feb",200,0)))</f>
        <v>0</v>
      </c>
      <c r="L9" s="74"/>
      <c r="M9" s="64" t="s">
        <v>67</v>
      </c>
      <c r="N9" s="68">
        <f>SUM(N3:N8)</f>
        <v>948.52</v>
      </c>
      <c r="O9" s="69" t="s">
        <v>68</v>
      </c>
      <c r="P9" s="70">
        <f>SUM(P2:P8)</f>
        <v>102.74</v>
      </c>
      <c r="Q9" s="21"/>
      <c r="R9" s="21"/>
      <c r="S9" s="21"/>
      <c r="T9" s="21"/>
      <c r="U9" s="21"/>
      <c r="V9" s="21"/>
      <c r="W9" s="21"/>
      <c r="X9" s="7"/>
      <c r="Y9" s="21"/>
    </row>
    <row r="10">
      <c r="A10" s="21"/>
      <c r="B10" s="21"/>
      <c r="C10" s="21"/>
      <c r="F10" s="21"/>
      <c r="G10" s="72" t="s">
        <v>71</v>
      </c>
      <c r="H10" s="39">
        <f t="shared" si="1"/>
        <v>109</v>
      </c>
      <c r="I10" s="39"/>
      <c r="J10" s="21"/>
      <c r="K10" s="73">
        <f>99+10</f>
        <v>109</v>
      </c>
      <c r="L10" s="22"/>
      <c r="M10" s="5" t="s">
        <v>30</v>
      </c>
      <c r="N10" s="76">
        <f>H3</f>
        <v>550.93</v>
      </c>
      <c r="Q10" s="21"/>
      <c r="R10" s="21"/>
      <c r="S10" s="21"/>
      <c r="T10" s="21"/>
      <c r="U10" s="21"/>
      <c r="V10" s="21"/>
      <c r="W10" s="21"/>
      <c r="X10" s="7"/>
      <c r="Y10" s="21"/>
    </row>
    <row r="11">
      <c r="A11" s="21"/>
      <c r="B11" s="7" t="s">
        <v>80</v>
      </c>
      <c r="D11" s="21"/>
      <c r="F11" s="21"/>
      <c r="G11" s="26" t="s">
        <v>72</v>
      </c>
      <c r="H11" s="39">
        <f t="shared" si="1"/>
        <v>948.52</v>
      </c>
      <c r="I11" s="30">
        <f>N3</f>
        <v>30.3</v>
      </c>
      <c r="J11" s="21">
        <f>N4+N5</f>
        <v>370.86</v>
      </c>
      <c r="K11" s="31">
        <f>SUM(N6:N8)</f>
        <v>547.36</v>
      </c>
      <c r="L11" s="28"/>
      <c r="M11" s="64" t="s">
        <v>68</v>
      </c>
      <c r="N11" s="68">
        <f>N9+N10</f>
        <v>1499.45</v>
      </c>
      <c r="Q11" s="21"/>
      <c r="R11" s="21"/>
      <c r="S11" s="21"/>
      <c r="T11" s="21"/>
      <c r="U11" s="21"/>
      <c r="V11" s="21"/>
      <c r="W11" s="21"/>
      <c r="X11" s="7"/>
      <c r="Y11" s="21"/>
    </row>
    <row r="12">
      <c r="A12" s="21"/>
      <c r="B12" s="7" t="s">
        <v>4</v>
      </c>
      <c r="C12" s="7" t="s">
        <v>6</v>
      </c>
      <c r="D12" s="7" t="s">
        <v>85</v>
      </c>
      <c r="F12" s="21"/>
      <c r="G12" s="72" t="s">
        <v>75</v>
      </c>
      <c r="H12" s="39">
        <f t="shared" si="1"/>
        <v>50</v>
      </c>
      <c r="I12" s="30"/>
      <c r="J12" s="21"/>
      <c r="K12" s="73">
        <f>IF(OR($A$1="Jan",$A$1="Mar",$A$1="May",$A$1="Jul",$A$1="Sep",$A$1="Nov",),50,0)</f>
        <v>50</v>
      </c>
      <c r="L12" s="22"/>
      <c r="M12" s="81"/>
      <c r="N12" s="82"/>
      <c r="Q12" s="21"/>
      <c r="R12" s="21"/>
      <c r="S12" s="21"/>
      <c r="T12" s="21"/>
      <c r="U12" s="21"/>
      <c r="V12" s="21"/>
      <c r="W12" s="21"/>
      <c r="X12" s="7"/>
      <c r="Y12" s="21"/>
    </row>
    <row r="13">
      <c r="A13" s="5" t="s">
        <v>87</v>
      </c>
      <c r="C13" s="76">
        <f>E3-J27</f>
        <v>2500</v>
      </c>
      <c r="F13" s="21"/>
      <c r="G13" s="72" t="s">
        <v>10</v>
      </c>
      <c r="H13" s="39">
        <f t="shared" si="1"/>
        <v>102.74</v>
      </c>
      <c r="I13" s="30"/>
      <c r="J13" s="7"/>
      <c r="K13" s="73">
        <f>P9</f>
        <v>102.74</v>
      </c>
      <c r="L13" s="28"/>
      <c r="Q13" s="21"/>
      <c r="R13" s="21"/>
      <c r="S13" s="21"/>
      <c r="T13" s="21"/>
      <c r="U13" s="21"/>
      <c r="V13" s="21"/>
      <c r="W13" s="21"/>
      <c r="X13" s="7"/>
      <c r="Y13" s="21"/>
    </row>
    <row r="14">
      <c r="A14" s="5" t="s">
        <v>88</v>
      </c>
      <c r="B14" s="76">
        <f>C13-D15-D16-I27</f>
        <v>980.78</v>
      </c>
      <c r="C14" s="74"/>
      <c r="D14" s="74"/>
      <c r="F14" s="21"/>
      <c r="G14" s="87" t="s">
        <v>81</v>
      </c>
      <c r="H14" s="39">
        <f t="shared" si="1"/>
        <v>80</v>
      </c>
      <c r="I14" s="21"/>
      <c r="J14" s="21"/>
      <c r="K14" s="89">
        <f>60+20</f>
        <v>80</v>
      </c>
      <c r="L14" s="28"/>
      <c r="M14" s="5" t="s">
        <v>82</v>
      </c>
      <c r="O14" s="5"/>
      <c r="P14" s="5"/>
      <c r="Q14" s="4"/>
      <c r="R14" s="4"/>
      <c r="S14" s="21"/>
      <c r="T14" s="21"/>
      <c r="U14" s="21"/>
      <c r="V14" s="21"/>
      <c r="W14" s="21"/>
      <c r="X14" s="7"/>
      <c r="Y14" s="21"/>
    </row>
    <row r="15">
      <c r="A15" s="7" t="s">
        <v>91</v>
      </c>
      <c r="B15" s="7">
        <f>B3</f>
        <v>66.22</v>
      </c>
      <c r="C15" s="7"/>
      <c r="D15" s="21">
        <f t="shared" ref="D15:D17" si="2">B15+C15</f>
        <v>66.22</v>
      </c>
      <c r="E15" s="60"/>
      <c r="F15" s="7"/>
      <c r="G15" s="26" t="s">
        <v>84</v>
      </c>
      <c r="H15" s="39">
        <f t="shared" si="1"/>
        <v>471.64</v>
      </c>
      <c r="I15" s="30"/>
      <c r="J15" s="7"/>
      <c r="K15" s="31">
        <f>N20+N19</f>
        <v>471.64</v>
      </c>
      <c r="L15" s="5"/>
      <c r="M15" s="5" t="s">
        <v>86</v>
      </c>
      <c r="N15" s="21">
        <f>IF(OR($A$1="Feb",$A$1="May",$A$1="Aug",$A$1="Nov"),98.12,0)</f>
        <v>0</v>
      </c>
      <c r="O15" s="5"/>
      <c r="P15" s="5"/>
      <c r="Q15" s="4"/>
      <c r="R15" s="4"/>
      <c r="S15" s="21"/>
      <c r="T15" s="21"/>
      <c r="U15" s="21"/>
      <c r="V15" s="21"/>
      <c r="W15" s="21"/>
      <c r="X15" s="21"/>
      <c r="Y15" s="21"/>
    </row>
    <row r="16">
      <c r="A16" s="7" t="s">
        <v>94</v>
      </c>
      <c r="B16" s="7">
        <f>700</f>
        <v>700</v>
      </c>
      <c r="C16" s="7">
        <v>700.0</v>
      </c>
      <c r="D16" s="21">
        <f t="shared" si="2"/>
        <v>1400</v>
      </c>
      <c r="E16" s="100"/>
      <c r="F16" s="9"/>
      <c r="G16" s="72" t="s">
        <v>89</v>
      </c>
      <c r="H16" s="39">
        <f t="shared" si="1"/>
        <v>59.9</v>
      </c>
      <c r="I16" s="30"/>
      <c r="J16" s="7"/>
      <c r="K16" s="73">
        <f>IF($A$1="Feb",60.97,59.9)</f>
        <v>59.9</v>
      </c>
      <c r="L16" s="5"/>
      <c r="M16" s="5" t="s">
        <v>63</v>
      </c>
      <c r="N16" s="21">
        <f>IF(OR($A$1="Feb",$A$1="May",$A$1="Aug",$A$1="Nov"),(39.35+82.56),0)</f>
        <v>0</v>
      </c>
      <c r="O16" s="5"/>
      <c r="P16" s="5"/>
      <c r="Q16" s="4"/>
      <c r="R16" s="4"/>
      <c r="S16" s="21"/>
      <c r="T16" s="21"/>
      <c r="U16" s="21"/>
      <c r="V16" s="21"/>
      <c r="W16" s="21"/>
      <c r="X16" s="21"/>
      <c r="Y16" s="21"/>
    </row>
    <row r="17">
      <c r="A17" s="5" t="s">
        <v>98</v>
      </c>
      <c r="B17" s="30">
        <v>20.0</v>
      </c>
      <c r="C17" s="30">
        <v>60.0</v>
      </c>
      <c r="D17" s="21">
        <f t="shared" si="2"/>
        <v>80</v>
      </c>
      <c r="E17" s="7"/>
      <c r="F17" s="7"/>
      <c r="G17" s="87" t="s">
        <v>86</v>
      </c>
      <c r="H17" s="39">
        <f t="shared" si="1"/>
        <v>0</v>
      </c>
      <c r="I17" s="76"/>
      <c r="J17" s="7"/>
      <c r="K17" s="31">
        <f t="shared" ref="K17:K20" si="3">N15</f>
        <v>0</v>
      </c>
      <c r="L17" s="28"/>
      <c r="M17" s="5" t="s">
        <v>92</v>
      </c>
      <c r="N17" s="7">
        <f>IF($A$1="May",155.05,0)</f>
        <v>0</v>
      </c>
      <c r="O17" s="5"/>
      <c r="P17" s="98"/>
      <c r="Q17" s="107"/>
      <c r="R17" s="107"/>
      <c r="S17" s="21"/>
      <c r="T17" s="21"/>
      <c r="U17" s="21"/>
      <c r="V17" s="21"/>
      <c r="W17" s="21"/>
      <c r="X17" s="21"/>
      <c r="Y17" s="21"/>
    </row>
    <row r="18">
      <c r="A18" s="7" t="s">
        <v>100</v>
      </c>
      <c r="B18" s="21">
        <f>B16-B17</f>
        <v>680</v>
      </c>
      <c r="C18" s="21">
        <f>C16-C15-C17</f>
        <v>640</v>
      </c>
      <c r="D18" s="21">
        <f>B18+C18+B14</f>
        <v>2300.78</v>
      </c>
      <c r="E18" s="7"/>
      <c r="F18" s="7"/>
      <c r="G18" s="87" t="s">
        <v>63</v>
      </c>
      <c r="H18" s="39">
        <f t="shared" si="1"/>
        <v>0</v>
      </c>
      <c r="I18" s="7"/>
      <c r="J18" s="30"/>
      <c r="K18" s="31">
        <f t="shared" si="3"/>
        <v>0</v>
      </c>
      <c r="L18" s="5"/>
      <c r="M18" s="5" t="s">
        <v>93</v>
      </c>
      <c r="N18" s="7">
        <f>IF($A$1="Jul",80,0)</f>
        <v>0</v>
      </c>
      <c r="O18" s="5"/>
      <c r="P18" s="98"/>
      <c r="Q18" s="107"/>
      <c r="R18" s="107"/>
      <c r="S18" s="21"/>
      <c r="T18" s="21"/>
      <c r="U18" s="21"/>
      <c r="V18" s="21"/>
      <c r="W18" s="21"/>
      <c r="X18" s="21"/>
      <c r="Y18" s="21"/>
    </row>
    <row r="19">
      <c r="A19" s="21"/>
      <c r="B19" s="21"/>
      <c r="C19" s="21"/>
      <c r="D19" s="7">
        <f>D18+D3</f>
        <v>4254.57</v>
      </c>
      <c r="E19" s="21"/>
      <c r="F19" s="7"/>
      <c r="G19" s="87" t="s">
        <v>92</v>
      </c>
      <c r="H19" s="39">
        <f t="shared" si="1"/>
        <v>0</v>
      </c>
      <c r="I19" s="7"/>
      <c r="J19" s="21"/>
      <c r="K19" s="101">
        <f t="shared" si="3"/>
        <v>0</v>
      </c>
      <c r="L19" s="28"/>
      <c r="M19" s="5" t="s">
        <v>95</v>
      </c>
      <c r="N19" s="7">
        <f>IF($A$1="Sep",471.64,0)</f>
        <v>471.64</v>
      </c>
      <c r="O19" s="5"/>
      <c r="P19" s="5"/>
      <c r="Q19" s="5"/>
      <c r="R19" s="111"/>
      <c r="S19" s="21"/>
      <c r="T19" s="21"/>
      <c r="U19" s="21"/>
      <c r="V19" s="21"/>
      <c r="W19" s="21"/>
      <c r="X19" s="21"/>
      <c r="Y19" s="21"/>
    </row>
    <row r="20">
      <c r="A20" s="21"/>
      <c r="B20" s="21"/>
      <c r="C20" s="21"/>
      <c r="D20" s="7"/>
      <c r="E20" s="21"/>
      <c r="F20" s="21"/>
      <c r="G20" s="87" t="s">
        <v>96</v>
      </c>
      <c r="H20" s="39">
        <f t="shared" si="1"/>
        <v>0</v>
      </c>
      <c r="I20" s="76"/>
      <c r="J20" s="76"/>
      <c r="K20" s="31">
        <f t="shared" si="3"/>
        <v>0</v>
      </c>
      <c r="L20" s="5"/>
      <c r="M20" s="5" t="s">
        <v>97</v>
      </c>
      <c r="N20" s="7">
        <f>IF($A$1="Jan",126.66,IF(OR($A$1="Feb",$A$1="Apr"),121.82,0))</f>
        <v>0</v>
      </c>
      <c r="S20" s="21"/>
      <c r="T20" s="21"/>
      <c r="U20" s="21"/>
      <c r="V20" s="21"/>
      <c r="W20" s="21"/>
      <c r="X20" s="21"/>
      <c r="Y20" s="21"/>
    </row>
    <row r="21">
      <c r="D21" s="21"/>
      <c r="E21" s="21"/>
      <c r="F21" s="21"/>
      <c r="G21" s="87" t="s">
        <v>99</v>
      </c>
      <c r="H21" s="39">
        <f t="shared" si="1"/>
        <v>358.71</v>
      </c>
      <c r="I21" s="30"/>
      <c r="J21" s="30"/>
      <c r="K21" s="89">
        <f>IF($A$1="Aug",413.47+43.07,358.71)</f>
        <v>358.71</v>
      </c>
      <c r="S21" s="21"/>
      <c r="T21" s="21"/>
      <c r="U21" s="21"/>
      <c r="V21" s="21"/>
      <c r="W21" s="21"/>
      <c r="X21" s="21"/>
      <c r="Y21" s="21"/>
    </row>
    <row r="22">
      <c r="E22" s="21"/>
      <c r="F22" s="21"/>
      <c r="G22" s="87" t="s">
        <v>101</v>
      </c>
      <c r="H22" s="39">
        <f t="shared" si="1"/>
        <v>21.73</v>
      </c>
      <c r="I22" s="7">
        <v>21.73</v>
      </c>
      <c r="J22" s="7"/>
      <c r="K22" s="89">
        <f>IF($A$1="Jun",330,0)</f>
        <v>0</v>
      </c>
      <c r="L22" s="74"/>
      <c r="S22" s="21"/>
      <c r="T22" s="21"/>
      <c r="U22" s="21"/>
      <c r="V22" s="21"/>
      <c r="W22" s="21"/>
      <c r="X22" s="21"/>
      <c r="Y22" s="21"/>
    </row>
    <row r="23">
      <c r="E23" s="21"/>
      <c r="F23" s="21"/>
      <c r="G23" s="87" t="s">
        <v>102</v>
      </c>
      <c r="H23" s="39">
        <f t="shared" si="1"/>
        <v>0</v>
      </c>
      <c r="I23" s="7"/>
      <c r="J23" s="7"/>
      <c r="K23" s="89">
        <v>0.0</v>
      </c>
      <c r="L23" s="74"/>
      <c r="S23" s="21"/>
      <c r="T23" s="21"/>
      <c r="U23" s="21"/>
      <c r="V23" s="21"/>
      <c r="W23" s="21"/>
      <c r="X23" s="21"/>
      <c r="Y23" s="21"/>
    </row>
    <row r="24">
      <c r="E24" s="21"/>
      <c r="F24" s="21"/>
      <c r="G24" s="108" t="s">
        <v>103</v>
      </c>
      <c r="H24" s="109">
        <f t="shared" si="1"/>
        <v>100</v>
      </c>
      <c r="I24" s="110"/>
      <c r="J24" s="110"/>
      <c r="K24" s="112">
        <f>IF(OR($A$1="Jan",$A$1="Mar",$A$1="May",$A$1="Jul",$A$1="Sep",$A$1="Nov"),100,IF(OR($A$1="Apr",$A$1="Jun",$A$1="Aug",$A$1="Oct",$A$1="Dec"),200,IF(OR($A$1="Feb"),300,0)))</f>
        <v>100</v>
      </c>
      <c r="L24" s="5"/>
      <c r="M24" s="5" t="s">
        <v>104</v>
      </c>
      <c r="S24" s="21"/>
      <c r="T24" s="21"/>
      <c r="U24" s="21"/>
      <c r="V24" s="21"/>
      <c r="W24" s="21"/>
      <c r="X24" s="21"/>
      <c r="Y24" s="21"/>
    </row>
    <row r="25">
      <c r="E25" s="21"/>
      <c r="F25" s="21"/>
      <c r="G25" s="114" t="s">
        <v>105</v>
      </c>
      <c r="H25" s="115">
        <f t="shared" ref="H25:K25" si="4">SUM(H3:H24)</f>
        <v>3077.39</v>
      </c>
      <c r="I25" s="115">
        <f t="shared" si="4"/>
        <v>52.03</v>
      </c>
      <c r="J25" s="115">
        <f t="shared" si="4"/>
        <v>370.86</v>
      </c>
      <c r="K25" s="116">
        <f t="shared" si="4"/>
        <v>2654.5</v>
      </c>
      <c r="L25" s="5"/>
      <c r="T25" s="21"/>
      <c r="U25" s="21"/>
      <c r="V25" s="21"/>
      <c r="W25" s="21"/>
      <c r="X25" s="21"/>
      <c r="Y25" s="21"/>
    </row>
    <row r="26">
      <c r="E26" s="21"/>
      <c r="F26" s="21"/>
      <c r="G26" s="121" t="s">
        <v>11</v>
      </c>
      <c r="H26" s="122">
        <f>I26+K26+J26</f>
        <v>1707.73</v>
      </c>
      <c r="I26" s="123">
        <v>0.97</v>
      </c>
      <c r="J26" s="123">
        <v>106.69</v>
      </c>
      <c r="K26" s="124">
        <v>1600.07</v>
      </c>
      <c r="L26" s="5"/>
      <c r="T26" s="21"/>
      <c r="U26" s="21"/>
      <c r="V26" s="21"/>
      <c r="W26" s="21"/>
      <c r="X26" s="21"/>
      <c r="Y26" s="21"/>
    </row>
    <row r="27">
      <c r="E27" s="21"/>
      <c r="F27" s="21"/>
      <c r="G27" s="125" t="s">
        <v>68</v>
      </c>
      <c r="H27" s="126">
        <f t="shared" ref="H27:K27" si="5">SUM(H25:H26)</f>
        <v>4785.12</v>
      </c>
      <c r="I27" s="126">
        <f t="shared" si="5"/>
        <v>53</v>
      </c>
      <c r="J27" s="126">
        <f t="shared" si="5"/>
        <v>477.55</v>
      </c>
      <c r="K27" s="127">
        <f t="shared" si="5"/>
        <v>4254.57</v>
      </c>
      <c r="L27" s="21"/>
      <c r="T27" s="21"/>
      <c r="U27" s="21"/>
      <c r="V27" s="21"/>
      <c r="W27" s="21"/>
      <c r="X27" s="21"/>
      <c r="Y27" s="21"/>
    </row>
    <row r="28">
      <c r="E28" s="21"/>
      <c r="F28" s="21"/>
      <c r="M28" s="5" t="s">
        <v>109</v>
      </c>
      <c r="O28" s="7" t="s">
        <v>110</v>
      </c>
      <c r="U28" s="21"/>
      <c r="V28" s="21"/>
      <c r="W28" s="21"/>
      <c r="X28" s="21"/>
      <c r="Y28" s="21"/>
    </row>
    <row r="29">
      <c r="E29" s="21"/>
      <c r="F29" s="21"/>
      <c r="J29" s="7"/>
      <c r="M29" s="5" t="s">
        <v>6</v>
      </c>
      <c r="N29" s="76">
        <f>0.35*E3-SUM(N4,N5,N6,N8)-N10/2</f>
        <v>157.4175</v>
      </c>
      <c r="O29" s="5" t="s">
        <v>86</v>
      </c>
      <c r="P29" s="30">
        <v>0.0</v>
      </c>
      <c r="U29" s="21"/>
      <c r="V29" s="21"/>
      <c r="W29" s="21"/>
      <c r="X29" s="21"/>
      <c r="Y29" s="21"/>
    </row>
    <row r="30">
      <c r="E30" s="21"/>
      <c r="F30" s="21"/>
      <c r="J30" s="7"/>
      <c r="M30" s="5" t="s">
        <v>4</v>
      </c>
      <c r="N30" s="136">
        <f>0.35*D3-SUM(N3,N7)-N10/2</f>
        <v>69.1015</v>
      </c>
      <c r="O30" s="5" t="s">
        <v>63</v>
      </c>
      <c r="P30" s="30">
        <f>121.46*4/12</f>
        <v>40.48666667</v>
      </c>
      <c r="U30" s="21"/>
      <c r="V30" s="21"/>
      <c r="W30" s="21"/>
      <c r="X30" s="21"/>
      <c r="Y30" s="21"/>
    </row>
    <row r="31">
      <c r="E31" s="21"/>
      <c r="F31" s="21"/>
      <c r="J31" s="7"/>
      <c r="M31" s="69" t="s">
        <v>68</v>
      </c>
      <c r="N31" s="68">
        <f>SUM(N29:N30)</f>
        <v>226.519</v>
      </c>
      <c r="O31" s="5" t="s">
        <v>96</v>
      </c>
      <c r="P31" s="30">
        <f>80/12</f>
        <v>6.666666667</v>
      </c>
      <c r="U31" s="21"/>
      <c r="V31" s="21"/>
      <c r="W31" s="21"/>
      <c r="X31" s="21"/>
      <c r="Y31" s="21"/>
    </row>
    <row r="32">
      <c r="E32" s="21"/>
      <c r="F32" s="7"/>
      <c r="J32" s="7"/>
      <c r="M32" s="21"/>
      <c r="N32" s="21"/>
      <c r="O32" s="138" t="s">
        <v>113</v>
      </c>
      <c r="P32" s="68">
        <f>SUM(P29:P31)</f>
        <v>47.15333333</v>
      </c>
      <c r="U32" s="21"/>
      <c r="V32" s="21"/>
      <c r="W32" s="21"/>
      <c r="X32" s="21"/>
      <c r="Y32" s="21"/>
    </row>
    <row r="33">
      <c r="A33" s="21"/>
      <c r="B33" s="137"/>
      <c r="C33" s="137"/>
      <c r="J33" s="7"/>
      <c r="M33" s="21"/>
      <c r="N33" s="21"/>
      <c r="O33" s="138" t="s">
        <v>114</v>
      </c>
      <c r="P33" s="68">
        <f>P32*12</f>
        <v>565.84</v>
      </c>
      <c r="U33" s="21"/>
      <c r="V33" s="21"/>
      <c r="W33" s="21"/>
      <c r="X33" s="21"/>
      <c r="Y33" s="21"/>
    </row>
    <row r="34">
      <c r="A34" s="21"/>
      <c r="B34" s="21"/>
      <c r="C34" s="21"/>
      <c r="J34" s="7"/>
      <c r="S34" s="21"/>
      <c r="T34" s="21"/>
      <c r="U34" s="21"/>
      <c r="V34" s="21"/>
      <c r="W34" s="21"/>
      <c r="X34" s="21"/>
      <c r="Y34" s="21"/>
    </row>
    <row r="35">
      <c r="A35" s="21"/>
      <c r="B35" s="21"/>
      <c r="C35" s="21"/>
      <c r="D35" s="21"/>
      <c r="E35" s="21"/>
      <c r="F35" s="21"/>
      <c r="J35" s="7"/>
      <c r="Q35" s="21"/>
      <c r="R35" s="21"/>
      <c r="S35" s="21"/>
      <c r="T35" s="21"/>
      <c r="U35" s="21"/>
      <c r="V35" s="21"/>
      <c r="W35" s="21"/>
      <c r="X35" s="21"/>
      <c r="Y35" s="21"/>
    </row>
    <row r="36">
      <c r="A36" s="21"/>
      <c r="B36" s="21"/>
      <c r="C36" s="21"/>
      <c r="D36" s="21"/>
      <c r="E36" s="21"/>
      <c r="F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</row>
    <row r="37">
      <c r="A37" s="21"/>
      <c r="B37" s="21"/>
      <c r="C37" s="21"/>
      <c r="D37" s="21"/>
      <c r="E37" s="21"/>
      <c r="F37" s="21"/>
      <c r="U37" s="21"/>
      <c r="V37" s="21"/>
      <c r="W37" s="21"/>
      <c r="X37" s="21"/>
      <c r="Y37" s="21"/>
    </row>
    <row r="38">
      <c r="A38" s="21"/>
      <c r="B38" s="21"/>
      <c r="C38" s="21"/>
      <c r="D38" s="21"/>
      <c r="E38" s="21"/>
      <c r="F38" s="21"/>
      <c r="U38" s="21"/>
      <c r="V38" s="21"/>
      <c r="W38" s="21"/>
      <c r="X38" s="21"/>
      <c r="Y38" s="21"/>
    </row>
    <row r="39">
      <c r="A39" s="21"/>
      <c r="B39" s="21"/>
      <c r="C39" s="21"/>
      <c r="D39" s="21"/>
      <c r="E39" s="21"/>
      <c r="F39" s="21"/>
      <c r="L39" s="21"/>
      <c r="U39" s="21"/>
      <c r="V39" s="21"/>
      <c r="W39" s="21"/>
      <c r="X39" s="21"/>
      <c r="Y39" s="21"/>
    </row>
    <row r="40">
      <c r="A40" s="21"/>
      <c r="B40" s="21"/>
      <c r="C40" s="21"/>
      <c r="D40" s="21"/>
      <c r="E40" s="21"/>
      <c r="F40" s="21"/>
      <c r="L40" s="21"/>
      <c r="U40" s="21"/>
      <c r="V40" s="21"/>
      <c r="W40" s="21"/>
      <c r="X40" s="21"/>
      <c r="Y40" s="21"/>
    </row>
    <row r="41">
      <c r="A41" s="21"/>
      <c r="B41" s="21"/>
      <c r="C41" s="21"/>
      <c r="D41" s="21"/>
      <c r="E41" s="21"/>
      <c r="F41" s="21"/>
      <c r="L41" s="21"/>
      <c r="U41" s="21"/>
      <c r="V41" s="21"/>
      <c r="W41" s="21"/>
      <c r="X41" s="21"/>
      <c r="Y41" s="21"/>
    </row>
    <row r="42">
      <c r="A42" s="21"/>
      <c r="B42" s="21"/>
      <c r="C42" s="21"/>
      <c r="D42" s="21"/>
      <c r="E42" s="21"/>
      <c r="F42" s="21"/>
      <c r="L42" s="21"/>
      <c r="U42" s="21"/>
      <c r="V42" s="21"/>
      <c r="W42" s="21"/>
      <c r="X42" s="21"/>
      <c r="Y42" s="21"/>
    </row>
    <row r="43">
      <c r="A43" s="21"/>
      <c r="B43" s="21"/>
      <c r="C43" s="21"/>
      <c r="D43" s="21"/>
      <c r="E43" s="21"/>
      <c r="F43" s="21"/>
      <c r="L43" s="21"/>
      <c r="M43" s="21"/>
      <c r="N43" s="21"/>
      <c r="O43" s="21"/>
      <c r="P43" s="21"/>
      <c r="Q43" s="21"/>
      <c r="R43" s="21"/>
      <c r="U43" s="21"/>
      <c r="V43" s="21"/>
      <c r="W43" s="21"/>
      <c r="X43" s="21"/>
      <c r="Y43" s="21"/>
    </row>
    <row r="44">
      <c r="A44" s="21"/>
      <c r="B44" s="21"/>
      <c r="C44" s="21"/>
      <c r="D44" s="21"/>
      <c r="E44" s="21"/>
      <c r="F44" s="21"/>
      <c r="G44" s="136"/>
      <c r="H44" s="136"/>
      <c r="I44" s="21"/>
      <c r="J44" s="21"/>
      <c r="K44" s="21"/>
      <c r="L44" s="21"/>
      <c r="M44" s="21"/>
      <c r="N44" s="21"/>
      <c r="O44" s="21"/>
      <c r="P44" s="21"/>
      <c r="Q44" s="21"/>
      <c r="R44" s="21"/>
      <c r="U44" s="21"/>
      <c r="V44" s="21"/>
      <c r="W44" s="21"/>
      <c r="X44" s="21"/>
      <c r="Y44" s="21"/>
    </row>
    <row r="45">
      <c r="A45" s="21"/>
      <c r="B45" s="21"/>
      <c r="C45" s="21"/>
      <c r="D45" s="21"/>
      <c r="E45" s="21"/>
      <c r="F45" s="21"/>
      <c r="G45" s="136"/>
      <c r="H45" s="136"/>
      <c r="I45" s="21"/>
      <c r="J45" s="21"/>
      <c r="K45" s="21"/>
      <c r="L45" s="21"/>
      <c r="M45" s="21"/>
      <c r="N45" s="21"/>
      <c r="O45" s="21"/>
      <c r="P45" s="21"/>
      <c r="Q45" s="21"/>
      <c r="R45" s="21"/>
      <c r="U45" s="21"/>
      <c r="V45" s="21"/>
      <c r="W45" s="21"/>
      <c r="X45" s="21"/>
      <c r="Y45" s="21"/>
    </row>
    <row r="46">
      <c r="A46" s="21"/>
      <c r="B46" s="21"/>
      <c r="C46" s="21"/>
      <c r="D46" s="21"/>
      <c r="E46" s="21"/>
      <c r="F46" s="21"/>
      <c r="G46" s="136"/>
      <c r="H46" s="136"/>
      <c r="I46" s="21"/>
      <c r="J46" s="21"/>
      <c r="K46" s="21"/>
      <c r="L46" s="21"/>
      <c r="M46" s="21"/>
      <c r="N46" s="21"/>
      <c r="O46" s="21"/>
      <c r="P46" s="21"/>
      <c r="Q46" s="21"/>
      <c r="R46" s="21"/>
      <c r="U46" s="21"/>
      <c r="V46" s="21"/>
      <c r="W46" s="21"/>
      <c r="X46" s="21"/>
      <c r="Y46" s="21"/>
    </row>
    <row r="47">
      <c r="A47" s="21"/>
      <c r="B47" s="21"/>
      <c r="C47" s="21"/>
      <c r="D47" s="21"/>
      <c r="E47" s="21"/>
      <c r="F47" s="21"/>
      <c r="G47" s="136"/>
      <c r="H47" s="136"/>
      <c r="I47" s="21"/>
      <c r="J47" s="21"/>
      <c r="K47" s="21"/>
      <c r="L47" s="21"/>
      <c r="M47" s="21"/>
      <c r="N47" s="21"/>
      <c r="O47" s="21"/>
      <c r="P47" s="21"/>
      <c r="Q47" s="21"/>
      <c r="R47" s="21"/>
      <c r="U47" s="21"/>
      <c r="V47" s="21"/>
      <c r="W47" s="21"/>
      <c r="X47" s="21"/>
      <c r="Y47" s="21"/>
    </row>
    <row r="48">
      <c r="A48" s="21"/>
      <c r="B48" s="21"/>
      <c r="C48" s="21"/>
      <c r="D48" s="21"/>
      <c r="E48" s="21"/>
      <c r="F48" s="21"/>
      <c r="G48" s="136"/>
      <c r="H48" s="136"/>
      <c r="I48" s="21"/>
      <c r="J48" s="21"/>
      <c r="K48" s="21"/>
      <c r="L48" s="21"/>
      <c r="M48" s="21"/>
      <c r="N48" s="21"/>
      <c r="O48" s="21"/>
      <c r="P48" s="21"/>
      <c r="Q48" s="21"/>
      <c r="R48" s="21"/>
      <c r="U48" s="21"/>
      <c r="V48" s="21"/>
      <c r="W48" s="21"/>
      <c r="X48" s="21"/>
      <c r="Y48" s="21"/>
    </row>
    <row r="49">
      <c r="A49" s="21"/>
      <c r="B49" s="21"/>
      <c r="C49" s="21"/>
      <c r="D49" s="21"/>
      <c r="E49" s="21"/>
      <c r="F49" s="21"/>
      <c r="G49" s="136"/>
      <c r="H49" s="136"/>
      <c r="I49" s="21"/>
      <c r="J49" s="21"/>
      <c r="K49" s="21"/>
      <c r="L49" s="21"/>
      <c r="M49" s="21"/>
      <c r="N49" s="21"/>
      <c r="O49" s="21"/>
      <c r="P49" s="21"/>
      <c r="Q49" s="21"/>
      <c r="R49" s="21"/>
      <c r="U49" s="21"/>
      <c r="V49" s="21"/>
      <c r="W49" s="21"/>
      <c r="X49" s="21"/>
      <c r="Y49" s="21"/>
    </row>
    <row r="50">
      <c r="A50" s="21"/>
      <c r="B50" s="21"/>
      <c r="C50" s="21"/>
      <c r="D50" s="21"/>
      <c r="E50" s="21"/>
      <c r="F50" s="21"/>
      <c r="G50" s="136"/>
      <c r="H50" s="136"/>
      <c r="I50" s="21"/>
      <c r="J50" s="21"/>
      <c r="K50" s="21"/>
      <c r="L50" s="21"/>
      <c r="M50" s="21"/>
      <c r="N50" s="21"/>
      <c r="O50" s="21"/>
      <c r="P50" s="21"/>
      <c r="Q50" s="21"/>
      <c r="R50" s="21"/>
      <c r="U50" s="21"/>
      <c r="V50" s="21"/>
      <c r="W50" s="21"/>
      <c r="X50" s="21"/>
      <c r="Y50" s="21"/>
    </row>
    <row r="51">
      <c r="A51" s="21"/>
      <c r="B51" s="21"/>
      <c r="C51" s="21"/>
      <c r="D51" s="21"/>
      <c r="E51" s="21"/>
      <c r="F51" s="21"/>
      <c r="G51" s="136"/>
      <c r="H51" s="136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</row>
    <row r="52">
      <c r="A52" s="21"/>
      <c r="B52" s="21"/>
      <c r="C52" s="21"/>
      <c r="D52" s="21"/>
      <c r="E52" s="21"/>
      <c r="F52" s="21"/>
      <c r="G52" s="136"/>
      <c r="H52" s="136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</row>
    <row r="53">
      <c r="A53" s="21"/>
      <c r="B53" s="21"/>
      <c r="C53" s="21"/>
      <c r="D53" s="21"/>
      <c r="E53" s="21"/>
      <c r="F53" s="21"/>
      <c r="G53" s="136"/>
      <c r="H53" s="136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</row>
    <row r="54">
      <c r="A54" s="21"/>
      <c r="B54" s="21"/>
      <c r="C54" s="21"/>
      <c r="D54" s="21"/>
      <c r="E54" s="21"/>
      <c r="F54" s="21"/>
      <c r="G54" s="136"/>
      <c r="H54" s="136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</row>
    <row r="55">
      <c r="A55" s="21"/>
      <c r="B55" s="21"/>
      <c r="C55" s="21"/>
      <c r="D55" s="21"/>
      <c r="E55" s="21"/>
      <c r="F55" s="21"/>
      <c r="G55" s="136"/>
      <c r="H55" s="136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</row>
    <row r="56">
      <c r="A56" s="21"/>
      <c r="B56" s="21"/>
      <c r="C56" s="21"/>
      <c r="D56" s="21"/>
      <c r="E56" s="21"/>
      <c r="F56" s="21"/>
      <c r="G56" s="136"/>
      <c r="H56" s="136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</row>
    <row r="57">
      <c r="A57" s="21"/>
      <c r="B57" s="21"/>
      <c r="C57" s="21"/>
      <c r="D57" s="21"/>
      <c r="E57" s="21"/>
      <c r="F57" s="21"/>
      <c r="G57" s="136"/>
      <c r="H57" s="136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</row>
    <row r="58">
      <c r="A58" s="21"/>
      <c r="B58" s="21"/>
      <c r="C58" s="21"/>
      <c r="D58" s="21"/>
      <c r="E58" s="21"/>
      <c r="F58" s="21"/>
      <c r="G58" s="136"/>
      <c r="H58" s="136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</row>
    <row r="59">
      <c r="A59" s="21"/>
      <c r="B59" s="21"/>
      <c r="C59" s="21"/>
      <c r="D59" s="21"/>
      <c r="E59" s="21"/>
      <c r="F59" s="21"/>
      <c r="G59" s="136"/>
      <c r="H59" s="136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</row>
    <row r="60">
      <c r="A60" s="21"/>
      <c r="B60" s="21"/>
      <c r="C60" s="21"/>
      <c r="D60" s="21"/>
      <c r="E60" s="21"/>
      <c r="F60" s="21"/>
      <c r="G60" s="136"/>
      <c r="H60" s="136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</row>
    <row r="61">
      <c r="A61" s="21"/>
      <c r="B61" s="21"/>
      <c r="C61" s="21"/>
      <c r="D61" s="21"/>
      <c r="E61" s="21"/>
      <c r="F61" s="21"/>
      <c r="G61" s="136"/>
      <c r="H61" s="136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</row>
    <row r="62">
      <c r="A62" s="21"/>
      <c r="B62" s="21"/>
      <c r="C62" s="21"/>
      <c r="D62" s="21"/>
      <c r="E62" s="21"/>
      <c r="F62" s="21"/>
      <c r="G62" s="136"/>
      <c r="H62" s="136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</row>
    <row r="63">
      <c r="A63" s="21"/>
      <c r="B63" s="21"/>
      <c r="C63" s="21"/>
      <c r="D63" s="21"/>
      <c r="E63" s="21"/>
      <c r="F63" s="21"/>
      <c r="G63" s="136"/>
      <c r="H63" s="136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</row>
    <row r="64">
      <c r="A64" s="21"/>
      <c r="B64" s="21"/>
      <c r="C64" s="21"/>
      <c r="D64" s="21"/>
      <c r="E64" s="21"/>
      <c r="F64" s="21"/>
      <c r="G64" s="136"/>
      <c r="H64" s="136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</row>
    <row r="65">
      <c r="A65" s="21"/>
      <c r="B65" s="21"/>
      <c r="C65" s="21"/>
      <c r="D65" s="21"/>
      <c r="E65" s="21"/>
      <c r="F65" s="21"/>
      <c r="G65" s="136"/>
      <c r="H65" s="136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</row>
    <row r="66">
      <c r="A66" s="21"/>
      <c r="B66" s="21"/>
      <c r="C66" s="21"/>
      <c r="D66" s="21"/>
      <c r="E66" s="21"/>
      <c r="F66" s="21"/>
      <c r="G66" s="136"/>
      <c r="H66" s="136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</row>
    <row r="67">
      <c r="A67" s="21"/>
      <c r="B67" s="21"/>
      <c r="C67" s="21"/>
      <c r="D67" s="21"/>
      <c r="E67" s="21"/>
      <c r="F67" s="21"/>
      <c r="G67" s="136"/>
      <c r="H67" s="136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</row>
    <row r="68">
      <c r="A68" s="21"/>
      <c r="B68" s="21"/>
      <c r="C68" s="21"/>
      <c r="D68" s="21"/>
      <c r="E68" s="21"/>
      <c r="F68" s="21"/>
      <c r="G68" s="136"/>
      <c r="H68" s="136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</row>
    <row r="69">
      <c r="A69" s="21"/>
      <c r="B69" s="21"/>
      <c r="C69" s="21"/>
      <c r="D69" s="21"/>
      <c r="E69" s="21"/>
      <c r="F69" s="21"/>
      <c r="G69" s="136"/>
      <c r="H69" s="136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</row>
    <row r="70">
      <c r="A70" s="21"/>
      <c r="B70" s="21"/>
      <c r="C70" s="21"/>
      <c r="D70" s="21"/>
      <c r="E70" s="21"/>
      <c r="F70" s="21"/>
      <c r="G70" s="136"/>
      <c r="H70" s="136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</row>
    <row r="71">
      <c r="A71" s="21"/>
      <c r="B71" s="21"/>
      <c r="C71" s="21"/>
      <c r="D71" s="21"/>
      <c r="E71" s="21"/>
      <c r="F71" s="21"/>
      <c r="G71" s="136"/>
      <c r="H71" s="136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</row>
    <row r="72">
      <c r="A72" s="21"/>
      <c r="B72" s="21"/>
      <c r="C72" s="21"/>
      <c r="D72" s="21"/>
      <c r="E72" s="21"/>
      <c r="F72" s="21"/>
      <c r="G72" s="136"/>
      <c r="H72" s="136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</row>
    <row r="73">
      <c r="A73" s="21"/>
      <c r="B73" s="21"/>
      <c r="C73" s="21"/>
      <c r="D73" s="21"/>
      <c r="E73" s="21"/>
      <c r="F73" s="21"/>
      <c r="G73" s="136"/>
      <c r="H73" s="136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</row>
    <row r="74">
      <c r="A74" s="21"/>
      <c r="B74" s="21"/>
      <c r="C74" s="21"/>
      <c r="D74" s="21"/>
      <c r="E74" s="21"/>
      <c r="F74" s="21"/>
      <c r="G74" s="136"/>
      <c r="H74" s="136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</row>
    <row r="75">
      <c r="A75" s="21"/>
      <c r="B75" s="21"/>
      <c r="C75" s="21"/>
      <c r="D75" s="21"/>
      <c r="E75" s="21"/>
      <c r="F75" s="21"/>
      <c r="G75" s="136"/>
      <c r="H75" s="136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</row>
    <row r="76">
      <c r="A76" s="21"/>
      <c r="B76" s="21"/>
      <c r="C76" s="21"/>
      <c r="D76" s="21"/>
      <c r="E76" s="21"/>
      <c r="F76" s="21"/>
      <c r="G76" s="136"/>
      <c r="H76" s="136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</row>
    <row r="77">
      <c r="A77" s="21"/>
      <c r="B77" s="21"/>
      <c r="C77" s="21"/>
      <c r="D77" s="21"/>
      <c r="E77" s="21"/>
      <c r="F77" s="21"/>
      <c r="G77" s="136"/>
      <c r="H77" s="136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</row>
    <row r="78">
      <c r="A78" s="21"/>
      <c r="B78" s="21"/>
      <c r="C78" s="21"/>
      <c r="D78" s="21"/>
      <c r="E78" s="21"/>
      <c r="F78" s="21"/>
      <c r="G78" s="136"/>
      <c r="H78" s="136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</row>
    <row r="79">
      <c r="A79" s="21"/>
      <c r="B79" s="21"/>
      <c r="C79" s="21"/>
      <c r="D79" s="21"/>
      <c r="E79" s="21"/>
      <c r="F79" s="21"/>
      <c r="G79" s="136"/>
      <c r="H79" s="136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</row>
    <row r="80">
      <c r="A80" s="21"/>
      <c r="B80" s="21"/>
      <c r="C80" s="21"/>
      <c r="D80" s="21"/>
      <c r="E80" s="21"/>
      <c r="F80" s="21"/>
      <c r="G80" s="136"/>
      <c r="H80" s="136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</row>
    <row r="81">
      <c r="A81" s="21"/>
      <c r="B81" s="21"/>
      <c r="C81" s="21"/>
      <c r="D81" s="21"/>
      <c r="E81" s="21"/>
      <c r="F81" s="21"/>
      <c r="G81" s="136"/>
      <c r="H81" s="136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</row>
    <row r="82">
      <c r="A82" s="21"/>
      <c r="B82" s="21"/>
      <c r="C82" s="21"/>
      <c r="D82" s="21"/>
      <c r="E82" s="21"/>
      <c r="F82" s="21"/>
      <c r="G82" s="136"/>
      <c r="H82" s="136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</row>
    <row r="83">
      <c r="A83" s="21"/>
      <c r="B83" s="21"/>
      <c r="C83" s="21"/>
      <c r="D83" s="21"/>
      <c r="E83" s="21"/>
      <c r="F83" s="21"/>
      <c r="G83" s="136"/>
      <c r="H83" s="136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</row>
    <row r="84">
      <c r="A84" s="21"/>
      <c r="B84" s="21"/>
      <c r="C84" s="21"/>
      <c r="D84" s="21"/>
      <c r="E84" s="21"/>
      <c r="F84" s="21"/>
      <c r="G84" s="136"/>
      <c r="H84" s="136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</row>
    <row r="85">
      <c r="A85" s="21"/>
      <c r="B85" s="21"/>
      <c r="C85" s="21"/>
      <c r="D85" s="21"/>
      <c r="E85" s="21"/>
      <c r="F85" s="21"/>
      <c r="G85" s="136"/>
      <c r="H85" s="136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</row>
    <row r="86">
      <c r="A86" s="21"/>
      <c r="B86" s="21"/>
      <c r="C86" s="21"/>
      <c r="D86" s="21"/>
      <c r="E86" s="21"/>
      <c r="F86" s="21"/>
      <c r="G86" s="136"/>
      <c r="H86" s="136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</row>
    <row r="87">
      <c r="A87" s="21"/>
      <c r="B87" s="21"/>
      <c r="C87" s="21"/>
      <c r="D87" s="21"/>
      <c r="E87" s="21"/>
      <c r="F87" s="21"/>
      <c r="G87" s="136"/>
      <c r="H87" s="136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</row>
    <row r="88">
      <c r="A88" s="21"/>
      <c r="B88" s="21"/>
      <c r="C88" s="21"/>
      <c r="D88" s="21"/>
      <c r="E88" s="21"/>
      <c r="F88" s="21"/>
      <c r="G88" s="136"/>
      <c r="H88" s="136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</row>
    <row r="89">
      <c r="A89" s="21"/>
      <c r="B89" s="21"/>
      <c r="C89" s="21"/>
      <c r="D89" s="21"/>
      <c r="E89" s="21"/>
      <c r="F89" s="21"/>
      <c r="G89" s="136"/>
      <c r="H89" s="136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</row>
    <row r="90">
      <c r="A90" s="21"/>
      <c r="B90" s="21"/>
      <c r="C90" s="21"/>
      <c r="D90" s="21"/>
      <c r="E90" s="21"/>
      <c r="F90" s="21"/>
      <c r="G90" s="136"/>
      <c r="H90" s="136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</row>
    <row r="91">
      <c r="A91" s="21"/>
      <c r="B91" s="21"/>
      <c r="C91" s="21"/>
      <c r="D91" s="21"/>
      <c r="E91" s="21"/>
      <c r="F91" s="21"/>
      <c r="G91" s="136"/>
      <c r="H91" s="136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</row>
    <row r="92">
      <c r="A92" s="21"/>
      <c r="B92" s="21"/>
      <c r="C92" s="21"/>
      <c r="D92" s="21"/>
      <c r="E92" s="21"/>
      <c r="F92" s="21"/>
      <c r="G92" s="136"/>
      <c r="H92" s="136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</row>
    <row r="93">
      <c r="A93" s="21"/>
      <c r="B93" s="21"/>
      <c r="C93" s="21"/>
      <c r="D93" s="21"/>
      <c r="E93" s="21"/>
      <c r="F93" s="21"/>
      <c r="G93" s="136"/>
      <c r="H93" s="136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</row>
    <row r="94">
      <c r="A94" s="21"/>
      <c r="B94" s="21"/>
      <c r="C94" s="21"/>
      <c r="D94" s="21"/>
      <c r="E94" s="21"/>
      <c r="F94" s="21"/>
      <c r="G94" s="136"/>
      <c r="H94" s="136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</row>
    <row r="95">
      <c r="A95" s="21"/>
      <c r="B95" s="21"/>
      <c r="C95" s="21"/>
      <c r="D95" s="21"/>
      <c r="E95" s="21"/>
      <c r="F95" s="21"/>
      <c r="G95" s="136"/>
      <c r="H95" s="136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</row>
    <row r="96">
      <c r="A96" s="21"/>
      <c r="B96" s="21"/>
      <c r="C96" s="21"/>
      <c r="D96" s="21"/>
      <c r="E96" s="21"/>
      <c r="F96" s="21"/>
      <c r="G96" s="136"/>
      <c r="H96" s="136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</row>
    <row r="97">
      <c r="A97" s="21"/>
      <c r="B97" s="21"/>
      <c r="C97" s="21"/>
      <c r="D97" s="21"/>
      <c r="E97" s="21"/>
      <c r="F97" s="21"/>
      <c r="G97" s="136"/>
      <c r="H97" s="136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</row>
    <row r="98">
      <c r="A98" s="21"/>
      <c r="B98" s="21"/>
      <c r="C98" s="21"/>
      <c r="D98" s="21"/>
      <c r="E98" s="21"/>
      <c r="F98" s="21"/>
      <c r="G98" s="136"/>
      <c r="H98" s="136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</row>
    <row r="99">
      <c r="A99" s="21"/>
      <c r="B99" s="21"/>
      <c r="C99" s="21"/>
      <c r="D99" s="21"/>
      <c r="E99" s="21"/>
      <c r="F99" s="21"/>
      <c r="G99" s="136"/>
      <c r="H99" s="136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</row>
    <row r="100">
      <c r="A100" s="21"/>
      <c r="B100" s="21"/>
      <c r="C100" s="21"/>
      <c r="D100" s="21"/>
      <c r="E100" s="21"/>
      <c r="F100" s="21"/>
      <c r="G100" s="136"/>
      <c r="H100" s="136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</row>
    <row r="101">
      <c r="A101" s="21"/>
      <c r="B101" s="21"/>
      <c r="C101" s="21"/>
      <c r="D101" s="21"/>
      <c r="E101" s="21"/>
      <c r="F101" s="21"/>
      <c r="G101" s="136"/>
      <c r="H101" s="136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</row>
    <row r="102">
      <c r="A102" s="21"/>
      <c r="B102" s="21"/>
      <c r="C102" s="21"/>
      <c r="D102" s="21"/>
      <c r="E102" s="21"/>
      <c r="F102" s="21"/>
      <c r="G102" s="136"/>
      <c r="H102" s="136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</row>
    <row r="103">
      <c r="A103" s="21"/>
      <c r="B103" s="21"/>
      <c r="C103" s="21"/>
      <c r="D103" s="21"/>
      <c r="E103" s="21"/>
      <c r="F103" s="21"/>
      <c r="G103" s="136"/>
      <c r="H103" s="136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</row>
    <row r="104">
      <c r="A104" s="21"/>
      <c r="B104" s="21"/>
      <c r="C104" s="21"/>
      <c r="D104" s="21"/>
      <c r="E104" s="21"/>
      <c r="F104" s="21"/>
      <c r="G104" s="136"/>
      <c r="H104" s="136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</row>
    <row r="105">
      <c r="A105" s="21"/>
      <c r="B105" s="21"/>
      <c r="C105" s="21"/>
      <c r="D105" s="21"/>
      <c r="E105" s="21"/>
      <c r="F105" s="21"/>
      <c r="G105" s="136"/>
      <c r="H105" s="136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</row>
    <row r="106">
      <c r="A106" s="21"/>
      <c r="B106" s="21"/>
      <c r="C106" s="21"/>
      <c r="D106" s="21"/>
      <c r="E106" s="21"/>
      <c r="F106" s="21"/>
      <c r="G106" s="136"/>
      <c r="H106" s="136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</row>
    <row r="107">
      <c r="A107" s="21"/>
      <c r="B107" s="21"/>
      <c r="C107" s="21"/>
      <c r="D107" s="21"/>
      <c r="E107" s="21"/>
      <c r="F107" s="21"/>
      <c r="G107" s="136"/>
      <c r="H107" s="136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</row>
    <row r="108">
      <c r="A108" s="21"/>
      <c r="B108" s="21"/>
      <c r="C108" s="21"/>
      <c r="D108" s="21"/>
      <c r="E108" s="21"/>
      <c r="F108" s="21"/>
      <c r="G108" s="136"/>
      <c r="H108" s="136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</row>
    <row r="109">
      <c r="A109" s="21"/>
      <c r="B109" s="21"/>
      <c r="C109" s="21"/>
      <c r="D109" s="21"/>
      <c r="E109" s="21"/>
      <c r="F109" s="21"/>
      <c r="G109" s="136"/>
      <c r="H109" s="136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</row>
    <row r="110">
      <c r="A110" s="21"/>
      <c r="B110" s="21"/>
      <c r="C110" s="21"/>
      <c r="D110" s="21"/>
      <c r="E110" s="21"/>
      <c r="F110" s="21"/>
      <c r="G110" s="136"/>
      <c r="H110" s="136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</row>
    <row r="111">
      <c r="A111" s="21"/>
      <c r="B111" s="21"/>
      <c r="C111" s="21"/>
      <c r="D111" s="21"/>
      <c r="E111" s="21"/>
      <c r="F111" s="21"/>
      <c r="G111" s="136"/>
      <c r="H111" s="136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</row>
    <row r="112">
      <c r="A112" s="21"/>
      <c r="B112" s="21"/>
      <c r="C112" s="21"/>
      <c r="D112" s="21"/>
      <c r="E112" s="21"/>
      <c r="F112" s="21"/>
      <c r="G112" s="136"/>
      <c r="H112" s="136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</row>
    <row r="113">
      <c r="A113" s="21"/>
      <c r="B113" s="21"/>
      <c r="C113" s="21"/>
      <c r="D113" s="21"/>
      <c r="E113" s="21"/>
      <c r="F113" s="21"/>
      <c r="G113" s="136"/>
      <c r="H113" s="136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</row>
    <row r="114">
      <c r="A114" s="21"/>
      <c r="B114" s="21"/>
      <c r="C114" s="21"/>
      <c r="D114" s="21"/>
      <c r="E114" s="21"/>
      <c r="F114" s="21"/>
      <c r="G114" s="136"/>
      <c r="H114" s="136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</row>
    <row r="115">
      <c r="A115" s="21"/>
      <c r="B115" s="21"/>
      <c r="C115" s="21"/>
      <c r="D115" s="21"/>
      <c r="E115" s="21"/>
      <c r="F115" s="21"/>
      <c r="G115" s="136"/>
      <c r="H115" s="136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</row>
    <row r="116">
      <c r="A116" s="21"/>
      <c r="B116" s="21"/>
      <c r="C116" s="21"/>
      <c r="D116" s="21"/>
      <c r="E116" s="21"/>
      <c r="F116" s="21"/>
      <c r="G116" s="136"/>
      <c r="H116" s="136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</row>
    <row r="117">
      <c r="A117" s="21"/>
      <c r="B117" s="21"/>
      <c r="C117" s="21"/>
      <c r="D117" s="21"/>
      <c r="E117" s="21"/>
      <c r="F117" s="21"/>
      <c r="G117" s="136"/>
      <c r="H117" s="136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</row>
    <row r="118">
      <c r="A118" s="21"/>
      <c r="B118" s="21"/>
      <c r="C118" s="21"/>
      <c r="D118" s="21"/>
      <c r="E118" s="21"/>
      <c r="F118" s="21"/>
      <c r="G118" s="136"/>
      <c r="H118" s="136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</row>
    <row r="119">
      <c r="A119" s="21"/>
      <c r="B119" s="21"/>
      <c r="C119" s="21"/>
      <c r="D119" s="21"/>
      <c r="E119" s="21"/>
      <c r="F119" s="21"/>
      <c r="G119" s="136"/>
      <c r="H119" s="136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</row>
    <row r="120">
      <c r="A120" s="21"/>
      <c r="B120" s="21"/>
      <c r="C120" s="21"/>
      <c r="D120" s="21"/>
      <c r="E120" s="21"/>
      <c r="F120" s="21"/>
      <c r="G120" s="136"/>
      <c r="H120" s="136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</row>
    <row r="121">
      <c r="A121" s="21"/>
      <c r="B121" s="21"/>
      <c r="C121" s="21"/>
      <c r="D121" s="21"/>
      <c r="E121" s="21"/>
      <c r="F121" s="21"/>
      <c r="G121" s="136"/>
      <c r="H121" s="136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</row>
    <row r="122">
      <c r="A122" s="21"/>
      <c r="B122" s="21"/>
      <c r="C122" s="21"/>
      <c r="D122" s="21"/>
      <c r="E122" s="21"/>
      <c r="F122" s="21"/>
      <c r="G122" s="136"/>
      <c r="H122" s="136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</row>
    <row r="123">
      <c r="A123" s="21"/>
      <c r="B123" s="21"/>
      <c r="C123" s="21"/>
      <c r="D123" s="21"/>
      <c r="E123" s="21"/>
      <c r="F123" s="21"/>
      <c r="G123" s="136"/>
      <c r="H123" s="136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</row>
    <row r="124">
      <c r="A124" s="21"/>
      <c r="B124" s="21"/>
      <c r="C124" s="21"/>
      <c r="D124" s="21"/>
      <c r="E124" s="21"/>
      <c r="F124" s="21"/>
      <c r="G124" s="136"/>
      <c r="H124" s="136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</row>
    <row r="125">
      <c r="A125" s="21"/>
      <c r="B125" s="21"/>
      <c r="C125" s="21"/>
      <c r="D125" s="21"/>
      <c r="E125" s="21"/>
      <c r="F125" s="21"/>
      <c r="G125" s="136"/>
      <c r="H125" s="136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</row>
    <row r="126">
      <c r="A126" s="21"/>
      <c r="B126" s="21"/>
      <c r="C126" s="21"/>
      <c r="D126" s="21"/>
      <c r="E126" s="21"/>
      <c r="F126" s="21"/>
      <c r="G126" s="136"/>
      <c r="H126" s="136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</row>
    <row r="127">
      <c r="A127" s="21"/>
      <c r="B127" s="21"/>
      <c r="C127" s="21"/>
      <c r="D127" s="21"/>
      <c r="E127" s="21"/>
      <c r="F127" s="21"/>
      <c r="G127" s="136"/>
      <c r="H127" s="136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</row>
    <row r="128">
      <c r="A128" s="21"/>
      <c r="B128" s="21"/>
      <c r="C128" s="21"/>
      <c r="D128" s="21"/>
      <c r="E128" s="21"/>
      <c r="F128" s="21"/>
      <c r="G128" s="136"/>
      <c r="H128" s="136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</row>
    <row r="129">
      <c r="A129" s="21"/>
      <c r="B129" s="21"/>
      <c r="C129" s="21"/>
      <c r="D129" s="21"/>
      <c r="E129" s="21"/>
      <c r="F129" s="21"/>
      <c r="G129" s="136"/>
      <c r="H129" s="136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</row>
    <row r="130">
      <c r="A130" s="21"/>
      <c r="B130" s="21"/>
      <c r="C130" s="21"/>
      <c r="D130" s="21"/>
      <c r="E130" s="21"/>
      <c r="F130" s="21"/>
      <c r="G130" s="136"/>
      <c r="H130" s="136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</row>
    <row r="131">
      <c r="A131" s="21"/>
      <c r="B131" s="21"/>
      <c r="C131" s="21"/>
      <c r="D131" s="21"/>
      <c r="E131" s="21"/>
      <c r="F131" s="21"/>
      <c r="G131" s="136"/>
      <c r="H131" s="136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</row>
    <row r="132">
      <c r="A132" s="21"/>
      <c r="B132" s="21"/>
      <c r="C132" s="21"/>
      <c r="D132" s="21"/>
      <c r="E132" s="21"/>
      <c r="F132" s="21"/>
      <c r="G132" s="136"/>
      <c r="H132" s="136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</row>
    <row r="133">
      <c r="A133" s="21"/>
      <c r="B133" s="21"/>
      <c r="C133" s="21"/>
      <c r="D133" s="21"/>
      <c r="E133" s="21"/>
      <c r="F133" s="21"/>
      <c r="G133" s="136"/>
      <c r="H133" s="136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</row>
    <row r="134">
      <c r="A134" s="21"/>
      <c r="B134" s="21"/>
      <c r="C134" s="21"/>
      <c r="D134" s="21"/>
      <c r="E134" s="21"/>
      <c r="F134" s="21"/>
      <c r="G134" s="136"/>
      <c r="H134" s="136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</row>
    <row r="135">
      <c r="A135" s="21"/>
      <c r="B135" s="21"/>
      <c r="C135" s="21"/>
      <c r="D135" s="21"/>
      <c r="E135" s="21"/>
      <c r="F135" s="21"/>
      <c r="G135" s="136"/>
      <c r="H135" s="136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</row>
    <row r="136">
      <c r="A136" s="21"/>
      <c r="B136" s="21"/>
      <c r="C136" s="21"/>
      <c r="D136" s="21"/>
      <c r="E136" s="21"/>
      <c r="F136" s="21"/>
      <c r="G136" s="136"/>
      <c r="H136" s="136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</row>
    <row r="137">
      <c r="A137" s="21"/>
      <c r="B137" s="21"/>
      <c r="C137" s="21"/>
      <c r="D137" s="21"/>
      <c r="E137" s="21"/>
      <c r="F137" s="21"/>
      <c r="G137" s="136"/>
      <c r="H137" s="136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</row>
    <row r="138">
      <c r="A138" s="21"/>
      <c r="B138" s="21"/>
      <c r="C138" s="21"/>
      <c r="D138" s="21"/>
      <c r="E138" s="21"/>
      <c r="F138" s="21"/>
      <c r="G138" s="136"/>
      <c r="H138" s="136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</row>
    <row r="139">
      <c r="A139" s="21"/>
      <c r="B139" s="21"/>
      <c r="C139" s="21"/>
      <c r="D139" s="21"/>
      <c r="E139" s="21"/>
      <c r="F139" s="21"/>
      <c r="G139" s="136"/>
      <c r="H139" s="136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</row>
    <row r="140">
      <c r="A140" s="21"/>
      <c r="B140" s="21"/>
      <c r="C140" s="21"/>
      <c r="D140" s="21"/>
      <c r="E140" s="21"/>
      <c r="F140" s="21"/>
      <c r="G140" s="136"/>
      <c r="H140" s="136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</row>
    <row r="141">
      <c r="A141" s="21"/>
      <c r="B141" s="21"/>
      <c r="C141" s="21"/>
      <c r="D141" s="21"/>
      <c r="E141" s="21"/>
      <c r="F141" s="21"/>
      <c r="G141" s="136"/>
      <c r="H141" s="136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</row>
    <row r="142">
      <c r="A142" s="21"/>
      <c r="B142" s="21"/>
      <c r="C142" s="21"/>
      <c r="D142" s="21"/>
      <c r="E142" s="21"/>
      <c r="F142" s="21"/>
      <c r="G142" s="136"/>
      <c r="H142" s="136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</row>
    <row r="143">
      <c r="A143" s="21"/>
      <c r="B143" s="21"/>
      <c r="C143" s="21"/>
      <c r="D143" s="21"/>
      <c r="E143" s="21"/>
      <c r="F143" s="21"/>
      <c r="G143" s="136"/>
      <c r="H143" s="136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</row>
    <row r="144">
      <c r="A144" s="21"/>
      <c r="B144" s="21"/>
      <c r="C144" s="21"/>
      <c r="D144" s="21"/>
      <c r="E144" s="21"/>
      <c r="F144" s="21"/>
      <c r="G144" s="136"/>
      <c r="H144" s="136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</row>
    <row r="145">
      <c r="A145" s="21"/>
      <c r="B145" s="21"/>
      <c r="C145" s="21"/>
      <c r="D145" s="21"/>
      <c r="E145" s="21"/>
      <c r="F145" s="21"/>
      <c r="G145" s="136"/>
      <c r="H145" s="136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</row>
    <row r="146">
      <c r="A146" s="21"/>
      <c r="B146" s="21"/>
      <c r="C146" s="21"/>
      <c r="D146" s="21"/>
      <c r="E146" s="21"/>
      <c r="F146" s="21"/>
      <c r="G146" s="136"/>
      <c r="H146" s="136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</row>
    <row r="147">
      <c r="A147" s="21"/>
      <c r="B147" s="21"/>
      <c r="C147" s="21"/>
      <c r="D147" s="21"/>
      <c r="E147" s="21"/>
      <c r="F147" s="21"/>
      <c r="G147" s="136"/>
      <c r="H147" s="136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</row>
    <row r="148">
      <c r="A148" s="21"/>
      <c r="B148" s="21"/>
      <c r="C148" s="21"/>
      <c r="D148" s="21"/>
      <c r="E148" s="21"/>
      <c r="F148" s="21"/>
      <c r="G148" s="136"/>
      <c r="H148" s="136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</row>
    <row r="149">
      <c r="A149" s="21"/>
      <c r="B149" s="21"/>
      <c r="C149" s="21"/>
      <c r="D149" s="21"/>
      <c r="E149" s="21"/>
      <c r="F149" s="21"/>
      <c r="G149" s="136"/>
      <c r="H149" s="136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</row>
    <row r="150">
      <c r="A150" s="21"/>
      <c r="B150" s="21"/>
      <c r="C150" s="21"/>
      <c r="D150" s="21"/>
      <c r="E150" s="21"/>
      <c r="F150" s="21"/>
      <c r="G150" s="136"/>
      <c r="H150" s="136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</row>
    <row r="151">
      <c r="A151" s="21"/>
      <c r="B151" s="21"/>
      <c r="C151" s="21"/>
      <c r="D151" s="21"/>
      <c r="E151" s="21"/>
      <c r="F151" s="21"/>
      <c r="G151" s="136"/>
      <c r="H151" s="136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</row>
    <row r="152">
      <c r="A152" s="21"/>
      <c r="B152" s="21"/>
      <c r="C152" s="21"/>
      <c r="D152" s="21"/>
      <c r="E152" s="21"/>
      <c r="F152" s="21"/>
      <c r="G152" s="136"/>
      <c r="H152" s="136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</row>
    <row r="153">
      <c r="A153" s="21"/>
      <c r="B153" s="21"/>
      <c r="C153" s="21"/>
      <c r="D153" s="21"/>
      <c r="E153" s="21"/>
      <c r="F153" s="21"/>
      <c r="G153" s="136"/>
      <c r="H153" s="136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</row>
    <row r="154">
      <c r="A154" s="21"/>
      <c r="B154" s="21"/>
      <c r="C154" s="21"/>
      <c r="D154" s="21"/>
      <c r="E154" s="21"/>
      <c r="F154" s="21"/>
      <c r="G154" s="136"/>
      <c r="H154" s="136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</row>
    <row r="155">
      <c r="A155" s="21"/>
      <c r="B155" s="21"/>
      <c r="C155" s="21"/>
      <c r="D155" s="21"/>
      <c r="E155" s="21"/>
      <c r="F155" s="21"/>
      <c r="G155" s="136"/>
      <c r="H155" s="136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</row>
    <row r="156">
      <c r="A156" s="21"/>
      <c r="B156" s="21"/>
      <c r="C156" s="21"/>
      <c r="D156" s="21"/>
      <c r="E156" s="21"/>
      <c r="F156" s="21"/>
      <c r="G156" s="136"/>
      <c r="H156" s="136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</row>
    <row r="157">
      <c r="A157" s="21"/>
      <c r="B157" s="21"/>
      <c r="C157" s="21"/>
      <c r="D157" s="21"/>
      <c r="E157" s="21"/>
      <c r="F157" s="21"/>
      <c r="G157" s="136"/>
      <c r="H157" s="136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</row>
    <row r="158">
      <c r="A158" s="21"/>
      <c r="B158" s="21"/>
      <c r="C158" s="21"/>
      <c r="D158" s="21"/>
      <c r="E158" s="21"/>
      <c r="F158" s="21"/>
      <c r="G158" s="136"/>
      <c r="H158" s="136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</row>
    <row r="159">
      <c r="A159" s="21"/>
      <c r="B159" s="21"/>
      <c r="C159" s="21"/>
      <c r="D159" s="21"/>
      <c r="E159" s="21"/>
      <c r="F159" s="21"/>
      <c r="G159" s="136"/>
      <c r="H159" s="136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</row>
    <row r="160">
      <c r="A160" s="21"/>
      <c r="B160" s="21"/>
      <c r="C160" s="21"/>
      <c r="D160" s="21"/>
      <c r="E160" s="21"/>
      <c r="F160" s="21"/>
      <c r="G160" s="136"/>
      <c r="H160" s="136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</row>
    <row r="161">
      <c r="A161" s="21"/>
      <c r="B161" s="21"/>
      <c r="C161" s="21"/>
      <c r="D161" s="21"/>
      <c r="E161" s="21"/>
      <c r="F161" s="21"/>
      <c r="G161" s="136"/>
      <c r="H161" s="136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</row>
    <row r="162">
      <c r="A162" s="21"/>
      <c r="B162" s="21"/>
      <c r="C162" s="21"/>
      <c r="D162" s="21"/>
      <c r="E162" s="21"/>
      <c r="F162" s="21"/>
      <c r="G162" s="136"/>
      <c r="H162" s="136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</row>
    <row r="163">
      <c r="A163" s="21"/>
      <c r="B163" s="21"/>
      <c r="C163" s="21"/>
      <c r="D163" s="21"/>
      <c r="E163" s="21"/>
      <c r="F163" s="21"/>
      <c r="G163" s="136"/>
      <c r="H163" s="136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</row>
    <row r="164">
      <c r="A164" s="21"/>
      <c r="B164" s="21"/>
      <c r="C164" s="21"/>
      <c r="D164" s="21"/>
      <c r="E164" s="21"/>
      <c r="F164" s="21"/>
      <c r="G164" s="136"/>
      <c r="H164" s="136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</row>
    <row r="165">
      <c r="A165" s="21"/>
      <c r="B165" s="21"/>
      <c r="C165" s="21"/>
      <c r="D165" s="21"/>
      <c r="E165" s="21"/>
      <c r="F165" s="21"/>
      <c r="G165" s="136"/>
      <c r="H165" s="136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</row>
    <row r="166">
      <c r="A166" s="21"/>
      <c r="B166" s="21"/>
      <c r="C166" s="21"/>
      <c r="D166" s="21"/>
      <c r="E166" s="21"/>
      <c r="F166" s="21"/>
      <c r="G166" s="136"/>
      <c r="H166" s="136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</row>
    <row r="167">
      <c r="A167" s="21"/>
      <c r="B167" s="21"/>
      <c r="C167" s="21"/>
      <c r="D167" s="21"/>
      <c r="E167" s="21"/>
      <c r="F167" s="21"/>
      <c r="G167" s="136"/>
      <c r="H167" s="136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</row>
    <row r="168">
      <c r="A168" s="21"/>
      <c r="B168" s="21"/>
      <c r="C168" s="21"/>
      <c r="D168" s="21"/>
      <c r="E168" s="21"/>
      <c r="F168" s="21"/>
      <c r="G168" s="136"/>
      <c r="H168" s="136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</row>
    <row r="169">
      <c r="A169" s="21"/>
      <c r="B169" s="21"/>
      <c r="C169" s="21"/>
      <c r="D169" s="21"/>
      <c r="E169" s="21"/>
      <c r="F169" s="21"/>
      <c r="G169" s="136"/>
      <c r="H169" s="136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</row>
    <row r="170">
      <c r="A170" s="21"/>
      <c r="B170" s="21"/>
      <c r="C170" s="21"/>
      <c r="D170" s="21"/>
      <c r="E170" s="21"/>
      <c r="F170" s="21"/>
      <c r="G170" s="136"/>
      <c r="H170" s="136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</row>
    <row r="171">
      <c r="A171" s="21"/>
      <c r="B171" s="21"/>
      <c r="C171" s="21"/>
      <c r="D171" s="21"/>
      <c r="E171" s="21"/>
      <c r="F171" s="21"/>
      <c r="G171" s="136"/>
      <c r="H171" s="136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</row>
    <row r="172">
      <c r="A172" s="21"/>
      <c r="B172" s="21"/>
      <c r="C172" s="21"/>
      <c r="D172" s="21"/>
      <c r="E172" s="21"/>
      <c r="F172" s="21"/>
      <c r="G172" s="136"/>
      <c r="H172" s="136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</row>
    <row r="173">
      <c r="A173" s="21"/>
      <c r="B173" s="21"/>
      <c r="C173" s="21"/>
      <c r="D173" s="21"/>
      <c r="E173" s="21"/>
      <c r="F173" s="21"/>
      <c r="G173" s="136"/>
      <c r="H173" s="136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</row>
    <row r="174">
      <c r="A174" s="21"/>
      <c r="B174" s="21"/>
      <c r="C174" s="21"/>
      <c r="D174" s="21"/>
      <c r="E174" s="21"/>
      <c r="F174" s="21"/>
      <c r="G174" s="136"/>
      <c r="H174" s="136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</row>
    <row r="175">
      <c r="A175" s="21"/>
      <c r="B175" s="21"/>
      <c r="C175" s="21"/>
      <c r="D175" s="21"/>
      <c r="E175" s="21"/>
      <c r="F175" s="21"/>
      <c r="G175" s="136"/>
      <c r="H175" s="136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</row>
    <row r="176">
      <c r="A176" s="21"/>
      <c r="B176" s="21"/>
      <c r="C176" s="21"/>
      <c r="D176" s="21"/>
      <c r="E176" s="21"/>
      <c r="F176" s="21"/>
      <c r="G176" s="136"/>
      <c r="H176" s="136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</row>
    <row r="177">
      <c r="A177" s="21"/>
      <c r="B177" s="21"/>
      <c r="C177" s="21"/>
      <c r="D177" s="21"/>
      <c r="E177" s="21"/>
      <c r="F177" s="21"/>
      <c r="G177" s="136"/>
      <c r="H177" s="136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</row>
    <row r="178">
      <c r="A178" s="21"/>
      <c r="B178" s="21"/>
      <c r="C178" s="21"/>
      <c r="D178" s="21"/>
      <c r="E178" s="21"/>
      <c r="F178" s="21"/>
      <c r="G178" s="136"/>
      <c r="H178" s="136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</row>
    <row r="179">
      <c r="A179" s="21"/>
      <c r="B179" s="21"/>
      <c r="C179" s="21"/>
      <c r="D179" s="21"/>
      <c r="E179" s="21"/>
      <c r="F179" s="21"/>
      <c r="G179" s="136"/>
      <c r="H179" s="136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</row>
    <row r="180">
      <c r="A180" s="21"/>
      <c r="B180" s="21"/>
      <c r="C180" s="21"/>
      <c r="D180" s="21"/>
      <c r="E180" s="21"/>
      <c r="F180" s="21"/>
      <c r="G180" s="136"/>
      <c r="H180" s="136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</row>
    <row r="181">
      <c r="A181" s="21"/>
      <c r="B181" s="21"/>
      <c r="C181" s="21"/>
      <c r="D181" s="21"/>
      <c r="E181" s="21"/>
      <c r="F181" s="21"/>
      <c r="G181" s="136"/>
      <c r="H181" s="136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</row>
    <row r="182">
      <c r="A182" s="21"/>
      <c r="B182" s="21"/>
      <c r="C182" s="21"/>
      <c r="D182" s="21"/>
      <c r="E182" s="21"/>
      <c r="F182" s="21"/>
      <c r="G182" s="136"/>
      <c r="H182" s="136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</row>
    <row r="183">
      <c r="A183" s="21"/>
      <c r="B183" s="21"/>
      <c r="C183" s="21"/>
      <c r="D183" s="21"/>
      <c r="E183" s="21"/>
      <c r="F183" s="21"/>
      <c r="G183" s="136"/>
      <c r="H183" s="136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</row>
    <row r="184">
      <c r="A184" s="21"/>
      <c r="B184" s="21"/>
      <c r="C184" s="21"/>
      <c r="D184" s="21"/>
      <c r="E184" s="21"/>
      <c r="F184" s="21"/>
      <c r="G184" s="136"/>
      <c r="H184" s="136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</row>
    <row r="185">
      <c r="A185" s="21"/>
      <c r="B185" s="21"/>
      <c r="C185" s="21"/>
      <c r="D185" s="21"/>
      <c r="E185" s="21"/>
      <c r="F185" s="21"/>
      <c r="G185" s="136"/>
      <c r="H185" s="136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</row>
    <row r="186">
      <c r="A186" s="21"/>
      <c r="B186" s="21"/>
      <c r="C186" s="21"/>
      <c r="D186" s="21"/>
      <c r="E186" s="21"/>
      <c r="F186" s="21"/>
      <c r="G186" s="136"/>
      <c r="H186" s="136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</row>
    <row r="187">
      <c r="A187" s="21"/>
      <c r="B187" s="21"/>
      <c r="C187" s="21"/>
      <c r="D187" s="21"/>
      <c r="E187" s="21"/>
      <c r="F187" s="21"/>
      <c r="G187" s="136"/>
      <c r="H187" s="136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</row>
    <row r="188">
      <c r="A188" s="21"/>
      <c r="B188" s="21"/>
      <c r="C188" s="21"/>
      <c r="D188" s="21"/>
      <c r="E188" s="21"/>
      <c r="F188" s="21"/>
      <c r="G188" s="136"/>
      <c r="H188" s="136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</row>
    <row r="189">
      <c r="A189" s="21"/>
      <c r="B189" s="21"/>
      <c r="C189" s="21"/>
      <c r="D189" s="21"/>
      <c r="E189" s="21"/>
      <c r="F189" s="21"/>
      <c r="G189" s="136"/>
      <c r="H189" s="136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</row>
    <row r="190">
      <c r="A190" s="21"/>
      <c r="B190" s="21"/>
      <c r="C190" s="21"/>
      <c r="D190" s="21"/>
      <c r="E190" s="21"/>
      <c r="F190" s="21"/>
      <c r="G190" s="136"/>
      <c r="H190" s="136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</row>
    <row r="191">
      <c r="A191" s="21"/>
      <c r="B191" s="21"/>
      <c r="C191" s="21"/>
      <c r="D191" s="21"/>
      <c r="E191" s="21"/>
      <c r="F191" s="21"/>
      <c r="G191" s="136"/>
      <c r="H191" s="136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</row>
    <row r="192">
      <c r="A192" s="21"/>
      <c r="B192" s="21"/>
      <c r="C192" s="21"/>
      <c r="D192" s="21"/>
      <c r="E192" s="21"/>
      <c r="F192" s="21"/>
      <c r="G192" s="136"/>
      <c r="H192" s="136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</row>
    <row r="193">
      <c r="A193" s="21"/>
      <c r="B193" s="21"/>
      <c r="C193" s="21"/>
      <c r="D193" s="21"/>
      <c r="E193" s="21"/>
      <c r="F193" s="21"/>
      <c r="G193" s="136"/>
      <c r="H193" s="136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</row>
    <row r="194">
      <c r="A194" s="21"/>
      <c r="B194" s="21"/>
      <c r="C194" s="21"/>
      <c r="D194" s="21"/>
      <c r="E194" s="21"/>
      <c r="F194" s="21"/>
      <c r="G194" s="136"/>
      <c r="H194" s="136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</row>
    <row r="195">
      <c r="A195" s="21"/>
      <c r="B195" s="21"/>
      <c r="C195" s="21"/>
      <c r="D195" s="21"/>
      <c r="E195" s="21"/>
      <c r="F195" s="21"/>
      <c r="G195" s="136"/>
      <c r="H195" s="136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</row>
    <row r="196">
      <c r="A196" s="21"/>
      <c r="B196" s="21"/>
      <c r="C196" s="21"/>
      <c r="D196" s="21"/>
      <c r="E196" s="21"/>
      <c r="F196" s="21"/>
      <c r="G196" s="136"/>
      <c r="H196" s="136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</row>
    <row r="197">
      <c r="A197" s="21"/>
      <c r="B197" s="21"/>
      <c r="C197" s="21"/>
      <c r="D197" s="21"/>
      <c r="E197" s="21"/>
      <c r="F197" s="21"/>
      <c r="G197" s="136"/>
      <c r="H197" s="136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</row>
    <row r="198">
      <c r="A198" s="21"/>
      <c r="B198" s="21"/>
      <c r="C198" s="21"/>
      <c r="D198" s="21"/>
      <c r="E198" s="21"/>
      <c r="F198" s="21"/>
      <c r="G198" s="136"/>
      <c r="H198" s="136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</row>
    <row r="199">
      <c r="A199" s="21"/>
      <c r="B199" s="21"/>
      <c r="C199" s="21"/>
      <c r="D199" s="21"/>
      <c r="E199" s="21"/>
      <c r="F199" s="21"/>
      <c r="G199" s="136"/>
      <c r="H199" s="136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</row>
    <row r="200">
      <c r="A200" s="21"/>
      <c r="B200" s="21"/>
      <c r="C200" s="21"/>
      <c r="D200" s="21"/>
      <c r="E200" s="21"/>
      <c r="F200" s="21"/>
      <c r="G200" s="136"/>
      <c r="H200" s="136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</row>
    <row r="201">
      <c r="A201" s="21"/>
      <c r="B201" s="21"/>
      <c r="C201" s="21"/>
      <c r="D201" s="21"/>
      <c r="E201" s="21"/>
      <c r="F201" s="21"/>
      <c r="G201" s="136"/>
      <c r="H201" s="136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</row>
    <row r="202">
      <c r="A202" s="21"/>
      <c r="B202" s="21"/>
      <c r="C202" s="21"/>
      <c r="D202" s="21"/>
      <c r="E202" s="21"/>
      <c r="F202" s="21"/>
      <c r="G202" s="136"/>
      <c r="H202" s="136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</row>
    <row r="203">
      <c r="A203" s="21"/>
      <c r="B203" s="21"/>
      <c r="C203" s="21"/>
      <c r="D203" s="21"/>
      <c r="E203" s="21"/>
      <c r="F203" s="21"/>
      <c r="G203" s="136"/>
      <c r="H203" s="136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</row>
    <row r="204">
      <c r="A204" s="21"/>
      <c r="B204" s="21"/>
      <c r="C204" s="21"/>
      <c r="D204" s="21"/>
      <c r="E204" s="21"/>
      <c r="F204" s="21"/>
      <c r="G204" s="136"/>
      <c r="H204" s="136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</row>
    <row r="205">
      <c r="A205" s="21"/>
      <c r="B205" s="21"/>
      <c r="C205" s="21"/>
      <c r="D205" s="21"/>
      <c r="E205" s="21"/>
      <c r="F205" s="21"/>
      <c r="G205" s="136"/>
      <c r="H205" s="136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</row>
    <row r="206">
      <c r="A206" s="21"/>
      <c r="B206" s="21"/>
      <c r="C206" s="21"/>
      <c r="D206" s="21"/>
      <c r="E206" s="21"/>
      <c r="F206" s="21"/>
      <c r="G206" s="136"/>
      <c r="H206" s="136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</row>
    <row r="207">
      <c r="A207" s="21"/>
      <c r="B207" s="21"/>
      <c r="C207" s="21"/>
      <c r="D207" s="21"/>
      <c r="E207" s="21"/>
      <c r="F207" s="21"/>
      <c r="G207" s="136"/>
      <c r="H207" s="136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</row>
    <row r="208">
      <c r="A208" s="21"/>
      <c r="B208" s="21"/>
      <c r="C208" s="21"/>
      <c r="D208" s="21"/>
      <c r="E208" s="21"/>
      <c r="F208" s="21"/>
      <c r="G208" s="136"/>
      <c r="H208" s="136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</row>
    <row r="209">
      <c r="A209" s="21"/>
      <c r="B209" s="21"/>
      <c r="C209" s="21"/>
      <c r="D209" s="21"/>
      <c r="E209" s="21"/>
      <c r="F209" s="21"/>
      <c r="G209" s="136"/>
      <c r="H209" s="136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</row>
    <row r="210">
      <c r="A210" s="21"/>
      <c r="B210" s="21"/>
      <c r="C210" s="21"/>
      <c r="D210" s="21"/>
      <c r="E210" s="21"/>
      <c r="F210" s="21"/>
      <c r="G210" s="136"/>
      <c r="H210" s="136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</row>
    <row r="211">
      <c r="A211" s="21"/>
      <c r="B211" s="21"/>
      <c r="C211" s="21"/>
      <c r="D211" s="21"/>
      <c r="E211" s="21"/>
      <c r="F211" s="21"/>
      <c r="G211" s="136"/>
      <c r="H211" s="136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</row>
    <row r="212">
      <c r="A212" s="21"/>
      <c r="B212" s="21"/>
      <c r="C212" s="21"/>
      <c r="D212" s="21"/>
      <c r="E212" s="21"/>
      <c r="F212" s="21"/>
      <c r="G212" s="136"/>
      <c r="H212" s="136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</row>
    <row r="213">
      <c r="A213" s="21"/>
      <c r="B213" s="21"/>
      <c r="C213" s="21"/>
      <c r="D213" s="21"/>
      <c r="E213" s="21"/>
      <c r="F213" s="21"/>
      <c r="G213" s="136"/>
      <c r="H213" s="136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</row>
    <row r="214">
      <c r="A214" s="21"/>
      <c r="B214" s="21"/>
      <c r="C214" s="21"/>
      <c r="D214" s="21"/>
      <c r="E214" s="21"/>
      <c r="F214" s="21"/>
      <c r="G214" s="136"/>
      <c r="H214" s="136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</row>
    <row r="215">
      <c r="A215" s="21"/>
      <c r="B215" s="21"/>
      <c r="C215" s="21"/>
      <c r="D215" s="21"/>
      <c r="E215" s="21"/>
      <c r="F215" s="21"/>
      <c r="G215" s="136"/>
      <c r="H215" s="136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</row>
    <row r="216">
      <c r="A216" s="21"/>
      <c r="B216" s="21"/>
      <c r="C216" s="21"/>
      <c r="D216" s="21"/>
      <c r="E216" s="21"/>
      <c r="F216" s="21"/>
      <c r="G216" s="136"/>
      <c r="H216" s="136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</row>
    <row r="217">
      <c r="A217" s="21"/>
      <c r="B217" s="21"/>
      <c r="C217" s="21"/>
      <c r="D217" s="21"/>
      <c r="E217" s="21"/>
      <c r="F217" s="21"/>
      <c r="G217" s="136"/>
      <c r="H217" s="136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</row>
    <row r="218">
      <c r="A218" s="21"/>
      <c r="B218" s="21"/>
      <c r="C218" s="21"/>
      <c r="D218" s="21"/>
      <c r="E218" s="21"/>
      <c r="F218" s="21"/>
      <c r="G218" s="136"/>
      <c r="H218" s="136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</row>
    <row r="219">
      <c r="A219" s="21"/>
      <c r="B219" s="21"/>
      <c r="C219" s="21"/>
      <c r="D219" s="21"/>
      <c r="E219" s="21"/>
      <c r="F219" s="21"/>
      <c r="G219" s="136"/>
      <c r="H219" s="136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</row>
    <row r="220">
      <c r="A220" s="21"/>
      <c r="B220" s="21"/>
      <c r="C220" s="21"/>
      <c r="D220" s="21"/>
      <c r="E220" s="21"/>
      <c r="F220" s="21"/>
      <c r="G220" s="136"/>
      <c r="H220" s="136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</row>
    <row r="221">
      <c r="A221" s="21"/>
      <c r="B221" s="21"/>
      <c r="C221" s="21"/>
      <c r="D221" s="21"/>
      <c r="E221" s="21"/>
      <c r="F221" s="21"/>
      <c r="G221" s="136"/>
      <c r="H221" s="136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</row>
    <row r="222">
      <c r="A222" s="21"/>
      <c r="B222" s="21"/>
      <c r="C222" s="21"/>
      <c r="D222" s="21"/>
      <c r="E222" s="21"/>
      <c r="F222" s="21"/>
      <c r="G222" s="136"/>
      <c r="H222" s="136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</row>
    <row r="223">
      <c r="A223" s="21"/>
      <c r="B223" s="21"/>
      <c r="C223" s="21"/>
      <c r="D223" s="21"/>
      <c r="E223" s="21"/>
      <c r="F223" s="21"/>
      <c r="G223" s="136"/>
      <c r="H223" s="136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</row>
    <row r="224">
      <c r="A224" s="21"/>
      <c r="B224" s="21"/>
      <c r="C224" s="21"/>
      <c r="D224" s="21"/>
      <c r="E224" s="21"/>
      <c r="F224" s="21"/>
      <c r="G224" s="136"/>
      <c r="H224" s="136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</row>
    <row r="225">
      <c r="A225" s="21"/>
      <c r="B225" s="21"/>
      <c r="C225" s="21"/>
      <c r="D225" s="21"/>
      <c r="E225" s="21"/>
      <c r="F225" s="21"/>
      <c r="G225" s="136"/>
      <c r="H225" s="136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</row>
    <row r="226">
      <c r="A226" s="21"/>
      <c r="B226" s="21"/>
      <c r="C226" s="21"/>
      <c r="D226" s="21"/>
      <c r="E226" s="21"/>
      <c r="F226" s="21"/>
      <c r="G226" s="136"/>
      <c r="H226" s="136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</row>
    <row r="227">
      <c r="A227" s="21"/>
      <c r="B227" s="21"/>
      <c r="C227" s="21"/>
      <c r="D227" s="21"/>
      <c r="E227" s="21"/>
      <c r="F227" s="21"/>
      <c r="G227" s="136"/>
      <c r="H227" s="136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</row>
    <row r="228">
      <c r="A228" s="21"/>
      <c r="B228" s="21"/>
      <c r="C228" s="21"/>
      <c r="D228" s="21"/>
      <c r="E228" s="21"/>
      <c r="F228" s="21"/>
      <c r="G228" s="136"/>
      <c r="H228" s="136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</row>
    <row r="229">
      <c r="A229" s="21"/>
      <c r="B229" s="21"/>
      <c r="C229" s="21"/>
      <c r="D229" s="21"/>
      <c r="E229" s="21"/>
      <c r="F229" s="21"/>
      <c r="G229" s="136"/>
      <c r="H229" s="136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</row>
    <row r="230">
      <c r="A230" s="21"/>
      <c r="B230" s="21"/>
      <c r="C230" s="21"/>
      <c r="D230" s="21"/>
      <c r="E230" s="21"/>
      <c r="F230" s="21"/>
      <c r="G230" s="136"/>
      <c r="H230" s="136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</row>
    <row r="231">
      <c r="A231" s="21"/>
      <c r="B231" s="21"/>
      <c r="C231" s="21"/>
      <c r="D231" s="21"/>
      <c r="E231" s="21"/>
      <c r="F231" s="21"/>
      <c r="G231" s="136"/>
      <c r="H231" s="136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</row>
    <row r="232">
      <c r="A232" s="21"/>
      <c r="B232" s="21"/>
      <c r="C232" s="21"/>
      <c r="D232" s="21"/>
      <c r="E232" s="21"/>
      <c r="F232" s="21"/>
      <c r="G232" s="136"/>
      <c r="H232" s="136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</row>
    <row r="233">
      <c r="A233" s="21"/>
      <c r="B233" s="21"/>
      <c r="C233" s="21"/>
      <c r="D233" s="21"/>
      <c r="E233" s="21"/>
      <c r="F233" s="21"/>
      <c r="G233" s="136"/>
      <c r="H233" s="136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</row>
    <row r="234">
      <c r="A234" s="21"/>
      <c r="B234" s="21"/>
      <c r="C234" s="21"/>
      <c r="D234" s="21"/>
      <c r="E234" s="21"/>
      <c r="F234" s="21"/>
      <c r="G234" s="136"/>
      <c r="H234" s="136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</row>
    <row r="235">
      <c r="A235" s="21"/>
      <c r="B235" s="21"/>
      <c r="C235" s="21"/>
      <c r="D235" s="21"/>
      <c r="E235" s="21"/>
      <c r="F235" s="21"/>
      <c r="G235" s="136"/>
      <c r="H235" s="136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</row>
    <row r="236">
      <c r="A236" s="21"/>
      <c r="B236" s="21"/>
      <c r="C236" s="21"/>
      <c r="D236" s="21"/>
      <c r="E236" s="21"/>
      <c r="F236" s="21"/>
      <c r="G236" s="136"/>
      <c r="H236" s="136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</row>
    <row r="237">
      <c r="A237" s="21"/>
      <c r="B237" s="21"/>
      <c r="C237" s="21"/>
      <c r="D237" s="21"/>
      <c r="E237" s="21"/>
      <c r="F237" s="21"/>
      <c r="G237" s="136"/>
      <c r="H237" s="136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</row>
    <row r="238">
      <c r="A238" s="21"/>
      <c r="B238" s="21"/>
      <c r="C238" s="21"/>
      <c r="D238" s="21"/>
      <c r="E238" s="21"/>
      <c r="F238" s="21"/>
      <c r="G238" s="136"/>
      <c r="H238" s="136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</row>
    <row r="239">
      <c r="A239" s="21"/>
      <c r="B239" s="21"/>
      <c r="C239" s="21"/>
      <c r="D239" s="21"/>
      <c r="E239" s="21"/>
      <c r="F239" s="21"/>
      <c r="G239" s="136"/>
      <c r="H239" s="136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</row>
    <row r="240">
      <c r="A240" s="21"/>
      <c r="B240" s="21"/>
      <c r="C240" s="21"/>
      <c r="D240" s="21"/>
      <c r="E240" s="21"/>
      <c r="F240" s="21"/>
      <c r="G240" s="136"/>
      <c r="H240" s="136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</row>
    <row r="241">
      <c r="A241" s="21"/>
      <c r="B241" s="21"/>
      <c r="C241" s="21"/>
      <c r="D241" s="21"/>
      <c r="E241" s="21"/>
      <c r="F241" s="21"/>
      <c r="G241" s="136"/>
      <c r="H241" s="136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</row>
    <row r="242">
      <c r="A242" s="21"/>
      <c r="B242" s="21"/>
      <c r="C242" s="21"/>
      <c r="D242" s="21"/>
      <c r="E242" s="21"/>
      <c r="F242" s="21"/>
      <c r="G242" s="136"/>
      <c r="H242" s="136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</row>
    <row r="243">
      <c r="A243" s="21"/>
      <c r="B243" s="21"/>
      <c r="C243" s="21"/>
      <c r="D243" s="21"/>
      <c r="E243" s="21"/>
      <c r="F243" s="21"/>
      <c r="G243" s="136"/>
      <c r="H243" s="136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</row>
    <row r="244">
      <c r="A244" s="21"/>
      <c r="B244" s="21"/>
      <c r="C244" s="21"/>
      <c r="D244" s="21"/>
      <c r="E244" s="21"/>
      <c r="F244" s="21"/>
      <c r="G244" s="136"/>
      <c r="H244" s="136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</row>
    <row r="245">
      <c r="A245" s="21"/>
      <c r="B245" s="21"/>
      <c r="C245" s="21"/>
      <c r="D245" s="21"/>
      <c r="E245" s="21"/>
      <c r="F245" s="21"/>
      <c r="G245" s="136"/>
      <c r="H245" s="136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</row>
    <row r="246">
      <c r="A246" s="21"/>
      <c r="B246" s="21"/>
      <c r="C246" s="21"/>
      <c r="D246" s="21"/>
      <c r="E246" s="21"/>
      <c r="F246" s="21"/>
      <c r="G246" s="136"/>
      <c r="H246" s="136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</row>
    <row r="247">
      <c r="A247" s="21"/>
      <c r="B247" s="21"/>
      <c r="C247" s="21"/>
      <c r="D247" s="21"/>
      <c r="E247" s="21"/>
      <c r="F247" s="21"/>
      <c r="G247" s="136"/>
      <c r="H247" s="136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</row>
    <row r="248">
      <c r="A248" s="21"/>
      <c r="B248" s="21"/>
      <c r="C248" s="21"/>
      <c r="D248" s="21"/>
      <c r="E248" s="21"/>
      <c r="F248" s="21"/>
      <c r="G248" s="136"/>
      <c r="H248" s="136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</row>
    <row r="249">
      <c r="A249" s="21"/>
      <c r="B249" s="21"/>
      <c r="C249" s="21"/>
      <c r="D249" s="21"/>
      <c r="E249" s="21"/>
      <c r="F249" s="21"/>
      <c r="G249" s="136"/>
      <c r="H249" s="136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</row>
    <row r="250">
      <c r="A250" s="21"/>
      <c r="B250" s="21"/>
      <c r="C250" s="21"/>
      <c r="D250" s="21"/>
      <c r="E250" s="21"/>
      <c r="F250" s="21"/>
      <c r="G250" s="136"/>
      <c r="H250" s="136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</row>
    <row r="251">
      <c r="A251" s="21"/>
      <c r="B251" s="21"/>
      <c r="C251" s="21"/>
      <c r="D251" s="21"/>
      <c r="E251" s="21"/>
      <c r="F251" s="21"/>
      <c r="G251" s="136"/>
      <c r="H251" s="136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</row>
    <row r="252">
      <c r="A252" s="21"/>
      <c r="B252" s="21"/>
      <c r="C252" s="21"/>
      <c r="D252" s="21"/>
      <c r="E252" s="21"/>
      <c r="F252" s="21"/>
      <c r="G252" s="136"/>
      <c r="H252" s="136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</row>
    <row r="253">
      <c r="A253" s="21"/>
      <c r="B253" s="21"/>
      <c r="C253" s="21"/>
      <c r="D253" s="21"/>
      <c r="E253" s="21"/>
      <c r="F253" s="21"/>
      <c r="G253" s="136"/>
      <c r="H253" s="136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</row>
    <row r="254">
      <c r="A254" s="21"/>
      <c r="B254" s="21"/>
      <c r="C254" s="21"/>
      <c r="D254" s="21"/>
      <c r="E254" s="21"/>
      <c r="F254" s="21"/>
      <c r="G254" s="136"/>
      <c r="H254" s="136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</row>
    <row r="255">
      <c r="A255" s="21"/>
      <c r="B255" s="21"/>
      <c r="C255" s="21"/>
      <c r="D255" s="21"/>
      <c r="E255" s="21"/>
      <c r="F255" s="21"/>
      <c r="G255" s="136"/>
      <c r="H255" s="136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</row>
    <row r="256">
      <c r="A256" s="21"/>
      <c r="B256" s="21"/>
      <c r="C256" s="21"/>
      <c r="D256" s="21"/>
      <c r="E256" s="21"/>
      <c r="F256" s="21"/>
      <c r="G256" s="136"/>
      <c r="H256" s="136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</row>
    <row r="257">
      <c r="A257" s="21"/>
      <c r="B257" s="21"/>
      <c r="C257" s="21"/>
      <c r="D257" s="21"/>
      <c r="E257" s="21"/>
      <c r="F257" s="21"/>
      <c r="G257" s="136"/>
      <c r="H257" s="136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</row>
    <row r="258">
      <c r="A258" s="21"/>
      <c r="B258" s="21"/>
      <c r="C258" s="21"/>
      <c r="D258" s="21"/>
      <c r="E258" s="21"/>
      <c r="F258" s="21"/>
      <c r="G258" s="136"/>
      <c r="H258" s="136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</row>
    <row r="259">
      <c r="A259" s="21"/>
      <c r="B259" s="21"/>
      <c r="C259" s="21"/>
      <c r="D259" s="21"/>
      <c r="E259" s="21"/>
      <c r="F259" s="21"/>
      <c r="G259" s="136"/>
      <c r="H259" s="136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</row>
    <row r="260">
      <c r="A260" s="21"/>
      <c r="B260" s="21"/>
      <c r="C260" s="21"/>
      <c r="D260" s="21"/>
      <c r="E260" s="21"/>
      <c r="F260" s="21"/>
      <c r="G260" s="136"/>
      <c r="H260" s="136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</row>
    <row r="261">
      <c r="A261" s="21"/>
      <c r="B261" s="21"/>
      <c r="C261" s="21"/>
      <c r="D261" s="21"/>
      <c r="E261" s="21"/>
      <c r="F261" s="21"/>
      <c r="G261" s="136"/>
      <c r="H261" s="136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</row>
    <row r="262">
      <c r="A262" s="21"/>
      <c r="B262" s="21"/>
      <c r="C262" s="21"/>
      <c r="D262" s="21"/>
      <c r="E262" s="21"/>
      <c r="F262" s="21"/>
      <c r="G262" s="136"/>
      <c r="H262" s="136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</row>
    <row r="263">
      <c r="A263" s="21"/>
      <c r="B263" s="21"/>
      <c r="C263" s="21"/>
      <c r="D263" s="21"/>
      <c r="E263" s="21"/>
      <c r="F263" s="21"/>
      <c r="G263" s="136"/>
      <c r="H263" s="136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</row>
    <row r="264">
      <c r="A264" s="21"/>
      <c r="B264" s="21"/>
      <c r="C264" s="21"/>
      <c r="D264" s="21"/>
      <c r="E264" s="21"/>
      <c r="F264" s="21"/>
      <c r="G264" s="136"/>
      <c r="H264" s="136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</row>
    <row r="265">
      <c r="A265" s="21"/>
      <c r="B265" s="21"/>
      <c r="C265" s="21"/>
      <c r="D265" s="21"/>
      <c r="E265" s="21"/>
      <c r="F265" s="21"/>
      <c r="G265" s="136"/>
      <c r="H265" s="136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</row>
    <row r="266">
      <c r="A266" s="21"/>
      <c r="B266" s="21"/>
      <c r="C266" s="21"/>
      <c r="D266" s="21"/>
      <c r="E266" s="21"/>
      <c r="F266" s="21"/>
      <c r="G266" s="136"/>
      <c r="H266" s="136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</row>
    <row r="267">
      <c r="A267" s="21"/>
      <c r="B267" s="21"/>
      <c r="C267" s="21"/>
      <c r="D267" s="21"/>
      <c r="E267" s="21"/>
      <c r="F267" s="21"/>
      <c r="G267" s="136"/>
      <c r="H267" s="136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</row>
    <row r="268">
      <c r="A268" s="21"/>
      <c r="B268" s="21"/>
      <c r="C268" s="21"/>
      <c r="D268" s="21"/>
      <c r="E268" s="21"/>
      <c r="F268" s="21"/>
      <c r="G268" s="136"/>
      <c r="H268" s="136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</row>
    <row r="269">
      <c r="A269" s="21"/>
      <c r="B269" s="21"/>
      <c r="C269" s="21"/>
      <c r="D269" s="21"/>
      <c r="E269" s="21"/>
      <c r="F269" s="21"/>
      <c r="G269" s="136"/>
      <c r="H269" s="136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</row>
    <row r="270">
      <c r="A270" s="21"/>
      <c r="B270" s="21"/>
      <c r="C270" s="21"/>
      <c r="D270" s="21"/>
      <c r="E270" s="21"/>
      <c r="F270" s="21"/>
      <c r="G270" s="136"/>
      <c r="H270" s="136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</row>
    <row r="271">
      <c r="A271" s="21"/>
      <c r="B271" s="21"/>
      <c r="C271" s="21"/>
      <c r="D271" s="21"/>
      <c r="E271" s="21"/>
      <c r="F271" s="21"/>
      <c r="G271" s="136"/>
      <c r="H271" s="136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</row>
    <row r="272">
      <c r="A272" s="21"/>
      <c r="B272" s="21"/>
      <c r="C272" s="21"/>
      <c r="D272" s="21"/>
      <c r="E272" s="21"/>
      <c r="F272" s="21"/>
      <c r="G272" s="136"/>
      <c r="H272" s="136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</row>
    <row r="273">
      <c r="A273" s="21"/>
      <c r="B273" s="21"/>
      <c r="C273" s="21"/>
      <c r="D273" s="21"/>
      <c r="E273" s="21"/>
      <c r="F273" s="21"/>
      <c r="G273" s="136"/>
      <c r="H273" s="136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</row>
    <row r="274">
      <c r="A274" s="21"/>
      <c r="B274" s="21"/>
      <c r="C274" s="21"/>
      <c r="D274" s="21"/>
      <c r="E274" s="21"/>
      <c r="F274" s="21"/>
      <c r="G274" s="136"/>
      <c r="H274" s="136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</row>
    <row r="275">
      <c r="A275" s="21"/>
      <c r="B275" s="21"/>
      <c r="C275" s="21"/>
      <c r="D275" s="21"/>
      <c r="E275" s="21"/>
      <c r="F275" s="21"/>
      <c r="G275" s="136"/>
      <c r="H275" s="136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</row>
    <row r="276">
      <c r="A276" s="21"/>
      <c r="B276" s="21"/>
      <c r="C276" s="21"/>
      <c r="D276" s="21"/>
      <c r="E276" s="21"/>
      <c r="F276" s="21"/>
      <c r="G276" s="136"/>
      <c r="H276" s="136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</row>
    <row r="277">
      <c r="A277" s="21"/>
      <c r="B277" s="21"/>
      <c r="C277" s="21"/>
      <c r="D277" s="21"/>
      <c r="E277" s="21"/>
      <c r="F277" s="21"/>
      <c r="G277" s="136"/>
      <c r="H277" s="136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</row>
    <row r="278">
      <c r="A278" s="21"/>
      <c r="B278" s="21"/>
      <c r="C278" s="21"/>
      <c r="D278" s="21"/>
      <c r="E278" s="21"/>
      <c r="F278" s="21"/>
      <c r="G278" s="136"/>
      <c r="H278" s="136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</row>
    <row r="279">
      <c r="A279" s="21"/>
      <c r="B279" s="21"/>
      <c r="C279" s="21"/>
      <c r="D279" s="21"/>
      <c r="E279" s="21"/>
      <c r="F279" s="21"/>
      <c r="G279" s="136"/>
      <c r="H279" s="136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</row>
    <row r="280">
      <c r="A280" s="21"/>
      <c r="B280" s="21"/>
      <c r="C280" s="21"/>
      <c r="D280" s="21"/>
      <c r="E280" s="21"/>
      <c r="F280" s="21"/>
      <c r="G280" s="136"/>
      <c r="H280" s="136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</row>
    <row r="281">
      <c r="A281" s="21"/>
      <c r="B281" s="21"/>
      <c r="C281" s="21"/>
      <c r="D281" s="21"/>
      <c r="E281" s="21"/>
      <c r="F281" s="21"/>
      <c r="G281" s="136"/>
      <c r="H281" s="136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</row>
    <row r="282">
      <c r="A282" s="21"/>
      <c r="B282" s="21"/>
      <c r="C282" s="21"/>
      <c r="D282" s="21"/>
      <c r="E282" s="21"/>
      <c r="F282" s="21"/>
      <c r="G282" s="136"/>
      <c r="H282" s="136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</row>
    <row r="283">
      <c r="A283" s="21"/>
      <c r="B283" s="21"/>
      <c r="C283" s="21"/>
      <c r="D283" s="21"/>
      <c r="E283" s="21"/>
      <c r="F283" s="21"/>
      <c r="G283" s="136"/>
      <c r="H283" s="136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</row>
    <row r="284">
      <c r="A284" s="21"/>
      <c r="B284" s="21"/>
      <c r="C284" s="21"/>
      <c r="D284" s="21"/>
      <c r="E284" s="21"/>
      <c r="F284" s="21"/>
      <c r="G284" s="136"/>
      <c r="H284" s="136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</row>
    <row r="285">
      <c r="A285" s="21"/>
      <c r="B285" s="21"/>
      <c r="C285" s="21"/>
      <c r="D285" s="21"/>
      <c r="E285" s="21"/>
      <c r="F285" s="21"/>
      <c r="G285" s="136"/>
      <c r="H285" s="136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</row>
    <row r="286">
      <c r="A286" s="21"/>
      <c r="B286" s="21"/>
      <c r="C286" s="21"/>
      <c r="D286" s="21"/>
      <c r="E286" s="21"/>
      <c r="F286" s="21"/>
      <c r="G286" s="136"/>
      <c r="H286" s="136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</row>
    <row r="287">
      <c r="A287" s="21"/>
      <c r="B287" s="21"/>
      <c r="C287" s="21"/>
      <c r="D287" s="21"/>
      <c r="E287" s="21"/>
      <c r="F287" s="21"/>
      <c r="G287" s="136"/>
      <c r="H287" s="136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</row>
    <row r="288">
      <c r="A288" s="21"/>
      <c r="B288" s="21"/>
      <c r="C288" s="21"/>
      <c r="D288" s="21"/>
      <c r="E288" s="21"/>
      <c r="F288" s="21"/>
      <c r="G288" s="136"/>
      <c r="H288" s="136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</row>
    <row r="289">
      <c r="A289" s="21"/>
      <c r="B289" s="21"/>
      <c r="C289" s="21"/>
      <c r="D289" s="21"/>
      <c r="E289" s="21"/>
      <c r="F289" s="21"/>
      <c r="G289" s="136"/>
      <c r="H289" s="136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</row>
    <row r="290">
      <c r="A290" s="21"/>
      <c r="B290" s="21"/>
      <c r="C290" s="21"/>
      <c r="D290" s="21"/>
      <c r="E290" s="21"/>
      <c r="F290" s="21"/>
      <c r="G290" s="136"/>
      <c r="H290" s="136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</row>
    <row r="291">
      <c r="A291" s="21"/>
      <c r="B291" s="21"/>
      <c r="C291" s="21"/>
      <c r="D291" s="21"/>
      <c r="E291" s="21"/>
      <c r="F291" s="21"/>
      <c r="G291" s="136"/>
      <c r="H291" s="136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</row>
    <row r="292">
      <c r="A292" s="21"/>
      <c r="B292" s="21"/>
      <c r="C292" s="21"/>
      <c r="D292" s="21"/>
      <c r="E292" s="21"/>
      <c r="F292" s="21"/>
      <c r="G292" s="136"/>
      <c r="H292" s="136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</row>
    <row r="293">
      <c r="A293" s="21"/>
      <c r="B293" s="21"/>
      <c r="C293" s="21"/>
      <c r="D293" s="21"/>
      <c r="E293" s="21"/>
      <c r="F293" s="21"/>
      <c r="G293" s="136"/>
      <c r="H293" s="136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</row>
    <row r="294">
      <c r="A294" s="21"/>
      <c r="B294" s="21"/>
      <c r="C294" s="21"/>
      <c r="D294" s="21"/>
      <c r="E294" s="21"/>
      <c r="F294" s="21"/>
      <c r="G294" s="136"/>
      <c r="H294" s="136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</row>
    <row r="295">
      <c r="A295" s="21"/>
      <c r="B295" s="21"/>
      <c r="C295" s="21"/>
      <c r="D295" s="21"/>
      <c r="E295" s="21"/>
      <c r="F295" s="21"/>
      <c r="G295" s="136"/>
      <c r="H295" s="136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</row>
    <row r="296">
      <c r="A296" s="21"/>
      <c r="B296" s="21"/>
      <c r="C296" s="21"/>
      <c r="D296" s="21"/>
      <c r="E296" s="21"/>
      <c r="F296" s="21"/>
      <c r="G296" s="136"/>
      <c r="H296" s="136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</row>
    <row r="297">
      <c r="A297" s="21"/>
      <c r="B297" s="21"/>
      <c r="C297" s="21"/>
      <c r="D297" s="21"/>
      <c r="E297" s="21"/>
      <c r="F297" s="21"/>
      <c r="G297" s="136"/>
      <c r="H297" s="136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</row>
    <row r="298">
      <c r="A298" s="21"/>
      <c r="B298" s="21"/>
      <c r="C298" s="21"/>
      <c r="D298" s="21"/>
      <c r="E298" s="21"/>
      <c r="F298" s="21"/>
      <c r="G298" s="136"/>
      <c r="H298" s="136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</row>
    <row r="299">
      <c r="A299" s="21"/>
      <c r="B299" s="21"/>
      <c r="C299" s="21"/>
      <c r="D299" s="21"/>
      <c r="E299" s="21"/>
      <c r="F299" s="21"/>
      <c r="G299" s="136"/>
      <c r="H299" s="136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</row>
    <row r="300">
      <c r="A300" s="21"/>
      <c r="B300" s="21"/>
      <c r="C300" s="21"/>
      <c r="D300" s="21"/>
      <c r="E300" s="21"/>
      <c r="F300" s="21"/>
      <c r="G300" s="136"/>
      <c r="H300" s="136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</row>
    <row r="301">
      <c r="A301" s="21"/>
      <c r="B301" s="21"/>
      <c r="C301" s="21"/>
      <c r="D301" s="21"/>
      <c r="E301" s="21"/>
      <c r="F301" s="21"/>
      <c r="G301" s="136"/>
      <c r="H301" s="136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</row>
    <row r="302">
      <c r="A302" s="21"/>
      <c r="B302" s="21"/>
      <c r="C302" s="21"/>
      <c r="D302" s="21"/>
      <c r="E302" s="21"/>
      <c r="F302" s="21"/>
      <c r="G302" s="136"/>
      <c r="H302" s="136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</row>
    <row r="303">
      <c r="A303" s="21"/>
      <c r="B303" s="21"/>
      <c r="C303" s="21"/>
      <c r="D303" s="21"/>
      <c r="E303" s="21"/>
      <c r="F303" s="21"/>
      <c r="G303" s="136"/>
      <c r="H303" s="136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</row>
    <row r="304">
      <c r="A304" s="21"/>
      <c r="B304" s="21"/>
      <c r="C304" s="21"/>
      <c r="D304" s="21"/>
      <c r="E304" s="21"/>
      <c r="F304" s="21"/>
      <c r="G304" s="136"/>
      <c r="H304" s="136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</row>
    <row r="305">
      <c r="A305" s="21"/>
      <c r="B305" s="21"/>
      <c r="C305" s="21"/>
      <c r="D305" s="21"/>
      <c r="E305" s="21"/>
      <c r="F305" s="21"/>
      <c r="G305" s="136"/>
      <c r="H305" s="136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</row>
    <row r="306">
      <c r="A306" s="21"/>
      <c r="B306" s="21"/>
      <c r="C306" s="21"/>
      <c r="D306" s="21"/>
      <c r="E306" s="21"/>
      <c r="F306" s="21"/>
      <c r="G306" s="136"/>
      <c r="H306" s="136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</row>
    <row r="307">
      <c r="A307" s="21"/>
      <c r="B307" s="21"/>
      <c r="C307" s="21"/>
      <c r="D307" s="21"/>
      <c r="E307" s="21"/>
      <c r="F307" s="21"/>
      <c r="G307" s="136"/>
      <c r="H307" s="136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</row>
    <row r="308">
      <c r="A308" s="21"/>
      <c r="B308" s="21"/>
      <c r="C308" s="21"/>
      <c r="D308" s="21"/>
      <c r="E308" s="21"/>
      <c r="F308" s="21"/>
      <c r="G308" s="136"/>
      <c r="H308" s="136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</row>
    <row r="309">
      <c r="A309" s="21"/>
      <c r="B309" s="21"/>
      <c r="C309" s="21"/>
      <c r="D309" s="21"/>
      <c r="E309" s="21"/>
      <c r="F309" s="21"/>
      <c r="G309" s="136"/>
      <c r="H309" s="136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</row>
    <row r="310">
      <c r="A310" s="21"/>
      <c r="B310" s="21"/>
      <c r="C310" s="21"/>
      <c r="D310" s="21"/>
      <c r="E310" s="21"/>
      <c r="F310" s="21"/>
      <c r="G310" s="136"/>
      <c r="H310" s="136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</row>
    <row r="311">
      <c r="A311" s="21"/>
      <c r="B311" s="21"/>
      <c r="C311" s="21"/>
      <c r="D311" s="21"/>
      <c r="E311" s="21"/>
      <c r="F311" s="21"/>
      <c r="G311" s="136"/>
      <c r="H311" s="136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</row>
    <row r="312">
      <c r="A312" s="21"/>
      <c r="B312" s="21"/>
      <c r="C312" s="21"/>
      <c r="D312" s="21"/>
      <c r="E312" s="21"/>
      <c r="F312" s="21"/>
      <c r="G312" s="136"/>
      <c r="H312" s="136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</row>
    <row r="313">
      <c r="A313" s="21"/>
      <c r="B313" s="21"/>
      <c r="C313" s="21"/>
      <c r="D313" s="21"/>
      <c r="E313" s="21"/>
      <c r="F313" s="21"/>
      <c r="G313" s="136"/>
      <c r="H313" s="136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</row>
    <row r="314">
      <c r="A314" s="21"/>
      <c r="B314" s="21"/>
      <c r="C314" s="21"/>
      <c r="D314" s="21"/>
      <c r="E314" s="21"/>
      <c r="F314" s="21"/>
      <c r="G314" s="136"/>
      <c r="H314" s="136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</row>
    <row r="315">
      <c r="A315" s="21"/>
      <c r="B315" s="21"/>
      <c r="C315" s="21"/>
      <c r="D315" s="21"/>
      <c r="E315" s="21"/>
      <c r="F315" s="21"/>
      <c r="G315" s="136"/>
      <c r="H315" s="136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</row>
    <row r="316">
      <c r="A316" s="21"/>
      <c r="B316" s="21"/>
      <c r="C316" s="21"/>
      <c r="D316" s="21"/>
      <c r="E316" s="21"/>
      <c r="F316" s="21"/>
      <c r="G316" s="136"/>
      <c r="H316" s="136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</row>
    <row r="317">
      <c r="A317" s="21"/>
      <c r="B317" s="21"/>
      <c r="C317" s="21"/>
      <c r="D317" s="21"/>
      <c r="E317" s="21"/>
      <c r="F317" s="21"/>
      <c r="G317" s="136"/>
      <c r="H317" s="136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</row>
    <row r="318">
      <c r="A318" s="21"/>
      <c r="B318" s="21"/>
      <c r="C318" s="21"/>
      <c r="D318" s="21"/>
      <c r="E318" s="21"/>
      <c r="F318" s="21"/>
      <c r="G318" s="136"/>
      <c r="H318" s="136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</row>
    <row r="319">
      <c r="A319" s="21"/>
      <c r="B319" s="21"/>
      <c r="C319" s="21"/>
      <c r="D319" s="21"/>
      <c r="E319" s="21"/>
      <c r="F319" s="21"/>
      <c r="G319" s="136"/>
      <c r="H319" s="136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</row>
    <row r="320">
      <c r="A320" s="21"/>
      <c r="B320" s="21"/>
      <c r="C320" s="21"/>
      <c r="D320" s="21"/>
      <c r="E320" s="21"/>
      <c r="F320" s="21"/>
      <c r="G320" s="136"/>
      <c r="H320" s="136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</row>
    <row r="321">
      <c r="A321" s="21"/>
      <c r="B321" s="21"/>
      <c r="C321" s="21"/>
      <c r="D321" s="21"/>
      <c r="E321" s="21"/>
      <c r="F321" s="21"/>
      <c r="G321" s="136"/>
      <c r="H321" s="136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</row>
    <row r="322">
      <c r="A322" s="21"/>
      <c r="B322" s="21"/>
      <c r="C322" s="21"/>
      <c r="D322" s="21"/>
      <c r="E322" s="21"/>
      <c r="F322" s="21"/>
      <c r="G322" s="136"/>
      <c r="H322" s="136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</row>
    <row r="323">
      <c r="A323" s="21"/>
      <c r="B323" s="21"/>
      <c r="C323" s="21"/>
      <c r="D323" s="21"/>
      <c r="E323" s="21"/>
      <c r="F323" s="21"/>
      <c r="G323" s="136"/>
      <c r="H323" s="136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</row>
    <row r="324">
      <c r="A324" s="21"/>
      <c r="B324" s="21"/>
      <c r="C324" s="21"/>
      <c r="D324" s="21"/>
      <c r="E324" s="21"/>
      <c r="F324" s="21"/>
      <c r="G324" s="136"/>
      <c r="H324" s="136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</row>
    <row r="325">
      <c r="A325" s="21"/>
      <c r="B325" s="21"/>
      <c r="C325" s="21"/>
      <c r="D325" s="21"/>
      <c r="E325" s="21"/>
      <c r="F325" s="21"/>
      <c r="G325" s="136"/>
      <c r="H325" s="136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</row>
    <row r="326">
      <c r="A326" s="21"/>
      <c r="B326" s="21"/>
      <c r="C326" s="21"/>
      <c r="D326" s="21"/>
      <c r="E326" s="21"/>
      <c r="F326" s="21"/>
      <c r="G326" s="136"/>
      <c r="H326" s="136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</row>
    <row r="327">
      <c r="A327" s="21"/>
      <c r="B327" s="21"/>
      <c r="C327" s="21"/>
      <c r="D327" s="21"/>
      <c r="E327" s="21"/>
      <c r="F327" s="21"/>
      <c r="G327" s="136"/>
      <c r="H327" s="136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</row>
    <row r="328">
      <c r="A328" s="21"/>
      <c r="B328" s="21"/>
      <c r="C328" s="21"/>
      <c r="D328" s="21"/>
      <c r="E328" s="21"/>
      <c r="F328" s="21"/>
      <c r="G328" s="136"/>
      <c r="H328" s="136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</row>
    <row r="329">
      <c r="A329" s="21"/>
      <c r="B329" s="21"/>
      <c r="C329" s="21"/>
      <c r="D329" s="21"/>
      <c r="E329" s="21"/>
      <c r="F329" s="21"/>
      <c r="G329" s="136"/>
      <c r="H329" s="136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</row>
    <row r="330">
      <c r="A330" s="21"/>
      <c r="B330" s="21"/>
      <c r="C330" s="21"/>
      <c r="D330" s="21"/>
      <c r="E330" s="21"/>
      <c r="F330" s="21"/>
      <c r="G330" s="136"/>
      <c r="H330" s="136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</row>
    <row r="331">
      <c r="A331" s="21"/>
      <c r="B331" s="21"/>
      <c r="C331" s="21"/>
      <c r="D331" s="21"/>
      <c r="E331" s="21"/>
      <c r="F331" s="21"/>
      <c r="G331" s="136"/>
      <c r="H331" s="136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</row>
    <row r="332">
      <c r="A332" s="21"/>
      <c r="B332" s="21"/>
      <c r="C332" s="21"/>
      <c r="D332" s="21"/>
      <c r="E332" s="21"/>
      <c r="F332" s="21"/>
      <c r="G332" s="136"/>
      <c r="H332" s="136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</row>
    <row r="333">
      <c r="A333" s="21"/>
      <c r="B333" s="21"/>
      <c r="C333" s="21"/>
      <c r="D333" s="21"/>
      <c r="E333" s="21"/>
      <c r="F333" s="21"/>
      <c r="G333" s="136"/>
      <c r="H333" s="136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</row>
    <row r="334">
      <c r="A334" s="21"/>
      <c r="B334" s="21"/>
      <c r="C334" s="21"/>
      <c r="D334" s="21"/>
      <c r="E334" s="21"/>
      <c r="F334" s="21"/>
      <c r="G334" s="136"/>
      <c r="H334" s="136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</row>
    <row r="335">
      <c r="A335" s="21"/>
      <c r="B335" s="21"/>
      <c r="C335" s="21"/>
      <c r="D335" s="21"/>
      <c r="E335" s="21"/>
      <c r="F335" s="21"/>
      <c r="G335" s="136"/>
      <c r="H335" s="136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</row>
    <row r="336">
      <c r="A336" s="21"/>
      <c r="B336" s="21"/>
      <c r="C336" s="21"/>
      <c r="D336" s="21"/>
      <c r="E336" s="21"/>
      <c r="F336" s="21"/>
      <c r="G336" s="136"/>
      <c r="H336" s="136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</row>
    <row r="337">
      <c r="A337" s="21"/>
      <c r="B337" s="21"/>
      <c r="C337" s="21"/>
      <c r="D337" s="21"/>
      <c r="E337" s="21"/>
      <c r="F337" s="21"/>
      <c r="G337" s="136"/>
      <c r="H337" s="136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</row>
    <row r="338">
      <c r="A338" s="21"/>
      <c r="B338" s="21"/>
      <c r="C338" s="21"/>
      <c r="D338" s="21"/>
      <c r="E338" s="21"/>
      <c r="F338" s="21"/>
      <c r="G338" s="136"/>
      <c r="H338" s="136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</row>
    <row r="339">
      <c r="A339" s="21"/>
      <c r="B339" s="21"/>
      <c r="C339" s="21"/>
      <c r="D339" s="21"/>
      <c r="E339" s="21"/>
      <c r="F339" s="21"/>
      <c r="G339" s="136"/>
      <c r="H339" s="136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</row>
    <row r="340">
      <c r="A340" s="21"/>
      <c r="B340" s="21"/>
      <c r="C340" s="21"/>
      <c r="D340" s="21"/>
      <c r="E340" s="21"/>
      <c r="F340" s="21"/>
      <c r="G340" s="136"/>
      <c r="H340" s="136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</row>
    <row r="341">
      <c r="A341" s="21"/>
      <c r="B341" s="21"/>
      <c r="C341" s="21"/>
      <c r="D341" s="21"/>
      <c r="E341" s="21"/>
      <c r="F341" s="21"/>
      <c r="G341" s="136"/>
      <c r="H341" s="136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</row>
    <row r="342">
      <c r="A342" s="21"/>
      <c r="B342" s="21"/>
      <c r="C342" s="21"/>
      <c r="D342" s="21"/>
      <c r="E342" s="21"/>
      <c r="F342" s="21"/>
      <c r="G342" s="136"/>
      <c r="H342" s="136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</row>
    <row r="343">
      <c r="A343" s="21"/>
      <c r="B343" s="21"/>
      <c r="C343" s="21"/>
      <c r="D343" s="21"/>
      <c r="E343" s="21"/>
      <c r="F343" s="21"/>
      <c r="G343" s="136"/>
      <c r="H343" s="136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</row>
    <row r="344">
      <c r="A344" s="21"/>
      <c r="B344" s="21"/>
      <c r="C344" s="21"/>
      <c r="D344" s="21"/>
      <c r="E344" s="21"/>
      <c r="F344" s="21"/>
      <c r="G344" s="136"/>
      <c r="H344" s="136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</row>
    <row r="345">
      <c r="A345" s="21"/>
      <c r="B345" s="21"/>
      <c r="C345" s="21"/>
      <c r="D345" s="21"/>
      <c r="E345" s="21"/>
      <c r="F345" s="21"/>
      <c r="G345" s="136"/>
      <c r="H345" s="136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</row>
    <row r="346">
      <c r="A346" s="21"/>
      <c r="B346" s="21"/>
      <c r="C346" s="21"/>
      <c r="D346" s="21"/>
      <c r="E346" s="21"/>
      <c r="F346" s="21"/>
      <c r="G346" s="136"/>
      <c r="H346" s="136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</row>
    <row r="347">
      <c r="A347" s="21"/>
      <c r="B347" s="21"/>
      <c r="C347" s="21"/>
      <c r="D347" s="21"/>
      <c r="E347" s="21"/>
      <c r="F347" s="21"/>
      <c r="G347" s="136"/>
      <c r="H347" s="136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</row>
    <row r="348">
      <c r="A348" s="21"/>
      <c r="B348" s="21"/>
      <c r="C348" s="21"/>
      <c r="D348" s="21"/>
      <c r="E348" s="21"/>
      <c r="F348" s="21"/>
      <c r="G348" s="136"/>
      <c r="H348" s="136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</row>
    <row r="349">
      <c r="A349" s="21"/>
      <c r="B349" s="21"/>
      <c r="C349" s="21"/>
      <c r="D349" s="21"/>
      <c r="E349" s="21"/>
      <c r="F349" s="21"/>
      <c r="G349" s="136"/>
      <c r="H349" s="136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</row>
    <row r="350">
      <c r="A350" s="21"/>
      <c r="B350" s="21"/>
      <c r="C350" s="21"/>
      <c r="D350" s="21"/>
      <c r="E350" s="21"/>
      <c r="F350" s="21"/>
      <c r="G350" s="136"/>
      <c r="H350" s="136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</row>
    <row r="351">
      <c r="A351" s="21"/>
      <c r="B351" s="21"/>
      <c r="C351" s="21"/>
      <c r="D351" s="21"/>
      <c r="E351" s="21"/>
      <c r="F351" s="21"/>
      <c r="G351" s="136"/>
      <c r="H351" s="136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</row>
    <row r="352">
      <c r="A352" s="21"/>
      <c r="B352" s="21"/>
      <c r="C352" s="21"/>
      <c r="D352" s="21"/>
      <c r="E352" s="21"/>
      <c r="F352" s="21"/>
      <c r="G352" s="136"/>
      <c r="H352" s="136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</row>
    <row r="353">
      <c r="A353" s="21"/>
      <c r="B353" s="21"/>
      <c r="C353" s="21"/>
      <c r="D353" s="21"/>
      <c r="E353" s="21"/>
      <c r="F353" s="21"/>
      <c r="G353" s="136"/>
      <c r="H353" s="136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</row>
    <row r="354">
      <c r="A354" s="21"/>
      <c r="B354" s="21"/>
      <c r="C354" s="21"/>
      <c r="D354" s="21"/>
      <c r="E354" s="21"/>
      <c r="F354" s="21"/>
      <c r="G354" s="136"/>
      <c r="H354" s="136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</row>
    <row r="355">
      <c r="A355" s="21"/>
      <c r="B355" s="21"/>
      <c r="C355" s="21"/>
      <c r="D355" s="21"/>
      <c r="E355" s="21"/>
      <c r="F355" s="21"/>
      <c r="G355" s="136"/>
      <c r="H355" s="136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</row>
    <row r="356">
      <c r="A356" s="21"/>
      <c r="B356" s="21"/>
      <c r="C356" s="21"/>
      <c r="D356" s="21"/>
      <c r="E356" s="21"/>
      <c r="F356" s="21"/>
      <c r="G356" s="136"/>
      <c r="H356" s="136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</row>
    <row r="357">
      <c r="A357" s="21"/>
      <c r="B357" s="21"/>
      <c r="C357" s="21"/>
      <c r="D357" s="21"/>
      <c r="E357" s="21"/>
      <c r="F357" s="21"/>
      <c r="G357" s="136"/>
      <c r="H357" s="136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</row>
    <row r="358">
      <c r="A358" s="21"/>
      <c r="B358" s="21"/>
      <c r="C358" s="21"/>
      <c r="D358" s="21"/>
      <c r="E358" s="21"/>
      <c r="F358" s="21"/>
      <c r="G358" s="136"/>
      <c r="H358" s="136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</row>
    <row r="359">
      <c r="A359" s="21"/>
      <c r="B359" s="21"/>
      <c r="C359" s="21"/>
      <c r="D359" s="21"/>
      <c r="E359" s="21"/>
      <c r="F359" s="21"/>
      <c r="G359" s="136"/>
      <c r="H359" s="136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</row>
    <row r="360">
      <c r="A360" s="21"/>
      <c r="B360" s="21"/>
      <c r="C360" s="21"/>
      <c r="D360" s="21"/>
      <c r="E360" s="21"/>
      <c r="F360" s="21"/>
      <c r="G360" s="136"/>
      <c r="H360" s="136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</row>
    <row r="361">
      <c r="A361" s="21"/>
      <c r="B361" s="21"/>
      <c r="C361" s="21"/>
      <c r="D361" s="21"/>
      <c r="E361" s="21"/>
      <c r="F361" s="21"/>
      <c r="G361" s="136"/>
      <c r="H361" s="136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</row>
    <row r="362">
      <c r="A362" s="21"/>
      <c r="B362" s="21"/>
      <c r="C362" s="21"/>
      <c r="D362" s="21"/>
      <c r="E362" s="21"/>
      <c r="F362" s="21"/>
      <c r="G362" s="136"/>
      <c r="H362" s="136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</row>
    <row r="363">
      <c r="A363" s="21"/>
      <c r="B363" s="21"/>
      <c r="C363" s="21"/>
      <c r="D363" s="21"/>
      <c r="E363" s="21"/>
      <c r="F363" s="21"/>
      <c r="G363" s="136"/>
      <c r="H363" s="136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</row>
    <row r="364">
      <c r="A364" s="21"/>
      <c r="B364" s="21"/>
      <c r="C364" s="21"/>
      <c r="D364" s="21"/>
      <c r="E364" s="21"/>
      <c r="F364" s="21"/>
      <c r="G364" s="136"/>
      <c r="H364" s="136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</row>
    <row r="365">
      <c r="A365" s="21"/>
      <c r="B365" s="21"/>
      <c r="C365" s="21"/>
      <c r="D365" s="21"/>
      <c r="E365" s="21"/>
      <c r="F365" s="21"/>
      <c r="G365" s="136"/>
      <c r="H365" s="136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</row>
    <row r="366">
      <c r="A366" s="21"/>
      <c r="B366" s="21"/>
      <c r="C366" s="21"/>
      <c r="D366" s="21"/>
      <c r="E366" s="21"/>
      <c r="F366" s="21"/>
      <c r="G366" s="136"/>
      <c r="H366" s="136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</row>
    <row r="367">
      <c r="A367" s="21"/>
      <c r="B367" s="21"/>
      <c r="C367" s="21"/>
      <c r="D367" s="21"/>
      <c r="E367" s="21"/>
      <c r="F367" s="21"/>
      <c r="G367" s="136"/>
      <c r="H367" s="136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</row>
    <row r="368">
      <c r="A368" s="21"/>
      <c r="B368" s="21"/>
      <c r="C368" s="21"/>
      <c r="D368" s="21"/>
      <c r="E368" s="21"/>
      <c r="F368" s="21"/>
      <c r="G368" s="136"/>
      <c r="H368" s="136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</row>
    <row r="369">
      <c r="A369" s="21"/>
      <c r="B369" s="21"/>
      <c r="C369" s="21"/>
      <c r="D369" s="21"/>
      <c r="E369" s="21"/>
      <c r="F369" s="21"/>
      <c r="G369" s="136"/>
      <c r="H369" s="136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</row>
    <row r="370">
      <c r="A370" s="21"/>
      <c r="B370" s="21"/>
      <c r="C370" s="21"/>
      <c r="D370" s="21"/>
      <c r="E370" s="21"/>
      <c r="F370" s="21"/>
      <c r="G370" s="136"/>
      <c r="H370" s="136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</row>
    <row r="371">
      <c r="A371" s="21"/>
      <c r="B371" s="21"/>
      <c r="C371" s="21"/>
      <c r="D371" s="21"/>
      <c r="E371" s="21"/>
      <c r="F371" s="21"/>
      <c r="G371" s="136"/>
      <c r="H371" s="136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</row>
    <row r="372">
      <c r="A372" s="21"/>
      <c r="B372" s="21"/>
      <c r="C372" s="21"/>
      <c r="D372" s="21"/>
      <c r="E372" s="21"/>
      <c r="F372" s="21"/>
      <c r="G372" s="136"/>
      <c r="H372" s="136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</row>
    <row r="373">
      <c r="A373" s="21"/>
      <c r="B373" s="21"/>
      <c r="C373" s="21"/>
      <c r="D373" s="21"/>
      <c r="E373" s="21"/>
      <c r="F373" s="21"/>
      <c r="G373" s="136"/>
      <c r="H373" s="136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</row>
    <row r="374">
      <c r="A374" s="21"/>
      <c r="B374" s="21"/>
      <c r="C374" s="21"/>
      <c r="D374" s="21"/>
      <c r="E374" s="21"/>
      <c r="F374" s="21"/>
      <c r="G374" s="136"/>
      <c r="H374" s="136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</row>
    <row r="375">
      <c r="A375" s="21"/>
      <c r="B375" s="21"/>
      <c r="C375" s="21"/>
      <c r="D375" s="21"/>
      <c r="E375" s="21"/>
      <c r="F375" s="21"/>
      <c r="G375" s="136"/>
      <c r="H375" s="136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</row>
    <row r="376">
      <c r="A376" s="21"/>
      <c r="B376" s="21"/>
      <c r="C376" s="21"/>
      <c r="D376" s="21"/>
      <c r="E376" s="21"/>
      <c r="F376" s="21"/>
      <c r="G376" s="136"/>
      <c r="H376" s="136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</row>
    <row r="377">
      <c r="A377" s="21"/>
      <c r="B377" s="21"/>
      <c r="C377" s="21"/>
      <c r="D377" s="21"/>
      <c r="E377" s="21"/>
      <c r="F377" s="21"/>
      <c r="G377" s="136"/>
      <c r="H377" s="136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</row>
    <row r="378">
      <c r="A378" s="21"/>
      <c r="B378" s="21"/>
      <c r="C378" s="21"/>
      <c r="D378" s="21"/>
      <c r="E378" s="21"/>
      <c r="F378" s="21"/>
      <c r="G378" s="136"/>
      <c r="H378" s="136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</row>
    <row r="379">
      <c r="A379" s="21"/>
      <c r="B379" s="21"/>
      <c r="C379" s="21"/>
      <c r="D379" s="21"/>
      <c r="E379" s="21"/>
      <c r="F379" s="21"/>
      <c r="G379" s="136"/>
      <c r="H379" s="136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</row>
    <row r="380">
      <c r="A380" s="21"/>
      <c r="B380" s="21"/>
      <c r="C380" s="21"/>
      <c r="D380" s="21"/>
      <c r="E380" s="21"/>
      <c r="F380" s="21"/>
      <c r="G380" s="136"/>
      <c r="H380" s="136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</row>
    <row r="381">
      <c r="A381" s="21"/>
      <c r="B381" s="21"/>
      <c r="C381" s="21"/>
      <c r="D381" s="21"/>
      <c r="E381" s="21"/>
      <c r="F381" s="21"/>
      <c r="G381" s="136"/>
      <c r="H381" s="136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</row>
    <row r="382">
      <c r="A382" s="21"/>
      <c r="B382" s="21"/>
      <c r="C382" s="21"/>
      <c r="D382" s="21"/>
      <c r="E382" s="21"/>
      <c r="F382" s="21"/>
      <c r="G382" s="136"/>
      <c r="H382" s="136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</row>
    <row r="383">
      <c r="A383" s="21"/>
      <c r="B383" s="21"/>
      <c r="C383" s="21"/>
      <c r="D383" s="21"/>
      <c r="E383" s="21"/>
      <c r="F383" s="21"/>
      <c r="G383" s="136"/>
      <c r="H383" s="136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</row>
    <row r="384">
      <c r="A384" s="21"/>
      <c r="B384" s="21"/>
      <c r="C384" s="21"/>
      <c r="D384" s="21"/>
      <c r="E384" s="21"/>
      <c r="F384" s="21"/>
      <c r="G384" s="136"/>
      <c r="H384" s="136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</row>
    <row r="385">
      <c r="A385" s="21"/>
      <c r="B385" s="21"/>
      <c r="C385" s="21"/>
      <c r="D385" s="21"/>
      <c r="E385" s="21"/>
      <c r="F385" s="21"/>
      <c r="G385" s="136"/>
      <c r="H385" s="136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</row>
    <row r="386">
      <c r="A386" s="21"/>
      <c r="B386" s="21"/>
      <c r="C386" s="21"/>
      <c r="D386" s="21"/>
      <c r="E386" s="21"/>
      <c r="F386" s="21"/>
      <c r="G386" s="136"/>
      <c r="H386" s="136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</row>
    <row r="387">
      <c r="A387" s="21"/>
      <c r="B387" s="21"/>
      <c r="C387" s="21"/>
      <c r="D387" s="21"/>
      <c r="E387" s="21"/>
      <c r="F387" s="21"/>
      <c r="G387" s="136"/>
      <c r="H387" s="136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</row>
    <row r="388">
      <c r="A388" s="21"/>
      <c r="B388" s="21"/>
      <c r="C388" s="21"/>
      <c r="D388" s="21"/>
      <c r="E388" s="21"/>
      <c r="F388" s="21"/>
      <c r="G388" s="136"/>
      <c r="H388" s="136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</row>
    <row r="389">
      <c r="A389" s="21"/>
      <c r="B389" s="21"/>
      <c r="C389" s="21"/>
      <c r="D389" s="21"/>
      <c r="E389" s="21"/>
      <c r="F389" s="21"/>
      <c r="G389" s="136"/>
      <c r="H389" s="136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</row>
    <row r="390">
      <c r="A390" s="21"/>
      <c r="B390" s="21"/>
      <c r="C390" s="21"/>
      <c r="D390" s="21"/>
      <c r="E390" s="21"/>
      <c r="F390" s="21"/>
      <c r="G390" s="136"/>
      <c r="H390" s="136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</row>
    <row r="391">
      <c r="A391" s="21"/>
      <c r="B391" s="21"/>
      <c r="C391" s="21"/>
      <c r="D391" s="21"/>
      <c r="E391" s="21"/>
      <c r="F391" s="21"/>
      <c r="G391" s="136"/>
      <c r="H391" s="136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</row>
    <row r="392">
      <c r="A392" s="21"/>
      <c r="B392" s="21"/>
      <c r="C392" s="21"/>
      <c r="D392" s="21"/>
      <c r="E392" s="21"/>
      <c r="F392" s="21"/>
      <c r="G392" s="136"/>
      <c r="H392" s="136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</row>
    <row r="393">
      <c r="A393" s="21"/>
      <c r="B393" s="21"/>
      <c r="C393" s="21"/>
      <c r="D393" s="21"/>
      <c r="E393" s="21"/>
      <c r="F393" s="21"/>
      <c r="G393" s="136"/>
      <c r="H393" s="136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</row>
    <row r="394">
      <c r="A394" s="21"/>
      <c r="B394" s="21"/>
      <c r="C394" s="21"/>
      <c r="D394" s="21"/>
      <c r="E394" s="21"/>
      <c r="F394" s="21"/>
      <c r="G394" s="136"/>
      <c r="H394" s="136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</row>
    <row r="395">
      <c r="A395" s="21"/>
      <c r="B395" s="21"/>
      <c r="C395" s="21"/>
      <c r="D395" s="21"/>
      <c r="E395" s="21"/>
      <c r="F395" s="21"/>
      <c r="G395" s="136"/>
      <c r="H395" s="136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</row>
    <row r="396">
      <c r="A396" s="21"/>
      <c r="B396" s="21"/>
      <c r="C396" s="21"/>
      <c r="D396" s="21"/>
      <c r="E396" s="21"/>
      <c r="F396" s="21"/>
      <c r="G396" s="136"/>
      <c r="H396" s="136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</row>
    <row r="397">
      <c r="A397" s="21"/>
      <c r="B397" s="21"/>
      <c r="C397" s="21"/>
      <c r="D397" s="21"/>
      <c r="E397" s="21"/>
      <c r="F397" s="21"/>
      <c r="G397" s="136"/>
      <c r="H397" s="136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</row>
    <row r="398">
      <c r="A398" s="21"/>
      <c r="B398" s="21"/>
      <c r="C398" s="21"/>
      <c r="D398" s="21"/>
      <c r="E398" s="21"/>
      <c r="F398" s="21"/>
      <c r="G398" s="136"/>
      <c r="H398" s="136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</row>
    <row r="399">
      <c r="A399" s="21"/>
      <c r="B399" s="21"/>
      <c r="C399" s="21"/>
      <c r="D399" s="21"/>
      <c r="E399" s="21"/>
      <c r="F399" s="21"/>
      <c r="G399" s="136"/>
      <c r="H399" s="136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</row>
    <row r="400">
      <c r="A400" s="21"/>
      <c r="B400" s="21"/>
      <c r="C400" s="21"/>
      <c r="D400" s="21"/>
      <c r="E400" s="21"/>
      <c r="F400" s="21"/>
      <c r="G400" s="136"/>
      <c r="H400" s="136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</row>
    <row r="401">
      <c r="A401" s="21"/>
      <c r="B401" s="21"/>
      <c r="C401" s="21"/>
      <c r="D401" s="21"/>
      <c r="E401" s="21"/>
      <c r="F401" s="21"/>
      <c r="G401" s="136"/>
      <c r="H401" s="136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</row>
    <row r="402">
      <c r="A402" s="21"/>
      <c r="B402" s="21"/>
      <c r="C402" s="21"/>
      <c r="D402" s="21"/>
      <c r="E402" s="21"/>
      <c r="F402" s="21"/>
      <c r="G402" s="136"/>
      <c r="H402" s="136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</row>
    <row r="403">
      <c r="A403" s="21"/>
      <c r="B403" s="21"/>
      <c r="C403" s="21"/>
      <c r="D403" s="21"/>
      <c r="E403" s="21"/>
      <c r="F403" s="21"/>
      <c r="G403" s="136"/>
      <c r="H403" s="136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</row>
    <row r="404">
      <c r="A404" s="21"/>
      <c r="B404" s="21"/>
      <c r="C404" s="21"/>
      <c r="D404" s="21"/>
      <c r="E404" s="21"/>
      <c r="F404" s="21"/>
      <c r="G404" s="136"/>
      <c r="H404" s="136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</row>
    <row r="405">
      <c r="A405" s="21"/>
      <c r="B405" s="21"/>
      <c r="C405" s="21"/>
      <c r="D405" s="21"/>
      <c r="E405" s="21"/>
      <c r="F405" s="21"/>
      <c r="G405" s="136"/>
      <c r="H405" s="136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</row>
    <row r="406">
      <c r="A406" s="21"/>
      <c r="B406" s="21"/>
      <c r="C406" s="21"/>
      <c r="D406" s="21"/>
      <c r="E406" s="21"/>
      <c r="F406" s="21"/>
      <c r="G406" s="136"/>
      <c r="H406" s="136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</row>
    <row r="407">
      <c r="A407" s="21"/>
      <c r="B407" s="21"/>
      <c r="C407" s="21"/>
      <c r="D407" s="21"/>
      <c r="E407" s="21"/>
      <c r="F407" s="21"/>
      <c r="G407" s="136"/>
      <c r="H407" s="136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</row>
    <row r="408">
      <c r="A408" s="21"/>
      <c r="B408" s="21"/>
      <c r="C408" s="21"/>
      <c r="D408" s="21"/>
      <c r="E408" s="21"/>
      <c r="F408" s="21"/>
      <c r="G408" s="136"/>
      <c r="H408" s="136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</row>
    <row r="409">
      <c r="A409" s="21"/>
      <c r="B409" s="21"/>
      <c r="C409" s="21"/>
      <c r="D409" s="21"/>
      <c r="E409" s="21"/>
      <c r="F409" s="21"/>
      <c r="G409" s="136"/>
      <c r="H409" s="136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</row>
    <row r="410">
      <c r="A410" s="21"/>
      <c r="B410" s="21"/>
      <c r="C410" s="21"/>
      <c r="D410" s="21"/>
      <c r="E410" s="21"/>
      <c r="F410" s="21"/>
      <c r="G410" s="136"/>
      <c r="H410" s="136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</row>
    <row r="411">
      <c r="A411" s="21"/>
      <c r="B411" s="21"/>
      <c r="C411" s="21"/>
      <c r="D411" s="21"/>
      <c r="E411" s="21"/>
      <c r="F411" s="21"/>
      <c r="G411" s="136"/>
      <c r="H411" s="136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</row>
    <row r="412">
      <c r="A412" s="21"/>
      <c r="B412" s="21"/>
      <c r="C412" s="21"/>
      <c r="D412" s="21"/>
      <c r="E412" s="21"/>
      <c r="F412" s="21"/>
      <c r="G412" s="136"/>
      <c r="H412" s="136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</row>
    <row r="413">
      <c r="A413" s="21"/>
      <c r="B413" s="21"/>
      <c r="C413" s="21"/>
      <c r="D413" s="21"/>
      <c r="E413" s="21"/>
      <c r="F413" s="21"/>
      <c r="G413" s="136"/>
      <c r="H413" s="136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</row>
    <row r="414">
      <c r="A414" s="21"/>
      <c r="B414" s="21"/>
      <c r="C414" s="21"/>
      <c r="D414" s="21"/>
      <c r="E414" s="21"/>
      <c r="F414" s="21"/>
      <c r="G414" s="136"/>
      <c r="H414" s="136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</row>
    <row r="415">
      <c r="A415" s="21"/>
      <c r="B415" s="21"/>
      <c r="C415" s="21"/>
      <c r="D415" s="21"/>
      <c r="E415" s="21"/>
      <c r="F415" s="21"/>
      <c r="G415" s="136"/>
      <c r="H415" s="136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</row>
    <row r="416">
      <c r="A416" s="21"/>
      <c r="B416" s="21"/>
      <c r="C416" s="21"/>
      <c r="D416" s="21"/>
      <c r="E416" s="21"/>
      <c r="F416" s="21"/>
      <c r="G416" s="136"/>
      <c r="H416" s="136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</row>
    <row r="417">
      <c r="A417" s="21"/>
      <c r="B417" s="21"/>
      <c r="C417" s="21"/>
      <c r="D417" s="21"/>
      <c r="E417" s="21"/>
      <c r="F417" s="21"/>
      <c r="G417" s="136"/>
      <c r="H417" s="136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</row>
    <row r="418">
      <c r="A418" s="21"/>
      <c r="B418" s="21"/>
      <c r="C418" s="21"/>
      <c r="D418" s="21"/>
      <c r="E418" s="21"/>
      <c r="F418" s="21"/>
      <c r="G418" s="136"/>
      <c r="H418" s="136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</row>
    <row r="419">
      <c r="A419" s="21"/>
      <c r="B419" s="21"/>
      <c r="C419" s="21"/>
      <c r="D419" s="21"/>
      <c r="E419" s="21"/>
      <c r="F419" s="21"/>
      <c r="G419" s="136"/>
      <c r="H419" s="136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</row>
    <row r="420">
      <c r="A420" s="21"/>
      <c r="B420" s="21"/>
      <c r="C420" s="21"/>
      <c r="D420" s="21"/>
      <c r="E420" s="21"/>
      <c r="F420" s="21"/>
      <c r="G420" s="136"/>
      <c r="H420" s="136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</row>
    <row r="421">
      <c r="A421" s="21"/>
      <c r="B421" s="21"/>
      <c r="C421" s="21"/>
      <c r="D421" s="21"/>
      <c r="E421" s="21"/>
      <c r="F421" s="21"/>
      <c r="G421" s="136"/>
      <c r="H421" s="136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</row>
    <row r="422">
      <c r="A422" s="21"/>
      <c r="B422" s="21"/>
      <c r="C422" s="21"/>
      <c r="D422" s="21"/>
      <c r="E422" s="21"/>
      <c r="F422" s="21"/>
      <c r="G422" s="136"/>
      <c r="H422" s="136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</row>
    <row r="423">
      <c r="A423" s="21"/>
      <c r="B423" s="21"/>
      <c r="C423" s="21"/>
      <c r="D423" s="21"/>
      <c r="E423" s="21"/>
      <c r="F423" s="21"/>
      <c r="G423" s="136"/>
      <c r="H423" s="136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</row>
    <row r="424">
      <c r="A424" s="21"/>
      <c r="B424" s="21"/>
      <c r="C424" s="21"/>
      <c r="D424" s="21"/>
      <c r="E424" s="21"/>
      <c r="F424" s="21"/>
      <c r="G424" s="136"/>
      <c r="H424" s="136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</row>
    <row r="425">
      <c r="A425" s="21"/>
      <c r="B425" s="21"/>
      <c r="C425" s="21"/>
      <c r="D425" s="21"/>
      <c r="E425" s="21"/>
      <c r="F425" s="21"/>
      <c r="G425" s="136"/>
      <c r="H425" s="136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</row>
    <row r="426">
      <c r="A426" s="21"/>
      <c r="B426" s="21"/>
      <c r="C426" s="21"/>
      <c r="D426" s="21"/>
      <c r="E426" s="21"/>
      <c r="F426" s="21"/>
      <c r="G426" s="136"/>
      <c r="H426" s="136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</row>
    <row r="427">
      <c r="A427" s="21"/>
      <c r="B427" s="21"/>
      <c r="C427" s="21"/>
      <c r="D427" s="21"/>
      <c r="E427" s="21"/>
      <c r="F427" s="21"/>
      <c r="G427" s="136"/>
      <c r="H427" s="136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</row>
    <row r="428">
      <c r="A428" s="21"/>
      <c r="B428" s="21"/>
      <c r="C428" s="21"/>
      <c r="D428" s="21"/>
      <c r="E428" s="21"/>
      <c r="F428" s="21"/>
      <c r="G428" s="136"/>
      <c r="H428" s="136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</row>
    <row r="429">
      <c r="A429" s="21"/>
      <c r="B429" s="21"/>
      <c r="C429" s="21"/>
      <c r="D429" s="21"/>
      <c r="E429" s="21"/>
      <c r="F429" s="21"/>
      <c r="G429" s="136"/>
      <c r="H429" s="136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</row>
    <row r="430">
      <c r="A430" s="21"/>
      <c r="B430" s="21"/>
      <c r="C430" s="21"/>
      <c r="D430" s="21"/>
      <c r="E430" s="21"/>
      <c r="F430" s="21"/>
      <c r="G430" s="136"/>
      <c r="H430" s="136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</row>
    <row r="431">
      <c r="A431" s="21"/>
      <c r="B431" s="21"/>
      <c r="C431" s="21"/>
      <c r="D431" s="21"/>
      <c r="E431" s="21"/>
      <c r="F431" s="21"/>
      <c r="G431" s="136"/>
      <c r="H431" s="136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</row>
    <row r="432">
      <c r="A432" s="21"/>
      <c r="B432" s="21"/>
      <c r="C432" s="21"/>
      <c r="D432" s="21"/>
      <c r="E432" s="21"/>
      <c r="F432" s="21"/>
      <c r="G432" s="136"/>
      <c r="H432" s="136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</row>
    <row r="433">
      <c r="A433" s="21"/>
      <c r="B433" s="21"/>
      <c r="C433" s="21"/>
      <c r="D433" s="21"/>
      <c r="E433" s="21"/>
      <c r="F433" s="21"/>
      <c r="G433" s="136"/>
      <c r="H433" s="136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</row>
    <row r="434">
      <c r="A434" s="21"/>
      <c r="B434" s="21"/>
      <c r="C434" s="21"/>
      <c r="D434" s="21"/>
      <c r="E434" s="21"/>
      <c r="F434" s="21"/>
      <c r="G434" s="136"/>
      <c r="H434" s="136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</row>
    <row r="435">
      <c r="A435" s="21"/>
      <c r="B435" s="21"/>
      <c r="C435" s="21"/>
      <c r="D435" s="21"/>
      <c r="E435" s="21"/>
      <c r="F435" s="21"/>
      <c r="G435" s="136"/>
      <c r="H435" s="136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</row>
    <row r="436">
      <c r="A436" s="21"/>
      <c r="B436" s="21"/>
      <c r="C436" s="21"/>
      <c r="D436" s="21"/>
      <c r="E436" s="21"/>
      <c r="F436" s="21"/>
      <c r="G436" s="136"/>
      <c r="H436" s="136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</row>
    <row r="437">
      <c r="A437" s="21"/>
      <c r="B437" s="21"/>
      <c r="C437" s="21"/>
      <c r="D437" s="21"/>
      <c r="E437" s="21"/>
      <c r="F437" s="21"/>
      <c r="G437" s="136"/>
      <c r="H437" s="136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</row>
    <row r="438">
      <c r="A438" s="21"/>
      <c r="B438" s="21"/>
      <c r="C438" s="21"/>
      <c r="D438" s="21"/>
      <c r="E438" s="21"/>
      <c r="F438" s="21"/>
      <c r="G438" s="136"/>
      <c r="H438" s="136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</row>
    <row r="439">
      <c r="A439" s="21"/>
      <c r="B439" s="21"/>
      <c r="C439" s="21"/>
      <c r="D439" s="21"/>
      <c r="E439" s="21"/>
      <c r="F439" s="21"/>
      <c r="G439" s="136"/>
      <c r="H439" s="136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</row>
    <row r="440">
      <c r="A440" s="21"/>
      <c r="B440" s="21"/>
      <c r="C440" s="21"/>
      <c r="D440" s="21"/>
      <c r="E440" s="21"/>
      <c r="F440" s="21"/>
      <c r="G440" s="136"/>
      <c r="H440" s="136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</row>
    <row r="441">
      <c r="A441" s="21"/>
      <c r="B441" s="21"/>
      <c r="C441" s="21"/>
      <c r="D441" s="21"/>
      <c r="E441" s="21"/>
      <c r="F441" s="21"/>
      <c r="G441" s="136"/>
      <c r="H441" s="136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</row>
    <row r="442">
      <c r="A442" s="21"/>
      <c r="B442" s="21"/>
      <c r="C442" s="21"/>
      <c r="D442" s="21"/>
      <c r="E442" s="21"/>
      <c r="F442" s="21"/>
      <c r="G442" s="136"/>
      <c r="H442" s="136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</row>
    <row r="443">
      <c r="A443" s="21"/>
      <c r="B443" s="21"/>
      <c r="C443" s="21"/>
      <c r="D443" s="21"/>
      <c r="E443" s="21"/>
      <c r="F443" s="21"/>
      <c r="G443" s="136"/>
      <c r="H443" s="136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</row>
    <row r="444">
      <c r="A444" s="21"/>
      <c r="B444" s="21"/>
      <c r="C444" s="21"/>
      <c r="D444" s="21"/>
      <c r="E444" s="21"/>
      <c r="F444" s="21"/>
      <c r="G444" s="136"/>
      <c r="H444" s="136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</row>
    <row r="445">
      <c r="A445" s="21"/>
      <c r="B445" s="21"/>
      <c r="C445" s="21"/>
      <c r="D445" s="21"/>
      <c r="E445" s="21"/>
      <c r="F445" s="21"/>
      <c r="G445" s="136"/>
      <c r="H445" s="136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</row>
    <row r="446">
      <c r="A446" s="21"/>
      <c r="B446" s="21"/>
      <c r="C446" s="21"/>
      <c r="D446" s="21"/>
      <c r="E446" s="21"/>
      <c r="F446" s="21"/>
      <c r="G446" s="136"/>
      <c r="H446" s="136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</row>
    <row r="447">
      <c r="A447" s="21"/>
      <c r="B447" s="21"/>
      <c r="C447" s="21"/>
      <c r="D447" s="21"/>
      <c r="E447" s="21"/>
      <c r="F447" s="21"/>
      <c r="G447" s="136"/>
      <c r="H447" s="136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</row>
    <row r="448">
      <c r="A448" s="21"/>
      <c r="B448" s="21"/>
      <c r="C448" s="21"/>
      <c r="D448" s="21"/>
      <c r="E448" s="21"/>
      <c r="F448" s="21"/>
      <c r="G448" s="136"/>
      <c r="H448" s="136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</row>
    <row r="449">
      <c r="A449" s="21"/>
      <c r="B449" s="21"/>
      <c r="C449" s="21"/>
      <c r="D449" s="21"/>
      <c r="E449" s="21"/>
      <c r="F449" s="21"/>
      <c r="G449" s="136"/>
      <c r="H449" s="136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</row>
    <row r="450">
      <c r="A450" s="21"/>
      <c r="B450" s="21"/>
      <c r="C450" s="21"/>
      <c r="D450" s="21"/>
      <c r="E450" s="21"/>
      <c r="F450" s="21"/>
      <c r="G450" s="136"/>
      <c r="H450" s="136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</row>
    <row r="451">
      <c r="A451" s="21"/>
      <c r="B451" s="21"/>
      <c r="C451" s="21"/>
      <c r="D451" s="21"/>
      <c r="E451" s="21"/>
      <c r="F451" s="21"/>
      <c r="G451" s="136"/>
      <c r="H451" s="136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</row>
    <row r="452">
      <c r="A452" s="21"/>
      <c r="B452" s="21"/>
      <c r="C452" s="21"/>
      <c r="D452" s="21"/>
      <c r="E452" s="21"/>
      <c r="F452" s="21"/>
      <c r="G452" s="136"/>
      <c r="H452" s="136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</row>
    <row r="453">
      <c r="A453" s="21"/>
      <c r="B453" s="21"/>
      <c r="C453" s="21"/>
      <c r="D453" s="21"/>
      <c r="E453" s="21"/>
      <c r="F453" s="21"/>
      <c r="G453" s="136"/>
      <c r="H453" s="136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</row>
    <row r="454">
      <c r="A454" s="21"/>
      <c r="B454" s="21"/>
      <c r="C454" s="21"/>
      <c r="D454" s="21"/>
      <c r="E454" s="21"/>
      <c r="F454" s="21"/>
      <c r="G454" s="136"/>
      <c r="H454" s="136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</row>
    <row r="455">
      <c r="A455" s="21"/>
      <c r="B455" s="21"/>
      <c r="C455" s="21"/>
      <c r="D455" s="21"/>
      <c r="E455" s="21"/>
      <c r="F455" s="21"/>
      <c r="G455" s="136"/>
      <c r="H455" s="136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</row>
    <row r="456">
      <c r="A456" s="21"/>
      <c r="B456" s="21"/>
      <c r="C456" s="21"/>
      <c r="D456" s="21"/>
      <c r="E456" s="21"/>
      <c r="F456" s="21"/>
      <c r="G456" s="136"/>
      <c r="H456" s="136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</row>
    <row r="457">
      <c r="A457" s="21"/>
      <c r="B457" s="21"/>
      <c r="C457" s="21"/>
      <c r="D457" s="21"/>
      <c r="E457" s="21"/>
      <c r="F457" s="21"/>
      <c r="G457" s="136"/>
      <c r="H457" s="136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</row>
    <row r="458">
      <c r="A458" s="21"/>
      <c r="B458" s="21"/>
      <c r="C458" s="21"/>
      <c r="D458" s="21"/>
      <c r="E458" s="21"/>
      <c r="F458" s="21"/>
      <c r="G458" s="136"/>
      <c r="H458" s="136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</row>
    <row r="459">
      <c r="A459" s="21"/>
      <c r="B459" s="21"/>
      <c r="C459" s="21"/>
      <c r="D459" s="21"/>
      <c r="E459" s="21"/>
      <c r="F459" s="21"/>
      <c r="G459" s="136"/>
      <c r="H459" s="136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</row>
    <row r="460">
      <c r="A460" s="21"/>
      <c r="B460" s="21"/>
      <c r="C460" s="21"/>
      <c r="D460" s="21"/>
      <c r="E460" s="21"/>
      <c r="F460" s="21"/>
      <c r="G460" s="136"/>
      <c r="H460" s="136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</row>
    <row r="461">
      <c r="A461" s="21"/>
      <c r="B461" s="21"/>
      <c r="C461" s="21"/>
      <c r="D461" s="21"/>
      <c r="E461" s="21"/>
      <c r="F461" s="21"/>
      <c r="G461" s="136"/>
      <c r="H461" s="136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</row>
    <row r="462">
      <c r="A462" s="21"/>
      <c r="B462" s="21"/>
      <c r="C462" s="21"/>
      <c r="D462" s="21"/>
      <c r="E462" s="21"/>
      <c r="F462" s="21"/>
      <c r="G462" s="136"/>
      <c r="H462" s="136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</row>
    <row r="463">
      <c r="A463" s="21"/>
      <c r="B463" s="21"/>
      <c r="C463" s="21"/>
      <c r="D463" s="21"/>
      <c r="E463" s="21"/>
      <c r="F463" s="21"/>
      <c r="G463" s="136"/>
      <c r="H463" s="136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</row>
    <row r="464">
      <c r="A464" s="21"/>
      <c r="B464" s="21"/>
      <c r="C464" s="21"/>
      <c r="D464" s="21"/>
      <c r="E464" s="21"/>
      <c r="F464" s="21"/>
      <c r="G464" s="136"/>
      <c r="H464" s="136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</row>
    <row r="465">
      <c r="A465" s="21"/>
      <c r="B465" s="21"/>
      <c r="C465" s="21"/>
      <c r="D465" s="21"/>
      <c r="E465" s="21"/>
      <c r="F465" s="21"/>
      <c r="G465" s="136"/>
      <c r="H465" s="136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</row>
    <row r="466">
      <c r="A466" s="21"/>
      <c r="B466" s="21"/>
      <c r="C466" s="21"/>
      <c r="D466" s="21"/>
      <c r="E466" s="21"/>
      <c r="F466" s="21"/>
      <c r="G466" s="136"/>
      <c r="H466" s="136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</row>
    <row r="467">
      <c r="A467" s="21"/>
      <c r="B467" s="21"/>
      <c r="C467" s="21"/>
      <c r="D467" s="21"/>
      <c r="E467" s="21"/>
      <c r="F467" s="21"/>
      <c r="G467" s="136"/>
      <c r="H467" s="136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</row>
    <row r="468">
      <c r="A468" s="21"/>
      <c r="B468" s="21"/>
      <c r="C468" s="21"/>
      <c r="D468" s="21"/>
      <c r="E468" s="21"/>
      <c r="F468" s="21"/>
      <c r="G468" s="136"/>
      <c r="H468" s="136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</row>
    <row r="469">
      <c r="A469" s="21"/>
      <c r="B469" s="21"/>
      <c r="C469" s="21"/>
      <c r="D469" s="21"/>
      <c r="E469" s="21"/>
      <c r="F469" s="21"/>
      <c r="G469" s="136"/>
      <c r="H469" s="136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</row>
    <row r="470">
      <c r="A470" s="21"/>
      <c r="B470" s="21"/>
      <c r="C470" s="21"/>
      <c r="D470" s="21"/>
      <c r="E470" s="21"/>
      <c r="F470" s="21"/>
      <c r="G470" s="136"/>
      <c r="H470" s="136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</row>
    <row r="471">
      <c r="A471" s="21"/>
      <c r="B471" s="21"/>
      <c r="C471" s="21"/>
      <c r="D471" s="21"/>
      <c r="E471" s="21"/>
      <c r="F471" s="21"/>
      <c r="G471" s="136"/>
      <c r="H471" s="136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</row>
    <row r="472">
      <c r="A472" s="21"/>
      <c r="B472" s="21"/>
      <c r="C472" s="21"/>
      <c r="D472" s="21"/>
      <c r="E472" s="21"/>
      <c r="F472" s="21"/>
      <c r="G472" s="136"/>
      <c r="H472" s="136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</row>
    <row r="473">
      <c r="A473" s="21"/>
      <c r="B473" s="21"/>
      <c r="C473" s="21"/>
      <c r="D473" s="21"/>
      <c r="E473" s="21"/>
      <c r="F473" s="21"/>
      <c r="G473" s="136"/>
      <c r="H473" s="136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</row>
    <row r="474">
      <c r="A474" s="21"/>
      <c r="B474" s="21"/>
      <c r="C474" s="21"/>
      <c r="D474" s="21"/>
      <c r="E474" s="21"/>
      <c r="F474" s="21"/>
      <c r="G474" s="136"/>
      <c r="H474" s="136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</row>
    <row r="475">
      <c r="A475" s="21"/>
      <c r="B475" s="21"/>
      <c r="C475" s="21"/>
      <c r="D475" s="21"/>
      <c r="E475" s="21"/>
      <c r="F475" s="21"/>
      <c r="G475" s="136"/>
      <c r="H475" s="136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</row>
    <row r="476">
      <c r="A476" s="21"/>
      <c r="B476" s="21"/>
      <c r="C476" s="21"/>
      <c r="D476" s="21"/>
      <c r="E476" s="21"/>
      <c r="F476" s="21"/>
      <c r="G476" s="136"/>
      <c r="H476" s="136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</row>
    <row r="477">
      <c r="A477" s="21"/>
      <c r="B477" s="21"/>
      <c r="C477" s="21"/>
      <c r="D477" s="21"/>
      <c r="E477" s="21"/>
      <c r="F477" s="21"/>
      <c r="G477" s="136"/>
      <c r="H477" s="136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</row>
    <row r="478">
      <c r="A478" s="21"/>
      <c r="B478" s="21"/>
      <c r="C478" s="21"/>
      <c r="D478" s="21"/>
      <c r="E478" s="21"/>
      <c r="F478" s="21"/>
      <c r="G478" s="136"/>
      <c r="H478" s="136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</row>
    <row r="479">
      <c r="A479" s="21"/>
      <c r="B479" s="21"/>
      <c r="C479" s="21"/>
      <c r="D479" s="21"/>
      <c r="E479" s="21"/>
      <c r="F479" s="21"/>
      <c r="G479" s="136"/>
      <c r="H479" s="136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</row>
    <row r="480">
      <c r="A480" s="21"/>
      <c r="B480" s="21"/>
      <c r="C480" s="21"/>
      <c r="D480" s="21"/>
      <c r="E480" s="21"/>
      <c r="F480" s="21"/>
      <c r="G480" s="136"/>
      <c r="H480" s="136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</row>
    <row r="481">
      <c r="A481" s="21"/>
      <c r="B481" s="21"/>
      <c r="C481" s="21"/>
      <c r="D481" s="21"/>
      <c r="E481" s="21"/>
      <c r="F481" s="21"/>
      <c r="G481" s="136"/>
      <c r="H481" s="136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</row>
    <row r="482">
      <c r="A482" s="21"/>
      <c r="B482" s="21"/>
      <c r="C482" s="21"/>
      <c r="D482" s="21"/>
      <c r="E482" s="21"/>
      <c r="F482" s="21"/>
      <c r="G482" s="136"/>
      <c r="H482" s="136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</row>
    <row r="483">
      <c r="A483" s="21"/>
      <c r="B483" s="21"/>
      <c r="C483" s="21"/>
      <c r="D483" s="21"/>
      <c r="E483" s="21"/>
      <c r="F483" s="21"/>
      <c r="G483" s="136"/>
      <c r="H483" s="136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</row>
    <row r="484">
      <c r="A484" s="21"/>
      <c r="B484" s="21"/>
      <c r="C484" s="21"/>
      <c r="D484" s="21"/>
      <c r="E484" s="21"/>
      <c r="F484" s="21"/>
      <c r="G484" s="136"/>
      <c r="H484" s="136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</row>
    <row r="485">
      <c r="A485" s="21"/>
      <c r="B485" s="21"/>
      <c r="C485" s="21"/>
      <c r="D485" s="21"/>
      <c r="E485" s="21"/>
      <c r="F485" s="21"/>
      <c r="G485" s="136"/>
      <c r="H485" s="136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</row>
    <row r="486">
      <c r="A486" s="21"/>
      <c r="B486" s="21"/>
      <c r="C486" s="21"/>
      <c r="D486" s="21"/>
      <c r="E486" s="21"/>
      <c r="F486" s="21"/>
      <c r="G486" s="136"/>
      <c r="H486" s="136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</row>
    <row r="487">
      <c r="A487" s="21"/>
      <c r="B487" s="21"/>
      <c r="C487" s="21"/>
      <c r="D487" s="21"/>
      <c r="E487" s="21"/>
      <c r="F487" s="21"/>
      <c r="G487" s="136"/>
      <c r="H487" s="136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</row>
    <row r="488">
      <c r="A488" s="21"/>
      <c r="B488" s="21"/>
      <c r="C488" s="21"/>
      <c r="D488" s="21"/>
      <c r="E488" s="21"/>
      <c r="F488" s="21"/>
      <c r="G488" s="136"/>
      <c r="H488" s="136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</row>
    <row r="489">
      <c r="A489" s="21"/>
      <c r="B489" s="21"/>
      <c r="C489" s="21"/>
      <c r="D489" s="21"/>
      <c r="E489" s="21"/>
      <c r="F489" s="21"/>
      <c r="G489" s="136"/>
      <c r="H489" s="136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</row>
    <row r="490">
      <c r="A490" s="21"/>
      <c r="B490" s="21"/>
      <c r="C490" s="21"/>
      <c r="D490" s="21"/>
      <c r="E490" s="21"/>
      <c r="F490" s="21"/>
      <c r="G490" s="136"/>
      <c r="H490" s="136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</row>
    <row r="491">
      <c r="A491" s="21"/>
      <c r="B491" s="21"/>
      <c r="C491" s="21"/>
      <c r="D491" s="21"/>
      <c r="E491" s="21"/>
      <c r="F491" s="21"/>
      <c r="G491" s="136"/>
      <c r="H491" s="136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</row>
    <row r="492">
      <c r="A492" s="21"/>
      <c r="B492" s="21"/>
      <c r="C492" s="21"/>
      <c r="D492" s="21"/>
      <c r="E492" s="21"/>
      <c r="F492" s="21"/>
      <c r="G492" s="136"/>
      <c r="H492" s="136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</row>
    <row r="493">
      <c r="A493" s="21"/>
      <c r="B493" s="21"/>
      <c r="C493" s="21"/>
      <c r="D493" s="21"/>
      <c r="E493" s="21"/>
      <c r="F493" s="21"/>
      <c r="G493" s="136"/>
      <c r="H493" s="136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</row>
    <row r="494">
      <c r="A494" s="21"/>
      <c r="B494" s="21"/>
      <c r="C494" s="21"/>
      <c r="D494" s="21"/>
      <c r="E494" s="21"/>
      <c r="F494" s="21"/>
      <c r="G494" s="136"/>
      <c r="H494" s="136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</row>
    <row r="495">
      <c r="A495" s="21"/>
      <c r="B495" s="21"/>
      <c r="C495" s="21"/>
      <c r="D495" s="21"/>
      <c r="E495" s="21"/>
      <c r="F495" s="21"/>
      <c r="G495" s="136"/>
      <c r="H495" s="136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</row>
    <row r="496">
      <c r="A496" s="21"/>
      <c r="B496" s="21"/>
      <c r="C496" s="21"/>
      <c r="D496" s="21"/>
      <c r="E496" s="21"/>
      <c r="F496" s="21"/>
      <c r="G496" s="136"/>
      <c r="H496" s="136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</row>
    <row r="497">
      <c r="A497" s="21"/>
      <c r="B497" s="21"/>
      <c r="C497" s="21"/>
      <c r="D497" s="21"/>
      <c r="E497" s="21"/>
      <c r="F497" s="21"/>
      <c r="G497" s="136"/>
      <c r="H497" s="136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</row>
    <row r="498">
      <c r="A498" s="21"/>
      <c r="B498" s="21"/>
      <c r="C498" s="21"/>
      <c r="D498" s="21"/>
      <c r="E498" s="21"/>
      <c r="F498" s="21"/>
      <c r="G498" s="136"/>
      <c r="H498" s="136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</row>
    <row r="499">
      <c r="A499" s="21"/>
      <c r="B499" s="21"/>
      <c r="C499" s="21"/>
      <c r="D499" s="21"/>
      <c r="E499" s="21"/>
      <c r="F499" s="21"/>
      <c r="G499" s="136"/>
      <c r="H499" s="136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</row>
    <row r="500">
      <c r="A500" s="21"/>
      <c r="B500" s="21"/>
      <c r="C500" s="21"/>
      <c r="D500" s="21"/>
      <c r="E500" s="21"/>
      <c r="F500" s="21"/>
      <c r="G500" s="136"/>
      <c r="H500" s="136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</row>
    <row r="501">
      <c r="A501" s="21"/>
      <c r="B501" s="21"/>
      <c r="C501" s="21"/>
      <c r="D501" s="21"/>
      <c r="E501" s="21"/>
      <c r="F501" s="21"/>
      <c r="G501" s="136"/>
      <c r="H501" s="136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</row>
    <row r="502">
      <c r="A502" s="21"/>
      <c r="B502" s="21"/>
      <c r="C502" s="21"/>
      <c r="D502" s="21"/>
      <c r="E502" s="21"/>
      <c r="F502" s="21"/>
      <c r="G502" s="136"/>
      <c r="H502" s="136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</row>
    <row r="503">
      <c r="A503" s="21"/>
      <c r="B503" s="21"/>
      <c r="C503" s="21"/>
      <c r="D503" s="21"/>
      <c r="E503" s="21"/>
      <c r="F503" s="21"/>
      <c r="G503" s="136"/>
      <c r="H503" s="136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</row>
    <row r="504">
      <c r="A504" s="21"/>
      <c r="B504" s="21"/>
      <c r="C504" s="21"/>
      <c r="D504" s="21"/>
      <c r="E504" s="21"/>
      <c r="F504" s="21"/>
      <c r="G504" s="136"/>
      <c r="H504" s="136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</row>
    <row r="505">
      <c r="A505" s="21"/>
      <c r="B505" s="21"/>
      <c r="C505" s="21"/>
      <c r="D505" s="21"/>
      <c r="E505" s="21"/>
      <c r="F505" s="21"/>
      <c r="G505" s="136"/>
      <c r="H505" s="136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</row>
    <row r="506">
      <c r="A506" s="21"/>
      <c r="B506" s="21"/>
      <c r="C506" s="21"/>
      <c r="D506" s="21"/>
      <c r="E506" s="21"/>
      <c r="F506" s="21"/>
      <c r="G506" s="136"/>
      <c r="H506" s="136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</row>
    <row r="507">
      <c r="A507" s="21"/>
      <c r="B507" s="21"/>
      <c r="C507" s="21"/>
      <c r="D507" s="21"/>
      <c r="E507" s="21"/>
      <c r="F507" s="21"/>
      <c r="G507" s="136"/>
      <c r="H507" s="136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</row>
    <row r="508">
      <c r="A508" s="21"/>
      <c r="B508" s="21"/>
      <c r="C508" s="21"/>
      <c r="D508" s="21"/>
      <c r="E508" s="21"/>
      <c r="F508" s="21"/>
      <c r="G508" s="136"/>
      <c r="H508" s="136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</row>
    <row r="509">
      <c r="A509" s="21"/>
      <c r="B509" s="21"/>
      <c r="C509" s="21"/>
      <c r="D509" s="21"/>
      <c r="E509" s="21"/>
      <c r="F509" s="21"/>
      <c r="G509" s="136"/>
      <c r="H509" s="136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</row>
    <row r="510">
      <c r="A510" s="21"/>
      <c r="B510" s="21"/>
      <c r="C510" s="21"/>
      <c r="D510" s="21"/>
      <c r="E510" s="21"/>
      <c r="F510" s="21"/>
      <c r="G510" s="136"/>
      <c r="H510" s="136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</row>
    <row r="511">
      <c r="A511" s="21"/>
      <c r="B511" s="21"/>
      <c r="C511" s="21"/>
      <c r="D511" s="21"/>
      <c r="E511" s="21"/>
      <c r="F511" s="21"/>
      <c r="G511" s="136"/>
      <c r="H511" s="136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</row>
    <row r="512">
      <c r="A512" s="21"/>
      <c r="B512" s="21"/>
      <c r="C512" s="21"/>
      <c r="D512" s="21"/>
      <c r="E512" s="21"/>
      <c r="F512" s="21"/>
      <c r="G512" s="136"/>
      <c r="H512" s="136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</row>
    <row r="513">
      <c r="A513" s="21"/>
      <c r="B513" s="21"/>
      <c r="C513" s="21"/>
      <c r="D513" s="21"/>
      <c r="E513" s="21"/>
      <c r="F513" s="21"/>
      <c r="G513" s="136"/>
      <c r="H513" s="136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</row>
    <row r="514">
      <c r="A514" s="21"/>
      <c r="B514" s="21"/>
      <c r="C514" s="21"/>
      <c r="D514" s="21"/>
      <c r="E514" s="21"/>
      <c r="F514" s="21"/>
      <c r="G514" s="136"/>
      <c r="H514" s="136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</row>
    <row r="515">
      <c r="A515" s="21"/>
      <c r="B515" s="21"/>
      <c r="C515" s="21"/>
      <c r="D515" s="21"/>
      <c r="E515" s="21"/>
      <c r="F515" s="21"/>
      <c r="G515" s="136"/>
      <c r="H515" s="136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</row>
    <row r="516">
      <c r="A516" s="21"/>
      <c r="B516" s="21"/>
      <c r="C516" s="21"/>
      <c r="D516" s="21"/>
      <c r="E516" s="21"/>
      <c r="F516" s="21"/>
      <c r="G516" s="136"/>
      <c r="H516" s="136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</row>
    <row r="517">
      <c r="A517" s="21"/>
      <c r="B517" s="21"/>
      <c r="C517" s="21"/>
      <c r="D517" s="21"/>
      <c r="E517" s="21"/>
      <c r="F517" s="21"/>
      <c r="G517" s="136"/>
      <c r="H517" s="136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</row>
    <row r="518">
      <c r="A518" s="21"/>
      <c r="B518" s="21"/>
      <c r="C518" s="21"/>
      <c r="D518" s="21"/>
      <c r="E518" s="21"/>
      <c r="F518" s="21"/>
      <c r="G518" s="136"/>
      <c r="H518" s="136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</row>
    <row r="519">
      <c r="A519" s="21"/>
      <c r="B519" s="21"/>
      <c r="C519" s="21"/>
      <c r="D519" s="21"/>
      <c r="E519" s="21"/>
      <c r="F519" s="21"/>
      <c r="G519" s="136"/>
      <c r="H519" s="136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</row>
    <row r="520">
      <c r="A520" s="21"/>
      <c r="B520" s="21"/>
      <c r="C520" s="21"/>
      <c r="D520" s="21"/>
      <c r="E520" s="21"/>
      <c r="F520" s="21"/>
      <c r="G520" s="136"/>
      <c r="H520" s="136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</row>
    <row r="521">
      <c r="A521" s="21"/>
      <c r="B521" s="21"/>
      <c r="C521" s="21"/>
      <c r="D521" s="21"/>
      <c r="E521" s="21"/>
      <c r="F521" s="21"/>
      <c r="G521" s="136"/>
      <c r="H521" s="136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</row>
    <row r="522">
      <c r="A522" s="21"/>
      <c r="B522" s="21"/>
      <c r="C522" s="21"/>
      <c r="D522" s="21"/>
      <c r="E522" s="21"/>
      <c r="F522" s="21"/>
      <c r="G522" s="136"/>
      <c r="H522" s="136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</row>
    <row r="523">
      <c r="A523" s="21"/>
      <c r="B523" s="21"/>
      <c r="C523" s="21"/>
      <c r="D523" s="21"/>
      <c r="E523" s="21"/>
      <c r="F523" s="21"/>
      <c r="G523" s="136"/>
      <c r="H523" s="136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</row>
    <row r="524">
      <c r="A524" s="21"/>
      <c r="B524" s="21"/>
      <c r="C524" s="21"/>
      <c r="D524" s="21"/>
      <c r="E524" s="21"/>
      <c r="F524" s="21"/>
      <c r="G524" s="136"/>
      <c r="H524" s="136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</row>
    <row r="525">
      <c r="A525" s="21"/>
      <c r="B525" s="21"/>
      <c r="C525" s="21"/>
      <c r="D525" s="21"/>
      <c r="E525" s="21"/>
      <c r="F525" s="21"/>
      <c r="G525" s="136"/>
      <c r="H525" s="136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</row>
    <row r="526">
      <c r="A526" s="21"/>
      <c r="B526" s="21"/>
      <c r="C526" s="21"/>
      <c r="D526" s="21"/>
      <c r="E526" s="21"/>
      <c r="F526" s="21"/>
      <c r="G526" s="136"/>
      <c r="H526" s="136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</row>
    <row r="527">
      <c r="A527" s="21"/>
      <c r="B527" s="21"/>
      <c r="C527" s="21"/>
      <c r="D527" s="21"/>
      <c r="E527" s="21"/>
      <c r="F527" s="21"/>
      <c r="G527" s="136"/>
      <c r="H527" s="136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</row>
    <row r="528">
      <c r="A528" s="21"/>
      <c r="B528" s="21"/>
      <c r="C528" s="21"/>
      <c r="D528" s="21"/>
      <c r="E528" s="21"/>
      <c r="F528" s="21"/>
      <c r="G528" s="136"/>
      <c r="H528" s="136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</row>
    <row r="529">
      <c r="A529" s="21"/>
      <c r="B529" s="21"/>
      <c r="C529" s="21"/>
      <c r="D529" s="21"/>
      <c r="E529" s="21"/>
      <c r="F529" s="21"/>
      <c r="G529" s="136"/>
      <c r="H529" s="136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</row>
    <row r="530">
      <c r="A530" s="21"/>
      <c r="B530" s="21"/>
      <c r="C530" s="21"/>
      <c r="D530" s="21"/>
      <c r="E530" s="21"/>
      <c r="F530" s="21"/>
      <c r="G530" s="136"/>
      <c r="H530" s="136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</row>
    <row r="531">
      <c r="A531" s="21"/>
      <c r="B531" s="21"/>
      <c r="C531" s="21"/>
      <c r="D531" s="21"/>
      <c r="E531" s="21"/>
      <c r="F531" s="21"/>
      <c r="G531" s="136"/>
      <c r="H531" s="136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</row>
    <row r="532">
      <c r="A532" s="21"/>
      <c r="B532" s="21"/>
      <c r="C532" s="21"/>
      <c r="D532" s="21"/>
      <c r="E532" s="21"/>
      <c r="F532" s="21"/>
      <c r="G532" s="136"/>
      <c r="H532" s="136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</row>
    <row r="533">
      <c r="A533" s="21"/>
      <c r="B533" s="21"/>
      <c r="C533" s="21"/>
      <c r="D533" s="21"/>
      <c r="E533" s="21"/>
      <c r="F533" s="21"/>
      <c r="G533" s="136"/>
      <c r="H533" s="136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</row>
    <row r="534">
      <c r="A534" s="21"/>
      <c r="B534" s="21"/>
      <c r="C534" s="21"/>
      <c r="D534" s="21"/>
      <c r="E534" s="21"/>
      <c r="F534" s="21"/>
      <c r="G534" s="136"/>
      <c r="H534" s="136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</row>
    <row r="535">
      <c r="A535" s="21"/>
      <c r="B535" s="21"/>
      <c r="C535" s="21"/>
      <c r="D535" s="21"/>
      <c r="E535" s="21"/>
      <c r="F535" s="21"/>
      <c r="G535" s="136"/>
      <c r="H535" s="136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</row>
    <row r="536">
      <c r="A536" s="21"/>
      <c r="B536" s="21"/>
      <c r="C536" s="21"/>
      <c r="D536" s="21"/>
      <c r="E536" s="21"/>
      <c r="F536" s="21"/>
      <c r="G536" s="136"/>
      <c r="H536" s="136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</row>
    <row r="537">
      <c r="A537" s="21"/>
      <c r="B537" s="21"/>
      <c r="C537" s="21"/>
      <c r="D537" s="21"/>
      <c r="E537" s="21"/>
      <c r="F537" s="21"/>
      <c r="G537" s="136"/>
      <c r="H537" s="136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</row>
    <row r="538">
      <c r="A538" s="21"/>
      <c r="B538" s="21"/>
      <c r="C538" s="21"/>
      <c r="D538" s="21"/>
      <c r="E538" s="21"/>
      <c r="F538" s="21"/>
      <c r="G538" s="136"/>
      <c r="H538" s="136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</row>
    <row r="539">
      <c r="A539" s="21"/>
      <c r="B539" s="21"/>
      <c r="C539" s="21"/>
      <c r="D539" s="21"/>
      <c r="E539" s="21"/>
      <c r="F539" s="21"/>
      <c r="G539" s="136"/>
      <c r="H539" s="136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</row>
    <row r="540">
      <c r="A540" s="21"/>
      <c r="B540" s="21"/>
      <c r="C540" s="21"/>
      <c r="D540" s="21"/>
      <c r="E540" s="21"/>
      <c r="F540" s="21"/>
      <c r="G540" s="136"/>
      <c r="H540" s="136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</row>
    <row r="541">
      <c r="A541" s="21"/>
      <c r="B541" s="21"/>
      <c r="C541" s="21"/>
      <c r="D541" s="21"/>
      <c r="E541" s="21"/>
      <c r="F541" s="21"/>
      <c r="G541" s="136"/>
      <c r="H541" s="136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</row>
    <row r="542">
      <c r="A542" s="21"/>
      <c r="B542" s="21"/>
      <c r="C542" s="21"/>
      <c r="D542" s="21"/>
      <c r="E542" s="21"/>
      <c r="F542" s="21"/>
      <c r="G542" s="136"/>
      <c r="H542" s="136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</row>
    <row r="543">
      <c r="A543" s="21"/>
      <c r="B543" s="21"/>
      <c r="C543" s="21"/>
      <c r="D543" s="21"/>
      <c r="E543" s="21"/>
      <c r="F543" s="21"/>
      <c r="G543" s="136"/>
      <c r="H543" s="136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</row>
    <row r="544">
      <c r="A544" s="21"/>
      <c r="B544" s="21"/>
      <c r="C544" s="21"/>
      <c r="D544" s="21"/>
      <c r="E544" s="21"/>
      <c r="F544" s="21"/>
      <c r="G544" s="136"/>
      <c r="H544" s="136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</row>
    <row r="545">
      <c r="A545" s="21"/>
      <c r="B545" s="21"/>
      <c r="C545" s="21"/>
      <c r="D545" s="21"/>
      <c r="E545" s="21"/>
      <c r="F545" s="21"/>
      <c r="G545" s="136"/>
      <c r="H545" s="136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</row>
    <row r="546">
      <c r="A546" s="21"/>
      <c r="B546" s="21"/>
      <c r="C546" s="21"/>
      <c r="D546" s="21"/>
      <c r="E546" s="21"/>
      <c r="F546" s="21"/>
      <c r="G546" s="136"/>
      <c r="H546" s="136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</row>
    <row r="547">
      <c r="A547" s="21"/>
      <c r="B547" s="21"/>
      <c r="C547" s="21"/>
      <c r="D547" s="21"/>
      <c r="E547" s="21"/>
      <c r="F547" s="21"/>
      <c r="G547" s="136"/>
      <c r="H547" s="136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</row>
    <row r="548">
      <c r="A548" s="21"/>
      <c r="B548" s="21"/>
      <c r="C548" s="21"/>
      <c r="D548" s="21"/>
      <c r="E548" s="21"/>
      <c r="F548" s="21"/>
      <c r="G548" s="136"/>
      <c r="H548" s="136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</row>
    <row r="549">
      <c r="A549" s="21"/>
      <c r="B549" s="21"/>
      <c r="C549" s="21"/>
      <c r="D549" s="21"/>
      <c r="E549" s="21"/>
      <c r="F549" s="21"/>
      <c r="G549" s="136"/>
      <c r="H549" s="136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</row>
    <row r="550">
      <c r="A550" s="21"/>
      <c r="B550" s="21"/>
      <c r="C550" s="21"/>
      <c r="D550" s="21"/>
      <c r="E550" s="21"/>
      <c r="F550" s="21"/>
      <c r="G550" s="136"/>
      <c r="H550" s="136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</row>
    <row r="551">
      <c r="A551" s="21"/>
      <c r="B551" s="21"/>
      <c r="C551" s="21"/>
      <c r="D551" s="21"/>
      <c r="E551" s="21"/>
      <c r="F551" s="21"/>
      <c r="G551" s="136"/>
      <c r="H551" s="136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</row>
    <row r="552">
      <c r="A552" s="21"/>
      <c r="B552" s="21"/>
      <c r="C552" s="21"/>
      <c r="D552" s="21"/>
      <c r="E552" s="21"/>
      <c r="F552" s="21"/>
      <c r="G552" s="136"/>
      <c r="H552" s="136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</row>
    <row r="553">
      <c r="A553" s="21"/>
      <c r="B553" s="21"/>
      <c r="C553" s="21"/>
      <c r="D553" s="21"/>
      <c r="E553" s="21"/>
      <c r="F553" s="21"/>
      <c r="G553" s="136"/>
      <c r="H553" s="136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</row>
    <row r="554">
      <c r="A554" s="21"/>
      <c r="B554" s="21"/>
      <c r="C554" s="21"/>
      <c r="D554" s="21"/>
      <c r="E554" s="21"/>
      <c r="F554" s="21"/>
      <c r="G554" s="136"/>
      <c r="H554" s="136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</row>
    <row r="555">
      <c r="A555" s="21"/>
      <c r="B555" s="21"/>
      <c r="C555" s="21"/>
      <c r="D555" s="21"/>
      <c r="E555" s="21"/>
      <c r="F555" s="21"/>
      <c r="G555" s="136"/>
      <c r="H555" s="136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</row>
    <row r="556">
      <c r="A556" s="21"/>
      <c r="B556" s="21"/>
      <c r="C556" s="21"/>
      <c r="D556" s="21"/>
      <c r="E556" s="21"/>
      <c r="F556" s="21"/>
      <c r="G556" s="136"/>
      <c r="H556" s="136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</row>
    <row r="557">
      <c r="A557" s="21"/>
      <c r="B557" s="21"/>
      <c r="C557" s="21"/>
      <c r="D557" s="21"/>
      <c r="E557" s="21"/>
      <c r="F557" s="21"/>
      <c r="G557" s="136"/>
      <c r="H557" s="136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</row>
    <row r="558">
      <c r="A558" s="21"/>
      <c r="B558" s="21"/>
      <c r="C558" s="21"/>
      <c r="D558" s="21"/>
      <c r="E558" s="21"/>
      <c r="F558" s="21"/>
      <c r="G558" s="136"/>
      <c r="H558" s="136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</row>
    <row r="559">
      <c r="A559" s="21"/>
      <c r="B559" s="21"/>
      <c r="C559" s="21"/>
      <c r="D559" s="21"/>
      <c r="E559" s="21"/>
      <c r="F559" s="21"/>
      <c r="G559" s="136"/>
      <c r="H559" s="136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</row>
    <row r="560">
      <c r="A560" s="21"/>
      <c r="B560" s="21"/>
      <c r="C560" s="21"/>
      <c r="D560" s="21"/>
      <c r="E560" s="21"/>
      <c r="F560" s="21"/>
      <c r="G560" s="136"/>
      <c r="H560" s="136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</row>
    <row r="561">
      <c r="A561" s="21"/>
      <c r="B561" s="21"/>
      <c r="C561" s="21"/>
      <c r="D561" s="21"/>
      <c r="E561" s="21"/>
      <c r="F561" s="21"/>
      <c r="G561" s="136"/>
      <c r="H561" s="136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</row>
    <row r="562">
      <c r="A562" s="21"/>
      <c r="B562" s="21"/>
      <c r="C562" s="21"/>
      <c r="D562" s="21"/>
      <c r="E562" s="21"/>
      <c r="F562" s="21"/>
      <c r="G562" s="136"/>
      <c r="H562" s="136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</row>
    <row r="563">
      <c r="A563" s="21"/>
      <c r="B563" s="21"/>
      <c r="C563" s="21"/>
      <c r="D563" s="21"/>
      <c r="E563" s="21"/>
      <c r="F563" s="21"/>
      <c r="G563" s="136"/>
      <c r="H563" s="136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</row>
    <row r="564">
      <c r="A564" s="21"/>
      <c r="B564" s="21"/>
      <c r="C564" s="21"/>
      <c r="D564" s="21"/>
      <c r="E564" s="21"/>
      <c r="F564" s="21"/>
      <c r="G564" s="136"/>
      <c r="H564" s="136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</row>
    <row r="565">
      <c r="A565" s="21"/>
      <c r="B565" s="21"/>
      <c r="C565" s="21"/>
      <c r="D565" s="21"/>
      <c r="E565" s="21"/>
      <c r="F565" s="21"/>
      <c r="G565" s="136"/>
      <c r="H565" s="136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</row>
    <row r="566">
      <c r="A566" s="21"/>
      <c r="B566" s="21"/>
      <c r="C566" s="21"/>
      <c r="D566" s="21"/>
      <c r="E566" s="21"/>
      <c r="F566" s="21"/>
      <c r="G566" s="136"/>
      <c r="H566" s="136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</row>
    <row r="567">
      <c r="A567" s="21"/>
      <c r="B567" s="21"/>
      <c r="C567" s="21"/>
      <c r="D567" s="21"/>
      <c r="E567" s="21"/>
      <c r="F567" s="21"/>
      <c r="G567" s="136"/>
      <c r="H567" s="136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</row>
    <row r="568">
      <c r="A568" s="21"/>
      <c r="B568" s="21"/>
      <c r="C568" s="21"/>
      <c r="D568" s="21"/>
      <c r="E568" s="21"/>
      <c r="F568" s="21"/>
      <c r="G568" s="136"/>
      <c r="H568" s="136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</row>
    <row r="569">
      <c r="A569" s="21"/>
      <c r="B569" s="21"/>
      <c r="C569" s="21"/>
      <c r="D569" s="21"/>
      <c r="E569" s="21"/>
      <c r="F569" s="21"/>
      <c r="G569" s="136"/>
      <c r="H569" s="136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</row>
    <row r="570">
      <c r="A570" s="21"/>
      <c r="B570" s="21"/>
      <c r="C570" s="21"/>
      <c r="D570" s="21"/>
      <c r="E570" s="21"/>
      <c r="F570" s="21"/>
      <c r="G570" s="136"/>
      <c r="H570" s="136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</row>
    <row r="571">
      <c r="A571" s="21"/>
      <c r="B571" s="21"/>
      <c r="C571" s="21"/>
      <c r="D571" s="21"/>
      <c r="E571" s="21"/>
      <c r="F571" s="21"/>
      <c r="G571" s="136"/>
      <c r="H571" s="136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</row>
    <row r="572">
      <c r="A572" s="21"/>
      <c r="B572" s="21"/>
      <c r="C572" s="21"/>
      <c r="D572" s="21"/>
      <c r="E572" s="21"/>
      <c r="F572" s="21"/>
      <c r="G572" s="136"/>
      <c r="H572" s="136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</row>
    <row r="573">
      <c r="A573" s="21"/>
      <c r="B573" s="21"/>
      <c r="C573" s="21"/>
      <c r="D573" s="21"/>
      <c r="E573" s="21"/>
      <c r="F573" s="21"/>
      <c r="G573" s="136"/>
      <c r="H573" s="136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</row>
    <row r="574">
      <c r="A574" s="21"/>
      <c r="B574" s="21"/>
      <c r="C574" s="21"/>
      <c r="D574" s="21"/>
      <c r="E574" s="21"/>
      <c r="F574" s="21"/>
      <c r="G574" s="136"/>
      <c r="H574" s="136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</row>
    <row r="575">
      <c r="A575" s="21"/>
      <c r="B575" s="21"/>
      <c r="C575" s="21"/>
      <c r="D575" s="21"/>
      <c r="E575" s="21"/>
      <c r="F575" s="21"/>
      <c r="G575" s="136"/>
      <c r="H575" s="136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</row>
    <row r="576">
      <c r="A576" s="21"/>
      <c r="B576" s="21"/>
      <c r="C576" s="21"/>
      <c r="D576" s="21"/>
      <c r="E576" s="21"/>
      <c r="F576" s="21"/>
      <c r="G576" s="136"/>
      <c r="H576" s="136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</row>
    <row r="577">
      <c r="A577" s="21"/>
      <c r="B577" s="21"/>
      <c r="C577" s="21"/>
      <c r="D577" s="21"/>
      <c r="E577" s="21"/>
      <c r="F577" s="21"/>
      <c r="G577" s="136"/>
      <c r="H577" s="136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</row>
    <row r="578">
      <c r="A578" s="21"/>
      <c r="B578" s="21"/>
      <c r="C578" s="21"/>
      <c r="D578" s="21"/>
      <c r="E578" s="21"/>
      <c r="F578" s="21"/>
      <c r="G578" s="136"/>
      <c r="H578" s="136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</row>
    <row r="579">
      <c r="A579" s="21"/>
      <c r="B579" s="21"/>
      <c r="C579" s="21"/>
      <c r="D579" s="21"/>
      <c r="E579" s="21"/>
      <c r="F579" s="21"/>
      <c r="G579" s="136"/>
      <c r="H579" s="136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</row>
    <row r="580">
      <c r="A580" s="21"/>
      <c r="B580" s="21"/>
      <c r="C580" s="21"/>
      <c r="D580" s="21"/>
      <c r="E580" s="21"/>
      <c r="F580" s="21"/>
      <c r="G580" s="136"/>
      <c r="H580" s="136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</row>
    <row r="581">
      <c r="A581" s="21"/>
      <c r="B581" s="21"/>
      <c r="C581" s="21"/>
      <c r="D581" s="21"/>
      <c r="E581" s="21"/>
      <c r="F581" s="21"/>
      <c r="G581" s="136"/>
      <c r="H581" s="136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</row>
    <row r="582">
      <c r="A582" s="21"/>
      <c r="B582" s="21"/>
      <c r="C582" s="21"/>
      <c r="D582" s="21"/>
      <c r="E582" s="21"/>
      <c r="F582" s="21"/>
      <c r="G582" s="136"/>
      <c r="H582" s="136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</row>
    <row r="583">
      <c r="A583" s="21"/>
      <c r="B583" s="21"/>
      <c r="C583" s="21"/>
      <c r="D583" s="21"/>
      <c r="E583" s="21"/>
      <c r="F583" s="21"/>
      <c r="G583" s="136"/>
      <c r="H583" s="136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</row>
    <row r="584">
      <c r="A584" s="21"/>
      <c r="B584" s="21"/>
      <c r="C584" s="21"/>
      <c r="D584" s="21"/>
      <c r="E584" s="21"/>
      <c r="F584" s="21"/>
      <c r="G584" s="136"/>
      <c r="H584" s="136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</row>
    <row r="585">
      <c r="A585" s="21"/>
      <c r="B585" s="21"/>
      <c r="C585" s="21"/>
      <c r="D585" s="21"/>
      <c r="E585" s="21"/>
      <c r="F585" s="21"/>
      <c r="G585" s="136"/>
      <c r="H585" s="136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</row>
    <row r="586">
      <c r="A586" s="21"/>
      <c r="B586" s="21"/>
      <c r="C586" s="21"/>
      <c r="D586" s="21"/>
      <c r="E586" s="21"/>
      <c r="F586" s="21"/>
      <c r="G586" s="136"/>
      <c r="H586" s="136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</row>
    <row r="587">
      <c r="A587" s="21"/>
      <c r="B587" s="21"/>
      <c r="C587" s="21"/>
      <c r="D587" s="21"/>
      <c r="E587" s="21"/>
      <c r="F587" s="21"/>
      <c r="G587" s="136"/>
      <c r="H587" s="136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</row>
    <row r="588">
      <c r="A588" s="21"/>
      <c r="B588" s="21"/>
      <c r="C588" s="21"/>
      <c r="D588" s="21"/>
      <c r="E588" s="21"/>
      <c r="F588" s="21"/>
      <c r="G588" s="136"/>
      <c r="H588" s="136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</row>
    <row r="589">
      <c r="A589" s="21"/>
      <c r="B589" s="21"/>
      <c r="C589" s="21"/>
      <c r="D589" s="21"/>
      <c r="E589" s="21"/>
      <c r="F589" s="21"/>
      <c r="G589" s="136"/>
      <c r="H589" s="136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</row>
    <row r="590">
      <c r="A590" s="21"/>
      <c r="B590" s="21"/>
      <c r="C590" s="21"/>
      <c r="D590" s="21"/>
      <c r="E590" s="21"/>
      <c r="F590" s="21"/>
      <c r="G590" s="136"/>
      <c r="H590" s="136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</row>
    <row r="591">
      <c r="A591" s="21"/>
      <c r="B591" s="21"/>
      <c r="C591" s="21"/>
      <c r="D591" s="21"/>
      <c r="E591" s="21"/>
      <c r="F591" s="21"/>
      <c r="G591" s="136"/>
      <c r="H591" s="136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</row>
    <row r="592">
      <c r="A592" s="21"/>
      <c r="B592" s="21"/>
      <c r="C592" s="21"/>
      <c r="D592" s="21"/>
      <c r="E592" s="21"/>
      <c r="F592" s="21"/>
      <c r="G592" s="136"/>
      <c r="H592" s="136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</row>
    <row r="593">
      <c r="A593" s="21"/>
      <c r="B593" s="21"/>
      <c r="C593" s="21"/>
      <c r="D593" s="21"/>
      <c r="E593" s="21"/>
      <c r="F593" s="21"/>
      <c r="G593" s="136"/>
      <c r="H593" s="136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</row>
    <row r="594">
      <c r="A594" s="21"/>
      <c r="B594" s="21"/>
      <c r="C594" s="21"/>
      <c r="D594" s="21"/>
      <c r="E594" s="21"/>
      <c r="F594" s="21"/>
      <c r="G594" s="136"/>
      <c r="H594" s="136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</row>
    <row r="595">
      <c r="A595" s="21"/>
      <c r="B595" s="21"/>
      <c r="C595" s="21"/>
      <c r="D595" s="21"/>
      <c r="E595" s="21"/>
      <c r="F595" s="21"/>
      <c r="G595" s="136"/>
      <c r="H595" s="136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</row>
    <row r="596">
      <c r="A596" s="21"/>
      <c r="B596" s="21"/>
      <c r="C596" s="21"/>
      <c r="D596" s="21"/>
      <c r="E596" s="21"/>
      <c r="F596" s="21"/>
      <c r="G596" s="136"/>
      <c r="H596" s="136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</row>
    <row r="597">
      <c r="A597" s="21"/>
      <c r="B597" s="21"/>
      <c r="C597" s="21"/>
      <c r="D597" s="21"/>
      <c r="E597" s="21"/>
      <c r="F597" s="21"/>
      <c r="G597" s="136"/>
      <c r="H597" s="136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</row>
    <row r="598">
      <c r="A598" s="21"/>
      <c r="B598" s="21"/>
      <c r="C598" s="21"/>
      <c r="D598" s="21"/>
      <c r="E598" s="21"/>
      <c r="F598" s="21"/>
      <c r="G598" s="136"/>
      <c r="H598" s="136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</row>
    <row r="599">
      <c r="A599" s="21"/>
      <c r="B599" s="21"/>
      <c r="C599" s="21"/>
      <c r="D599" s="21"/>
      <c r="E599" s="21"/>
      <c r="F599" s="21"/>
      <c r="G599" s="136"/>
      <c r="H599" s="136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</row>
    <row r="600">
      <c r="A600" s="21"/>
      <c r="B600" s="21"/>
      <c r="C600" s="21"/>
      <c r="D600" s="21"/>
      <c r="E600" s="21"/>
      <c r="F600" s="21"/>
      <c r="G600" s="136"/>
      <c r="H600" s="136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</row>
    <row r="601">
      <c r="A601" s="21"/>
      <c r="B601" s="21"/>
      <c r="C601" s="21"/>
      <c r="D601" s="21"/>
      <c r="E601" s="21"/>
      <c r="F601" s="21"/>
      <c r="G601" s="136"/>
      <c r="H601" s="136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</row>
    <row r="602">
      <c r="A602" s="21"/>
      <c r="B602" s="21"/>
      <c r="C602" s="21"/>
      <c r="D602" s="21"/>
      <c r="E602" s="21"/>
      <c r="F602" s="21"/>
      <c r="G602" s="136"/>
      <c r="H602" s="136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</row>
    <row r="603">
      <c r="A603" s="21"/>
      <c r="B603" s="21"/>
      <c r="C603" s="21"/>
      <c r="D603" s="21"/>
      <c r="E603" s="21"/>
      <c r="F603" s="21"/>
      <c r="G603" s="136"/>
      <c r="H603" s="136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</row>
    <row r="604">
      <c r="A604" s="21"/>
      <c r="B604" s="21"/>
      <c r="C604" s="21"/>
      <c r="D604" s="21"/>
      <c r="E604" s="21"/>
      <c r="F604" s="21"/>
      <c r="G604" s="136"/>
      <c r="H604" s="136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</row>
    <row r="605">
      <c r="A605" s="21"/>
      <c r="B605" s="21"/>
      <c r="C605" s="21"/>
      <c r="D605" s="21"/>
      <c r="E605" s="21"/>
      <c r="F605" s="21"/>
      <c r="G605" s="136"/>
      <c r="H605" s="136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</row>
    <row r="606">
      <c r="A606" s="21"/>
      <c r="B606" s="21"/>
      <c r="C606" s="21"/>
      <c r="D606" s="21"/>
      <c r="E606" s="21"/>
      <c r="F606" s="21"/>
      <c r="G606" s="136"/>
      <c r="H606" s="136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</row>
    <row r="607">
      <c r="A607" s="21"/>
      <c r="B607" s="21"/>
      <c r="C607" s="21"/>
      <c r="D607" s="21"/>
      <c r="E607" s="21"/>
      <c r="F607" s="21"/>
      <c r="G607" s="136"/>
      <c r="H607" s="136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</row>
    <row r="608">
      <c r="A608" s="21"/>
      <c r="B608" s="21"/>
      <c r="C608" s="21"/>
      <c r="D608" s="21"/>
      <c r="E608" s="21"/>
      <c r="F608" s="21"/>
      <c r="G608" s="136"/>
      <c r="H608" s="136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</row>
    <row r="609">
      <c r="A609" s="21"/>
      <c r="B609" s="21"/>
      <c r="C609" s="21"/>
      <c r="D609" s="21"/>
      <c r="E609" s="21"/>
      <c r="F609" s="21"/>
      <c r="G609" s="136"/>
      <c r="H609" s="136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</row>
    <row r="610">
      <c r="A610" s="21"/>
      <c r="B610" s="21"/>
      <c r="C610" s="21"/>
      <c r="D610" s="21"/>
      <c r="E610" s="21"/>
      <c r="F610" s="21"/>
      <c r="G610" s="136"/>
      <c r="H610" s="136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</row>
    <row r="611">
      <c r="A611" s="21"/>
      <c r="B611" s="21"/>
      <c r="C611" s="21"/>
      <c r="D611" s="21"/>
      <c r="E611" s="21"/>
      <c r="F611" s="21"/>
      <c r="G611" s="136"/>
      <c r="H611" s="136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</row>
    <row r="612">
      <c r="A612" s="21"/>
      <c r="B612" s="21"/>
      <c r="C612" s="21"/>
      <c r="D612" s="21"/>
      <c r="E612" s="21"/>
      <c r="F612" s="21"/>
      <c r="G612" s="136"/>
      <c r="H612" s="136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</row>
    <row r="613">
      <c r="A613" s="21"/>
      <c r="B613" s="21"/>
      <c r="C613" s="21"/>
      <c r="D613" s="21"/>
      <c r="E613" s="21"/>
      <c r="F613" s="21"/>
      <c r="G613" s="136"/>
      <c r="H613" s="136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</row>
    <row r="614">
      <c r="A614" s="21"/>
      <c r="B614" s="21"/>
      <c r="C614" s="21"/>
      <c r="D614" s="21"/>
      <c r="E614" s="21"/>
      <c r="F614" s="21"/>
      <c r="G614" s="136"/>
      <c r="H614" s="136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</row>
    <row r="615">
      <c r="A615" s="21"/>
      <c r="B615" s="21"/>
      <c r="C615" s="21"/>
      <c r="D615" s="21"/>
      <c r="E615" s="21"/>
      <c r="F615" s="21"/>
      <c r="G615" s="136"/>
      <c r="H615" s="136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</row>
    <row r="616">
      <c r="A616" s="21"/>
      <c r="B616" s="21"/>
      <c r="C616" s="21"/>
      <c r="D616" s="21"/>
      <c r="E616" s="21"/>
      <c r="F616" s="21"/>
      <c r="G616" s="136"/>
      <c r="H616" s="136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</row>
    <row r="617">
      <c r="A617" s="21"/>
      <c r="B617" s="21"/>
      <c r="C617" s="21"/>
      <c r="D617" s="21"/>
      <c r="E617" s="21"/>
      <c r="F617" s="21"/>
      <c r="G617" s="136"/>
      <c r="H617" s="136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</row>
    <row r="618">
      <c r="A618" s="21"/>
      <c r="B618" s="21"/>
      <c r="C618" s="21"/>
      <c r="D618" s="21"/>
      <c r="E618" s="21"/>
      <c r="F618" s="21"/>
      <c r="G618" s="136"/>
      <c r="H618" s="136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</row>
    <row r="619">
      <c r="A619" s="21"/>
      <c r="B619" s="21"/>
      <c r="C619" s="21"/>
      <c r="D619" s="21"/>
      <c r="E619" s="21"/>
      <c r="F619" s="21"/>
      <c r="G619" s="136"/>
      <c r="H619" s="136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</row>
    <row r="620">
      <c r="A620" s="21"/>
      <c r="B620" s="21"/>
      <c r="C620" s="21"/>
      <c r="D620" s="21"/>
      <c r="E620" s="21"/>
      <c r="F620" s="21"/>
      <c r="G620" s="136"/>
      <c r="H620" s="136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</row>
    <row r="621">
      <c r="A621" s="21"/>
      <c r="B621" s="21"/>
      <c r="C621" s="21"/>
      <c r="D621" s="21"/>
      <c r="E621" s="21"/>
      <c r="F621" s="21"/>
      <c r="G621" s="136"/>
      <c r="H621" s="136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</row>
    <row r="622">
      <c r="A622" s="21"/>
      <c r="B622" s="21"/>
      <c r="C622" s="21"/>
      <c r="D622" s="21"/>
      <c r="E622" s="21"/>
      <c r="F622" s="21"/>
      <c r="G622" s="136"/>
      <c r="H622" s="136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</row>
    <row r="623">
      <c r="A623" s="21"/>
      <c r="B623" s="21"/>
      <c r="C623" s="21"/>
      <c r="D623" s="21"/>
      <c r="E623" s="21"/>
      <c r="F623" s="21"/>
      <c r="G623" s="136"/>
      <c r="H623" s="136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</row>
    <row r="624">
      <c r="A624" s="21"/>
      <c r="B624" s="21"/>
      <c r="C624" s="21"/>
      <c r="D624" s="21"/>
      <c r="E624" s="21"/>
      <c r="F624" s="21"/>
      <c r="G624" s="136"/>
      <c r="H624" s="136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</row>
    <row r="625">
      <c r="A625" s="21"/>
      <c r="B625" s="21"/>
      <c r="C625" s="21"/>
      <c r="D625" s="21"/>
      <c r="E625" s="21"/>
      <c r="F625" s="21"/>
      <c r="G625" s="136"/>
      <c r="H625" s="136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</row>
    <row r="626">
      <c r="A626" s="21"/>
      <c r="B626" s="21"/>
      <c r="C626" s="21"/>
      <c r="D626" s="21"/>
      <c r="E626" s="21"/>
      <c r="F626" s="21"/>
      <c r="G626" s="136"/>
      <c r="H626" s="136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</row>
    <row r="627">
      <c r="A627" s="21"/>
      <c r="B627" s="21"/>
      <c r="C627" s="21"/>
      <c r="D627" s="21"/>
      <c r="E627" s="21"/>
      <c r="F627" s="21"/>
      <c r="G627" s="136"/>
      <c r="H627" s="136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</row>
    <row r="628">
      <c r="A628" s="21"/>
      <c r="B628" s="21"/>
      <c r="C628" s="21"/>
      <c r="D628" s="21"/>
      <c r="E628" s="21"/>
      <c r="F628" s="21"/>
      <c r="G628" s="136"/>
      <c r="H628" s="136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</row>
    <row r="629">
      <c r="A629" s="21"/>
      <c r="B629" s="21"/>
      <c r="C629" s="21"/>
      <c r="D629" s="21"/>
      <c r="E629" s="21"/>
      <c r="F629" s="21"/>
      <c r="G629" s="136"/>
      <c r="H629" s="136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</row>
    <row r="630">
      <c r="A630" s="21"/>
      <c r="B630" s="21"/>
      <c r="C630" s="21"/>
      <c r="D630" s="21"/>
      <c r="E630" s="21"/>
      <c r="F630" s="21"/>
      <c r="G630" s="136"/>
      <c r="H630" s="136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</row>
    <row r="631">
      <c r="A631" s="21"/>
      <c r="B631" s="21"/>
      <c r="C631" s="21"/>
      <c r="D631" s="21"/>
      <c r="E631" s="21"/>
      <c r="F631" s="21"/>
      <c r="G631" s="136"/>
      <c r="H631" s="136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</row>
    <row r="632">
      <c r="A632" s="21"/>
      <c r="B632" s="21"/>
      <c r="C632" s="21"/>
      <c r="D632" s="21"/>
      <c r="E632" s="21"/>
      <c r="F632" s="21"/>
      <c r="G632" s="136"/>
      <c r="H632" s="136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</row>
    <row r="633">
      <c r="A633" s="21"/>
      <c r="B633" s="21"/>
      <c r="C633" s="21"/>
      <c r="D633" s="21"/>
      <c r="E633" s="21"/>
      <c r="F633" s="21"/>
      <c r="G633" s="136"/>
      <c r="H633" s="136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</row>
    <row r="634">
      <c r="A634" s="21"/>
      <c r="B634" s="21"/>
      <c r="C634" s="21"/>
      <c r="D634" s="21"/>
      <c r="E634" s="21"/>
      <c r="F634" s="21"/>
      <c r="G634" s="136"/>
      <c r="H634" s="136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</row>
    <row r="635">
      <c r="A635" s="21"/>
      <c r="B635" s="21"/>
      <c r="C635" s="21"/>
      <c r="D635" s="21"/>
      <c r="E635" s="21"/>
      <c r="F635" s="21"/>
      <c r="G635" s="136"/>
      <c r="H635" s="136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</row>
    <row r="636">
      <c r="A636" s="21"/>
      <c r="B636" s="21"/>
      <c r="C636" s="21"/>
      <c r="D636" s="21"/>
      <c r="E636" s="21"/>
      <c r="F636" s="21"/>
      <c r="G636" s="136"/>
      <c r="H636" s="136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</row>
    <row r="637">
      <c r="A637" s="21"/>
      <c r="B637" s="21"/>
      <c r="C637" s="21"/>
      <c r="D637" s="21"/>
      <c r="E637" s="21"/>
      <c r="F637" s="21"/>
      <c r="G637" s="136"/>
      <c r="H637" s="136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</row>
    <row r="638">
      <c r="A638" s="21"/>
      <c r="B638" s="21"/>
      <c r="C638" s="21"/>
      <c r="D638" s="21"/>
      <c r="E638" s="21"/>
      <c r="F638" s="21"/>
      <c r="G638" s="136"/>
      <c r="H638" s="136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</row>
    <row r="639">
      <c r="A639" s="21"/>
      <c r="B639" s="21"/>
      <c r="C639" s="21"/>
      <c r="D639" s="21"/>
      <c r="E639" s="21"/>
      <c r="F639" s="21"/>
      <c r="G639" s="136"/>
      <c r="H639" s="136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</row>
    <row r="640">
      <c r="A640" s="21"/>
      <c r="B640" s="21"/>
      <c r="C640" s="21"/>
      <c r="D640" s="21"/>
      <c r="E640" s="21"/>
      <c r="F640" s="21"/>
      <c r="G640" s="136"/>
      <c r="H640" s="136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</row>
    <row r="641">
      <c r="A641" s="21"/>
      <c r="B641" s="21"/>
      <c r="C641" s="21"/>
      <c r="D641" s="21"/>
      <c r="E641" s="21"/>
      <c r="F641" s="21"/>
      <c r="G641" s="136"/>
      <c r="H641" s="136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</row>
    <row r="642">
      <c r="A642" s="21"/>
      <c r="B642" s="21"/>
      <c r="C642" s="21"/>
      <c r="D642" s="21"/>
      <c r="E642" s="21"/>
      <c r="F642" s="21"/>
      <c r="G642" s="136"/>
      <c r="H642" s="136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</row>
    <row r="643">
      <c r="A643" s="21"/>
      <c r="B643" s="21"/>
      <c r="C643" s="21"/>
      <c r="D643" s="21"/>
      <c r="E643" s="21"/>
      <c r="F643" s="21"/>
      <c r="G643" s="136"/>
      <c r="H643" s="136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</row>
    <row r="644">
      <c r="A644" s="21"/>
      <c r="B644" s="21"/>
      <c r="C644" s="21"/>
      <c r="D644" s="21"/>
      <c r="E644" s="21"/>
      <c r="F644" s="21"/>
      <c r="G644" s="136"/>
      <c r="H644" s="136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</row>
    <row r="645">
      <c r="A645" s="21"/>
      <c r="B645" s="21"/>
      <c r="C645" s="21"/>
      <c r="D645" s="21"/>
      <c r="E645" s="21"/>
      <c r="F645" s="21"/>
      <c r="G645" s="136"/>
      <c r="H645" s="136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</row>
    <row r="646">
      <c r="A646" s="21"/>
      <c r="B646" s="21"/>
      <c r="C646" s="21"/>
      <c r="D646" s="21"/>
      <c r="E646" s="21"/>
      <c r="F646" s="21"/>
      <c r="G646" s="136"/>
      <c r="H646" s="136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</row>
    <row r="647">
      <c r="A647" s="21"/>
      <c r="B647" s="21"/>
      <c r="C647" s="21"/>
      <c r="D647" s="21"/>
      <c r="E647" s="21"/>
      <c r="F647" s="21"/>
      <c r="G647" s="136"/>
      <c r="H647" s="136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</row>
    <row r="648">
      <c r="A648" s="21"/>
      <c r="B648" s="21"/>
      <c r="C648" s="21"/>
      <c r="D648" s="21"/>
      <c r="E648" s="21"/>
      <c r="F648" s="21"/>
      <c r="G648" s="136"/>
      <c r="H648" s="136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</row>
    <row r="649">
      <c r="A649" s="21"/>
      <c r="B649" s="21"/>
      <c r="C649" s="21"/>
      <c r="D649" s="21"/>
      <c r="E649" s="21"/>
      <c r="F649" s="21"/>
      <c r="G649" s="136"/>
      <c r="H649" s="136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</row>
    <row r="650">
      <c r="A650" s="21"/>
      <c r="B650" s="21"/>
      <c r="C650" s="21"/>
      <c r="D650" s="21"/>
      <c r="E650" s="21"/>
      <c r="F650" s="21"/>
      <c r="G650" s="136"/>
      <c r="H650" s="136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</row>
    <row r="651">
      <c r="A651" s="21"/>
      <c r="B651" s="21"/>
      <c r="C651" s="21"/>
      <c r="D651" s="21"/>
      <c r="E651" s="21"/>
      <c r="F651" s="21"/>
      <c r="G651" s="136"/>
      <c r="H651" s="136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</row>
    <row r="652">
      <c r="A652" s="21"/>
      <c r="B652" s="21"/>
      <c r="C652" s="21"/>
      <c r="D652" s="21"/>
      <c r="E652" s="21"/>
      <c r="F652" s="21"/>
      <c r="G652" s="136"/>
      <c r="H652" s="136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</row>
    <row r="653">
      <c r="A653" s="21"/>
      <c r="B653" s="21"/>
      <c r="C653" s="21"/>
      <c r="D653" s="21"/>
      <c r="E653" s="21"/>
      <c r="F653" s="21"/>
      <c r="G653" s="136"/>
      <c r="H653" s="136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</row>
    <row r="654">
      <c r="A654" s="21"/>
      <c r="B654" s="21"/>
      <c r="C654" s="21"/>
      <c r="D654" s="21"/>
      <c r="E654" s="21"/>
      <c r="F654" s="21"/>
      <c r="G654" s="136"/>
      <c r="H654" s="136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</row>
    <row r="655">
      <c r="A655" s="21"/>
      <c r="B655" s="21"/>
      <c r="C655" s="21"/>
      <c r="D655" s="21"/>
      <c r="E655" s="21"/>
      <c r="F655" s="21"/>
      <c r="G655" s="136"/>
      <c r="H655" s="136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</row>
    <row r="656">
      <c r="A656" s="21"/>
      <c r="B656" s="21"/>
      <c r="C656" s="21"/>
      <c r="D656" s="21"/>
      <c r="E656" s="21"/>
      <c r="F656" s="21"/>
      <c r="G656" s="136"/>
      <c r="H656" s="136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</row>
    <row r="657">
      <c r="A657" s="21"/>
      <c r="B657" s="21"/>
      <c r="C657" s="21"/>
      <c r="D657" s="21"/>
      <c r="E657" s="21"/>
      <c r="F657" s="21"/>
      <c r="G657" s="136"/>
      <c r="H657" s="136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</row>
    <row r="658">
      <c r="A658" s="21"/>
      <c r="B658" s="21"/>
      <c r="C658" s="21"/>
      <c r="D658" s="21"/>
      <c r="E658" s="21"/>
      <c r="F658" s="21"/>
      <c r="G658" s="136"/>
      <c r="H658" s="136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</row>
    <row r="659">
      <c r="A659" s="21"/>
      <c r="B659" s="21"/>
      <c r="C659" s="21"/>
      <c r="D659" s="21"/>
      <c r="E659" s="21"/>
      <c r="F659" s="21"/>
      <c r="G659" s="136"/>
      <c r="H659" s="136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</row>
    <row r="660">
      <c r="A660" s="21"/>
      <c r="B660" s="21"/>
      <c r="C660" s="21"/>
      <c r="D660" s="21"/>
      <c r="E660" s="21"/>
      <c r="F660" s="21"/>
      <c r="G660" s="136"/>
      <c r="H660" s="136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</row>
    <row r="661">
      <c r="A661" s="21"/>
      <c r="B661" s="21"/>
      <c r="C661" s="21"/>
      <c r="D661" s="21"/>
      <c r="E661" s="21"/>
      <c r="F661" s="21"/>
      <c r="G661" s="136"/>
      <c r="H661" s="136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</row>
    <row r="662">
      <c r="A662" s="21"/>
      <c r="B662" s="21"/>
      <c r="C662" s="21"/>
      <c r="D662" s="21"/>
      <c r="E662" s="21"/>
      <c r="F662" s="21"/>
      <c r="G662" s="136"/>
      <c r="H662" s="136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</row>
    <row r="663">
      <c r="A663" s="21"/>
      <c r="B663" s="21"/>
      <c r="C663" s="21"/>
      <c r="D663" s="21"/>
      <c r="E663" s="21"/>
      <c r="F663" s="21"/>
      <c r="G663" s="136"/>
      <c r="H663" s="136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</row>
    <row r="664">
      <c r="A664" s="21"/>
      <c r="B664" s="21"/>
      <c r="C664" s="21"/>
      <c r="D664" s="21"/>
      <c r="E664" s="21"/>
      <c r="F664" s="21"/>
      <c r="G664" s="136"/>
      <c r="H664" s="136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</row>
    <row r="665">
      <c r="A665" s="21"/>
      <c r="B665" s="21"/>
      <c r="C665" s="21"/>
      <c r="D665" s="21"/>
      <c r="E665" s="21"/>
      <c r="F665" s="21"/>
      <c r="G665" s="136"/>
      <c r="H665" s="136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</row>
    <row r="666">
      <c r="A666" s="21"/>
      <c r="B666" s="21"/>
      <c r="C666" s="21"/>
      <c r="D666" s="21"/>
      <c r="E666" s="21"/>
      <c r="F666" s="21"/>
      <c r="G666" s="136"/>
      <c r="H666" s="136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</row>
    <row r="667">
      <c r="A667" s="21"/>
      <c r="B667" s="21"/>
      <c r="C667" s="21"/>
      <c r="D667" s="21"/>
      <c r="E667" s="21"/>
      <c r="F667" s="21"/>
      <c r="G667" s="136"/>
      <c r="H667" s="136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</row>
    <row r="668">
      <c r="A668" s="21"/>
      <c r="B668" s="21"/>
      <c r="C668" s="21"/>
      <c r="D668" s="21"/>
      <c r="E668" s="21"/>
      <c r="F668" s="21"/>
      <c r="G668" s="136"/>
      <c r="H668" s="136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</row>
    <row r="669">
      <c r="A669" s="21"/>
      <c r="B669" s="21"/>
      <c r="C669" s="21"/>
      <c r="D669" s="21"/>
      <c r="E669" s="21"/>
      <c r="F669" s="21"/>
      <c r="G669" s="136"/>
      <c r="H669" s="136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</row>
    <row r="670">
      <c r="A670" s="21"/>
      <c r="B670" s="21"/>
      <c r="C670" s="21"/>
      <c r="D670" s="21"/>
      <c r="E670" s="21"/>
      <c r="F670" s="21"/>
      <c r="G670" s="136"/>
      <c r="H670" s="136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</row>
    <row r="671">
      <c r="A671" s="21"/>
      <c r="B671" s="21"/>
      <c r="C671" s="21"/>
      <c r="D671" s="21"/>
      <c r="E671" s="21"/>
      <c r="F671" s="21"/>
      <c r="G671" s="136"/>
      <c r="H671" s="136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</row>
    <row r="672">
      <c r="A672" s="21"/>
      <c r="B672" s="21"/>
      <c r="C672" s="21"/>
      <c r="D672" s="21"/>
      <c r="E672" s="21"/>
      <c r="F672" s="21"/>
      <c r="G672" s="136"/>
      <c r="H672" s="136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</row>
    <row r="673">
      <c r="A673" s="21"/>
      <c r="B673" s="21"/>
      <c r="C673" s="21"/>
      <c r="D673" s="21"/>
      <c r="E673" s="21"/>
      <c r="F673" s="21"/>
      <c r="G673" s="136"/>
      <c r="H673" s="136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</row>
    <row r="674">
      <c r="A674" s="21"/>
      <c r="B674" s="21"/>
      <c r="C674" s="21"/>
      <c r="D674" s="21"/>
      <c r="E674" s="21"/>
      <c r="F674" s="21"/>
      <c r="G674" s="136"/>
      <c r="H674" s="136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</row>
    <row r="675">
      <c r="A675" s="21"/>
      <c r="B675" s="21"/>
      <c r="C675" s="21"/>
      <c r="D675" s="21"/>
      <c r="E675" s="21"/>
      <c r="F675" s="21"/>
      <c r="G675" s="136"/>
      <c r="H675" s="136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</row>
    <row r="676">
      <c r="A676" s="21"/>
      <c r="B676" s="21"/>
      <c r="C676" s="21"/>
      <c r="D676" s="21"/>
      <c r="E676" s="21"/>
      <c r="F676" s="21"/>
      <c r="G676" s="136"/>
      <c r="H676" s="136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</row>
    <row r="677">
      <c r="A677" s="21"/>
      <c r="B677" s="21"/>
      <c r="C677" s="21"/>
      <c r="D677" s="21"/>
      <c r="E677" s="21"/>
      <c r="F677" s="21"/>
      <c r="G677" s="136"/>
      <c r="H677" s="136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</row>
    <row r="678">
      <c r="A678" s="21"/>
      <c r="B678" s="21"/>
      <c r="C678" s="21"/>
      <c r="D678" s="21"/>
      <c r="E678" s="21"/>
      <c r="F678" s="21"/>
      <c r="G678" s="136"/>
      <c r="H678" s="136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</row>
    <row r="679">
      <c r="A679" s="21"/>
      <c r="B679" s="21"/>
      <c r="C679" s="21"/>
      <c r="D679" s="21"/>
      <c r="E679" s="21"/>
      <c r="F679" s="21"/>
      <c r="G679" s="136"/>
      <c r="H679" s="136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</row>
    <row r="680">
      <c r="A680" s="21"/>
      <c r="B680" s="21"/>
      <c r="C680" s="21"/>
      <c r="D680" s="21"/>
      <c r="E680" s="21"/>
      <c r="F680" s="21"/>
      <c r="G680" s="136"/>
      <c r="H680" s="136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</row>
    <row r="681">
      <c r="A681" s="21"/>
      <c r="B681" s="21"/>
      <c r="C681" s="21"/>
      <c r="D681" s="21"/>
      <c r="E681" s="21"/>
      <c r="F681" s="21"/>
      <c r="G681" s="136"/>
      <c r="H681" s="136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</row>
    <row r="682">
      <c r="A682" s="21"/>
      <c r="B682" s="21"/>
      <c r="C682" s="21"/>
      <c r="D682" s="21"/>
      <c r="E682" s="21"/>
      <c r="F682" s="21"/>
      <c r="G682" s="136"/>
      <c r="H682" s="136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</row>
    <row r="683">
      <c r="A683" s="21"/>
      <c r="B683" s="21"/>
      <c r="C683" s="21"/>
      <c r="D683" s="21"/>
      <c r="E683" s="21"/>
      <c r="F683" s="21"/>
      <c r="G683" s="136"/>
      <c r="H683" s="136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</row>
    <row r="684">
      <c r="A684" s="21"/>
      <c r="B684" s="21"/>
      <c r="C684" s="21"/>
      <c r="D684" s="21"/>
      <c r="E684" s="21"/>
      <c r="F684" s="21"/>
      <c r="G684" s="136"/>
      <c r="H684" s="136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</row>
    <row r="685">
      <c r="A685" s="21"/>
      <c r="B685" s="21"/>
      <c r="C685" s="21"/>
      <c r="D685" s="21"/>
      <c r="E685" s="21"/>
      <c r="F685" s="21"/>
      <c r="G685" s="136"/>
      <c r="H685" s="136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</row>
    <row r="686">
      <c r="A686" s="21"/>
      <c r="B686" s="21"/>
      <c r="C686" s="21"/>
      <c r="D686" s="21"/>
      <c r="E686" s="21"/>
      <c r="F686" s="21"/>
      <c r="G686" s="136"/>
      <c r="H686" s="136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</row>
    <row r="687">
      <c r="A687" s="21"/>
      <c r="B687" s="21"/>
      <c r="C687" s="21"/>
      <c r="D687" s="21"/>
      <c r="E687" s="21"/>
      <c r="F687" s="21"/>
      <c r="G687" s="136"/>
      <c r="H687" s="136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</row>
    <row r="688">
      <c r="A688" s="21"/>
      <c r="B688" s="21"/>
      <c r="C688" s="21"/>
      <c r="D688" s="21"/>
      <c r="E688" s="21"/>
      <c r="F688" s="21"/>
      <c r="G688" s="136"/>
      <c r="H688" s="136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</row>
    <row r="689">
      <c r="A689" s="21"/>
      <c r="B689" s="21"/>
      <c r="C689" s="21"/>
      <c r="D689" s="21"/>
      <c r="E689" s="21"/>
      <c r="F689" s="21"/>
      <c r="G689" s="136"/>
      <c r="H689" s="136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</row>
    <row r="690">
      <c r="A690" s="21"/>
      <c r="B690" s="21"/>
      <c r="C690" s="21"/>
      <c r="D690" s="21"/>
      <c r="E690" s="21"/>
      <c r="F690" s="21"/>
      <c r="G690" s="136"/>
      <c r="H690" s="136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</row>
    <row r="691">
      <c r="A691" s="21"/>
      <c r="B691" s="21"/>
      <c r="C691" s="21"/>
      <c r="D691" s="21"/>
      <c r="E691" s="21"/>
      <c r="F691" s="21"/>
      <c r="G691" s="136"/>
      <c r="H691" s="136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</row>
    <row r="692">
      <c r="A692" s="21"/>
      <c r="B692" s="21"/>
      <c r="C692" s="21"/>
      <c r="D692" s="21"/>
      <c r="E692" s="21"/>
      <c r="F692" s="21"/>
      <c r="G692" s="136"/>
      <c r="H692" s="136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</row>
    <row r="693">
      <c r="A693" s="21"/>
      <c r="B693" s="21"/>
      <c r="C693" s="21"/>
      <c r="D693" s="21"/>
      <c r="E693" s="21"/>
      <c r="F693" s="21"/>
      <c r="G693" s="136"/>
      <c r="H693" s="136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</row>
    <row r="694">
      <c r="A694" s="21"/>
      <c r="B694" s="21"/>
      <c r="C694" s="21"/>
      <c r="D694" s="21"/>
      <c r="E694" s="21"/>
      <c r="F694" s="21"/>
      <c r="G694" s="136"/>
      <c r="H694" s="136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</row>
    <row r="695">
      <c r="A695" s="21"/>
      <c r="B695" s="21"/>
      <c r="C695" s="21"/>
      <c r="D695" s="21"/>
      <c r="E695" s="21"/>
      <c r="F695" s="21"/>
      <c r="G695" s="136"/>
      <c r="H695" s="136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</row>
    <row r="696">
      <c r="A696" s="21"/>
      <c r="B696" s="21"/>
      <c r="C696" s="21"/>
      <c r="D696" s="21"/>
      <c r="E696" s="21"/>
      <c r="F696" s="21"/>
      <c r="G696" s="136"/>
      <c r="H696" s="136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</row>
    <row r="697">
      <c r="A697" s="21"/>
      <c r="B697" s="21"/>
      <c r="C697" s="21"/>
      <c r="D697" s="21"/>
      <c r="E697" s="21"/>
      <c r="F697" s="21"/>
      <c r="G697" s="136"/>
      <c r="H697" s="136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</row>
    <row r="698">
      <c r="A698" s="21"/>
      <c r="B698" s="21"/>
      <c r="C698" s="21"/>
      <c r="D698" s="21"/>
      <c r="E698" s="21"/>
      <c r="F698" s="21"/>
      <c r="G698" s="136"/>
      <c r="H698" s="136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</row>
    <row r="699">
      <c r="A699" s="21"/>
      <c r="B699" s="21"/>
      <c r="C699" s="21"/>
      <c r="D699" s="21"/>
      <c r="E699" s="21"/>
      <c r="F699" s="21"/>
      <c r="G699" s="136"/>
      <c r="H699" s="136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</row>
    <row r="700">
      <c r="A700" s="21"/>
      <c r="B700" s="21"/>
      <c r="C700" s="21"/>
      <c r="D700" s="21"/>
      <c r="E700" s="21"/>
      <c r="F700" s="21"/>
      <c r="G700" s="136"/>
      <c r="H700" s="136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</row>
    <row r="701">
      <c r="A701" s="21"/>
      <c r="B701" s="21"/>
      <c r="C701" s="21"/>
      <c r="D701" s="21"/>
      <c r="E701" s="21"/>
      <c r="F701" s="21"/>
      <c r="G701" s="136"/>
      <c r="H701" s="136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</row>
    <row r="702">
      <c r="A702" s="21"/>
      <c r="B702" s="21"/>
      <c r="C702" s="21"/>
      <c r="D702" s="21"/>
      <c r="E702" s="21"/>
      <c r="F702" s="21"/>
      <c r="G702" s="136"/>
      <c r="H702" s="136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</row>
    <row r="703">
      <c r="A703" s="21"/>
      <c r="B703" s="21"/>
      <c r="C703" s="21"/>
      <c r="D703" s="21"/>
      <c r="E703" s="21"/>
      <c r="F703" s="21"/>
      <c r="G703" s="136"/>
      <c r="H703" s="136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</row>
    <row r="704">
      <c r="A704" s="21"/>
      <c r="B704" s="21"/>
      <c r="C704" s="21"/>
      <c r="D704" s="21"/>
      <c r="E704" s="21"/>
      <c r="F704" s="21"/>
      <c r="G704" s="136"/>
      <c r="H704" s="136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</row>
    <row r="705">
      <c r="A705" s="21"/>
      <c r="B705" s="21"/>
      <c r="C705" s="21"/>
      <c r="D705" s="21"/>
      <c r="E705" s="21"/>
      <c r="F705" s="21"/>
      <c r="G705" s="136"/>
      <c r="H705" s="136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</row>
    <row r="706">
      <c r="A706" s="21"/>
      <c r="B706" s="21"/>
      <c r="C706" s="21"/>
      <c r="D706" s="21"/>
      <c r="E706" s="21"/>
      <c r="F706" s="21"/>
      <c r="G706" s="136"/>
      <c r="H706" s="136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</row>
    <row r="707">
      <c r="A707" s="21"/>
      <c r="B707" s="21"/>
      <c r="C707" s="21"/>
      <c r="D707" s="21"/>
      <c r="E707" s="21"/>
      <c r="F707" s="21"/>
      <c r="G707" s="136"/>
      <c r="H707" s="136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</row>
    <row r="708">
      <c r="A708" s="21"/>
      <c r="B708" s="21"/>
      <c r="C708" s="21"/>
      <c r="D708" s="21"/>
      <c r="E708" s="21"/>
      <c r="F708" s="21"/>
      <c r="G708" s="136"/>
      <c r="H708" s="136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</row>
    <row r="709">
      <c r="A709" s="21"/>
      <c r="B709" s="21"/>
      <c r="C709" s="21"/>
      <c r="D709" s="21"/>
      <c r="E709" s="21"/>
      <c r="F709" s="21"/>
      <c r="G709" s="136"/>
      <c r="H709" s="136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</row>
    <row r="710">
      <c r="A710" s="21"/>
      <c r="B710" s="21"/>
      <c r="C710" s="21"/>
      <c r="D710" s="21"/>
      <c r="E710" s="21"/>
      <c r="F710" s="21"/>
      <c r="G710" s="136"/>
      <c r="H710" s="136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</row>
    <row r="711">
      <c r="A711" s="21"/>
      <c r="B711" s="21"/>
      <c r="C711" s="21"/>
      <c r="D711" s="21"/>
      <c r="E711" s="21"/>
      <c r="F711" s="21"/>
      <c r="G711" s="136"/>
      <c r="H711" s="136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</row>
    <row r="712">
      <c r="A712" s="21"/>
      <c r="B712" s="21"/>
      <c r="C712" s="21"/>
      <c r="D712" s="21"/>
      <c r="E712" s="21"/>
      <c r="F712" s="21"/>
      <c r="G712" s="136"/>
      <c r="H712" s="136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</row>
    <row r="713">
      <c r="A713" s="21"/>
      <c r="B713" s="21"/>
      <c r="C713" s="21"/>
      <c r="D713" s="21"/>
      <c r="E713" s="21"/>
      <c r="F713" s="21"/>
      <c r="G713" s="136"/>
      <c r="H713" s="136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</row>
    <row r="714">
      <c r="A714" s="21"/>
      <c r="B714" s="21"/>
      <c r="C714" s="21"/>
      <c r="D714" s="21"/>
      <c r="E714" s="21"/>
      <c r="F714" s="21"/>
      <c r="G714" s="136"/>
      <c r="H714" s="136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</row>
    <row r="715">
      <c r="A715" s="21"/>
      <c r="B715" s="21"/>
      <c r="C715" s="21"/>
      <c r="D715" s="21"/>
      <c r="E715" s="21"/>
      <c r="F715" s="21"/>
      <c r="G715" s="136"/>
      <c r="H715" s="136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</row>
    <row r="716">
      <c r="A716" s="21"/>
      <c r="B716" s="21"/>
      <c r="C716" s="21"/>
      <c r="D716" s="21"/>
      <c r="E716" s="21"/>
      <c r="F716" s="21"/>
      <c r="G716" s="136"/>
      <c r="H716" s="136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</row>
    <row r="717">
      <c r="A717" s="21"/>
      <c r="B717" s="21"/>
      <c r="C717" s="21"/>
      <c r="D717" s="21"/>
      <c r="E717" s="21"/>
      <c r="F717" s="21"/>
      <c r="G717" s="136"/>
      <c r="H717" s="136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</row>
    <row r="718">
      <c r="A718" s="21"/>
      <c r="B718" s="21"/>
      <c r="C718" s="21"/>
      <c r="D718" s="21"/>
      <c r="E718" s="21"/>
      <c r="F718" s="21"/>
      <c r="G718" s="136"/>
      <c r="H718" s="136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</row>
    <row r="719">
      <c r="A719" s="21"/>
      <c r="B719" s="21"/>
      <c r="C719" s="21"/>
      <c r="D719" s="21"/>
      <c r="E719" s="21"/>
      <c r="F719" s="21"/>
      <c r="G719" s="136"/>
      <c r="H719" s="136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</row>
    <row r="720">
      <c r="A720" s="21"/>
      <c r="B720" s="21"/>
      <c r="C720" s="21"/>
      <c r="D720" s="21"/>
      <c r="E720" s="21"/>
      <c r="F720" s="21"/>
      <c r="G720" s="136"/>
      <c r="H720" s="136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</row>
    <row r="721">
      <c r="A721" s="21"/>
      <c r="B721" s="21"/>
      <c r="C721" s="21"/>
      <c r="D721" s="21"/>
      <c r="E721" s="21"/>
      <c r="F721" s="21"/>
      <c r="G721" s="136"/>
      <c r="H721" s="136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</row>
    <row r="722">
      <c r="A722" s="21"/>
      <c r="B722" s="21"/>
      <c r="C722" s="21"/>
      <c r="D722" s="21"/>
      <c r="E722" s="21"/>
      <c r="F722" s="21"/>
      <c r="G722" s="136"/>
      <c r="H722" s="136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</row>
    <row r="723">
      <c r="A723" s="21"/>
      <c r="B723" s="21"/>
      <c r="C723" s="21"/>
      <c r="D723" s="21"/>
      <c r="E723" s="21"/>
      <c r="F723" s="21"/>
      <c r="G723" s="136"/>
      <c r="H723" s="136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</row>
    <row r="724">
      <c r="A724" s="21"/>
      <c r="B724" s="21"/>
      <c r="C724" s="21"/>
      <c r="D724" s="21"/>
      <c r="E724" s="21"/>
      <c r="F724" s="21"/>
      <c r="G724" s="136"/>
      <c r="H724" s="136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</row>
    <row r="725">
      <c r="A725" s="21"/>
      <c r="B725" s="21"/>
      <c r="C725" s="21"/>
      <c r="D725" s="21"/>
      <c r="E725" s="21"/>
      <c r="F725" s="21"/>
      <c r="G725" s="136"/>
      <c r="H725" s="136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</row>
    <row r="726">
      <c r="A726" s="21"/>
      <c r="B726" s="21"/>
      <c r="C726" s="21"/>
      <c r="D726" s="21"/>
      <c r="E726" s="21"/>
      <c r="F726" s="21"/>
      <c r="G726" s="136"/>
      <c r="H726" s="136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</row>
    <row r="727">
      <c r="A727" s="21"/>
      <c r="B727" s="21"/>
      <c r="C727" s="21"/>
      <c r="D727" s="21"/>
      <c r="E727" s="21"/>
      <c r="F727" s="21"/>
      <c r="G727" s="136"/>
      <c r="H727" s="136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</row>
    <row r="728">
      <c r="A728" s="21"/>
      <c r="B728" s="21"/>
      <c r="C728" s="21"/>
      <c r="D728" s="21"/>
      <c r="E728" s="21"/>
      <c r="F728" s="21"/>
      <c r="G728" s="136"/>
      <c r="H728" s="136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</row>
    <row r="729">
      <c r="A729" s="21"/>
      <c r="B729" s="21"/>
      <c r="C729" s="21"/>
      <c r="D729" s="21"/>
      <c r="E729" s="21"/>
      <c r="F729" s="21"/>
      <c r="G729" s="136"/>
      <c r="H729" s="136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</row>
    <row r="730">
      <c r="A730" s="21"/>
      <c r="B730" s="21"/>
      <c r="C730" s="21"/>
      <c r="D730" s="21"/>
      <c r="E730" s="21"/>
      <c r="F730" s="21"/>
      <c r="G730" s="136"/>
      <c r="H730" s="136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</row>
    <row r="731">
      <c r="A731" s="21"/>
      <c r="B731" s="21"/>
      <c r="C731" s="21"/>
      <c r="D731" s="21"/>
      <c r="E731" s="21"/>
      <c r="F731" s="21"/>
      <c r="G731" s="136"/>
      <c r="H731" s="136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</row>
    <row r="732">
      <c r="A732" s="21"/>
      <c r="B732" s="21"/>
      <c r="C732" s="21"/>
      <c r="D732" s="21"/>
      <c r="E732" s="21"/>
      <c r="F732" s="21"/>
      <c r="G732" s="136"/>
      <c r="H732" s="136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</row>
    <row r="733">
      <c r="A733" s="21"/>
      <c r="B733" s="21"/>
      <c r="C733" s="21"/>
      <c r="D733" s="21"/>
      <c r="E733" s="21"/>
      <c r="F733" s="21"/>
      <c r="G733" s="136"/>
      <c r="H733" s="136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</row>
    <row r="734">
      <c r="A734" s="21"/>
      <c r="B734" s="21"/>
      <c r="C734" s="21"/>
      <c r="D734" s="21"/>
      <c r="E734" s="21"/>
      <c r="F734" s="21"/>
      <c r="G734" s="136"/>
      <c r="H734" s="136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</row>
    <row r="735">
      <c r="A735" s="21"/>
      <c r="B735" s="21"/>
      <c r="C735" s="21"/>
      <c r="D735" s="21"/>
      <c r="E735" s="21"/>
      <c r="F735" s="21"/>
      <c r="G735" s="136"/>
      <c r="H735" s="136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</row>
    <row r="736">
      <c r="A736" s="21"/>
      <c r="B736" s="21"/>
      <c r="C736" s="21"/>
      <c r="D736" s="21"/>
      <c r="E736" s="21"/>
      <c r="F736" s="21"/>
      <c r="G736" s="136"/>
      <c r="H736" s="136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</row>
    <row r="737">
      <c r="A737" s="21"/>
      <c r="B737" s="21"/>
      <c r="C737" s="21"/>
      <c r="D737" s="21"/>
      <c r="E737" s="21"/>
      <c r="F737" s="21"/>
      <c r="G737" s="136"/>
      <c r="H737" s="136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</row>
    <row r="738">
      <c r="A738" s="21"/>
      <c r="B738" s="21"/>
      <c r="C738" s="21"/>
      <c r="D738" s="21"/>
      <c r="E738" s="21"/>
      <c r="F738" s="21"/>
      <c r="G738" s="136"/>
      <c r="H738" s="136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</row>
    <row r="739">
      <c r="A739" s="21"/>
      <c r="B739" s="21"/>
      <c r="C739" s="21"/>
      <c r="D739" s="21"/>
      <c r="E739" s="21"/>
      <c r="F739" s="21"/>
      <c r="G739" s="136"/>
      <c r="H739" s="136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</row>
    <row r="740">
      <c r="A740" s="21"/>
      <c r="B740" s="21"/>
      <c r="C740" s="21"/>
      <c r="D740" s="21"/>
      <c r="E740" s="21"/>
      <c r="F740" s="21"/>
      <c r="G740" s="136"/>
      <c r="H740" s="136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</row>
    <row r="741">
      <c r="A741" s="21"/>
      <c r="B741" s="21"/>
      <c r="C741" s="21"/>
      <c r="D741" s="21"/>
      <c r="E741" s="21"/>
      <c r="F741" s="21"/>
      <c r="G741" s="136"/>
      <c r="H741" s="136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</row>
    <row r="742">
      <c r="A742" s="21"/>
      <c r="B742" s="21"/>
      <c r="C742" s="21"/>
      <c r="D742" s="21"/>
      <c r="E742" s="21"/>
      <c r="F742" s="21"/>
      <c r="G742" s="136"/>
      <c r="H742" s="136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</row>
    <row r="743">
      <c r="A743" s="21"/>
      <c r="B743" s="21"/>
      <c r="C743" s="21"/>
      <c r="D743" s="21"/>
      <c r="E743" s="21"/>
      <c r="F743" s="21"/>
      <c r="G743" s="136"/>
      <c r="H743" s="136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</row>
    <row r="744">
      <c r="A744" s="21"/>
      <c r="B744" s="21"/>
      <c r="C744" s="21"/>
      <c r="D744" s="21"/>
      <c r="E744" s="21"/>
      <c r="F744" s="21"/>
      <c r="G744" s="136"/>
      <c r="H744" s="136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</row>
    <row r="745">
      <c r="A745" s="21"/>
      <c r="B745" s="21"/>
      <c r="C745" s="21"/>
      <c r="D745" s="21"/>
      <c r="E745" s="21"/>
      <c r="F745" s="21"/>
      <c r="G745" s="136"/>
      <c r="H745" s="136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</row>
    <row r="746">
      <c r="A746" s="21"/>
      <c r="B746" s="21"/>
      <c r="C746" s="21"/>
      <c r="D746" s="21"/>
      <c r="E746" s="21"/>
      <c r="F746" s="21"/>
      <c r="G746" s="136"/>
      <c r="H746" s="136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</row>
    <row r="747">
      <c r="A747" s="21"/>
      <c r="B747" s="21"/>
      <c r="C747" s="21"/>
      <c r="D747" s="21"/>
      <c r="E747" s="21"/>
      <c r="F747" s="21"/>
      <c r="G747" s="136"/>
      <c r="H747" s="136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</row>
    <row r="748">
      <c r="A748" s="21"/>
      <c r="B748" s="21"/>
      <c r="C748" s="21"/>
      <c r="D748" s="21"/>
      <c r="E748" s="21"/>
      <c r="F748" s="21"/>
      <c r="G748" s="136"/>
      <c r="H748" s="136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</row>
    <row r="749">
      <c r="A749" s="21"/>
      <c r="B749" s="21"/>
      <c r="C749" s="21"/>
      <c r="D749" s="21"/>
      <c r="E749" s="21"/>
      <c r="F749" s="21"/>
      <c r="G749" s="136"/>
      <c r="H749" s="136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</row>
    <row r="750">
      <c r="A750" s="21"/>
      <c r="B750" s="21"/>
      <c r="C750" s="21"/>
      <c r="D750" s="21"/>
      <c r="E750" s="21"/>
      <c r="F750" s="21"/>
      <c r="G750" s="136"/>
      <c r="H750" s="136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</row>
    <row r="751">
      <c r="A751" s="21"/>
      <c r="B751" s="21"/>
      <c r="C751" s="21"/>
      <c r="D751" s="21"/>
      <c r="E751" s="21"/>
      <c r="F751" s="21"/>
      <c r="G751" s="136"/>
      <c r="H751" s="136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</row>
    <row r="752">
      <c r="A752" s="21"/>
      <c r="B752" s="21"/>
      <c r="C752" s="21"/>
      <c r="D752" s="21"/>
      <c r="E752" s="21"/>
      <c r="F752" s="21"/>
      <c r="G752" s="136"/>
      <c r="H752" s="136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</row>
    <row r="753">
      <c r="A753" s="21"/>
      <c r="B753" s="21"/>
      <c r="C753" s="21"/>
      <c r="D753" s="21"/>
      <c r="E753" s="21"/>
      <c r="F753" s="21"/>
      <c r="G753" s="136"/>
      <c r="H753" s="136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</row>
    <row r="754">
      <c r="A754" s="21"/>
      <c r="B754" s="21"/>
      <c r="C754" s="21"/>
      <c r="D754" s="21"/>
      <c r="E754" s="21"/>
      <c r="F754" s="21"/>
      <c r="G754" s="136"/>
      <c r="H754" s="136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</row>
    <row r="755">
      <c r="A755" s="21"/>
      <c r="B755" s="21"/>
      <c r="C755" s="21"/>
      <c r="D755" s="21"/>
      <c r="E755" s="21"/>
      <c r="F755" s="21"/>
      <c r="G755" s="136"/>
      <c r="H755" s="136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</row>
    <row r="756">
      <c r="A756" s="21"/>
      <c r="B756" s="21"/>
      <c r="C756" s="21"/>
      <c r="D756" s="21"/>
      <c r="E756" s="21"/>
      <c r="F756" s="21"/>
      <c r="G756" s="136"/>
      <c r="H756" s="136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</row>
    <row r="757">
      <c r="A757" s="21"/>
      <c r="B757" s="21"/>
      <c r="C757" s="21"/>
      <c r="D757" s="21"/>
      <c r="E757" s="21"/>
      <c r="F757" s="21"/>
      <c r="G757" s="136"/>
      <c r="H757" s="136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</row>
    <row r="758">
      <c r="A758" s="21"/>
      <c r="B758" s="21"/>
      <c r="C758" s="21"/>
      <c r="D758" s="21"/>
      <c r="E758" s="21"/>
      <c r="F758" s="21"/>
      <c r="G758" s="136"/>
      <c r="H758" s="136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</row>
    <row r="759">
      <c r="A759" s="21"/>
      <c r="B759" s="21"/>
      <c r="C759" s="21"/>
      <c r="D759" s="21"/>
      <c r="E759" s="21"/>
      <c r="F759" s="21"/>
      <c r="G759" s="136"/>
      <c r="H759" s="136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</row>
    <row r="760">
      <c r="A760" s="21"/>
      <c r="B760" s="21"/>
      <c r="C760" s="21"/>
      <c r="D760" s="21"/>
      <c r="E760" s="21"/>
      <c r="F760" s="21"/>
      <c r="G760" s="136"/>
      <c r="H760" s="136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</row>
    <row r="761">
      <c r="A761" s="21"/>
      <c r="B761" s="21"/>
      <c r="C761" s="21"/>
      <c r="D761" s="21"/>
      <c r="E761" s="21"/>
      <c r="F761" s="21"/>
      <c r="G761" s="136"/>
      <c r="H761" s="136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</row>
    <row r="762">
      <c r="A762" s="21"/>
      <c r="B762" s="21"/>
      <c r="C762" s="21"/>
      <c r="D762" s="21"/>
      <c r="E762" s="21"/>
      <c r="F762" s="21"/>
      <c r="G762" s="136"/>
      <c r="H762" s="136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</row>
    <row r="763">
      <c r="A763" s="21"/>
      <c r="B763" s="21"/>
      <c r="C763" s="21"/>
      <c r="D763" s="21"/>
      <c r="E763" s="21"/>
      <c r="F763" s="21"/>
      <c r="G763" s="136"/>
      <c r="H763" s="136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</row>
    <row r="764">
      <c r="A764" s="21"/>
      <c r="B764" s="21"/>
      <c r="C764" s="21"/>
      <c r="D764" s="21"/>
      <c r="E764" s="21"/>
      <c r="F764" s="21"/>
      <c r="G764" s="136"/>
      <c r="H764" s="136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</row>
    <row r="765">
      <c r="A765" s="21"/>
      <c r="B765" s="21"/>
      <c r="C765" s="21"/>
      <c r="D765" s="21"/>
      <c r="E765" s="21"/>
      <c r="F765" s="21"/>
      <c r="G765" s="136"/>
      <c r="H765" s="136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</row>
    <row r="766">
      <c r="A766" s="21"/>
      <c r="B766" s="21"/>
      <c r="C766" s="21"/>
      <c r="D766" s="21"/>
      <c r="E766" s="21"/>
      <c r="F766" s="21"/>
      <c r="G766" s="136"/>
      <c r="H766" s="136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</row>
    <row r="767">
      <c r="A767" s="21"/>
      <c r="B767" s="21"/>
      <c r="C767" s="21"/>
      <c r="D767" s="21"/>
      <c r="E767" s="21"/>
      <c r="F767" s="21"/>
      <c r="G767" s="136"/>
      <c r="H767" s="136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</row>
    <row r="768">
      <c r="A768" s="21"/>
      <c r="B768" s="21"/>
      <c r="C768" s="21"/>
      <c r="D768" s="21"/>
      <c r="E768" s="21"/>
      <c r="F768" s="21"/>
      <c r="G768" s="136"/>
      <c r="H768" s="136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</row>
    <row r="769">
      <c r="A769" s="21"/>
      <c r="B769" s="21"/>
      <c r="C769" s="21"/>
      <c r="D769" s="21"/>
      <c r="E769" s="21"/>
      <c r="F769" s="21"/>
      <c r="G769" s="136"/>
      <c r="H769" s="136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</row>
    <row r="770">
      <c r="A770" s="21"/>
      <c r="B770" s="21"/>
      <c r="C770" s="21"/>
      <c r="D770" s="21"/>
      <c r="E770" s="21"/>
      <c r="F770" s="21"/>
      <c r="G770" s="136"/>
      <c r="H770" s="136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</row>
    <row r="771">
      <c r="A771" s="21"/>
      <c r="B771" s="21"/>
      <c r="C771" s="21"/>
      <c r="D771" s="21"/>
      <c r="E771" s="21"/>
      <c r="F771" s="21"/>
      <c r="G771" s="136"/>
      <c r="H771" s="136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</row>
    <row r="772">
      <c r="A772" s="21"/>
      <c r="B772" s="21"/>
      <c r="C772" s="21"/>
      <c r="D772" s="21"/>
      <c r="E772" s="21"/>
      <c r="F772" s="21"/>
      <c r="G772" s="136"/>
      <c r="H772" s="136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</row>
    <row r="773">
      <c r="A773" s="21"/>
      <c r="B773" s="21"/>
      <c r="C773" s="21"/>
      <c r="D773" s="21"/>
      <c r="E773" s="21"/>
      <c r="F773" s="21"/>
      <c r="G773" s="136"/>
      <c r="H773" s="136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</row>
    <row r="774">
      <c r="A774" s="21"/>
      <c r="B774" s="21"/>
      <c r="C774" s="21"/>
      <c r="D774" s="21"/>
      <c r="E774" s="21"/>
      <c r="F774" s="21"/>
      <c r="G774" s="136"/>
      <c r="H774" s="136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</row>
    <row r="775">
      <c r="A775" s="21"/>
      <c r="B775" s="21"/>
      <c r="C775" s="21"/>
      <c r="D775" s="21"/>
      <c r="E775" s="21"/>
      <c r="F775" s="21"/>
      <c r="G775" s="136"/>
      <c r="H775" s="136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</row>
    <row r="776">
      <c r="A776" s="21"/>
      <c r="B776" s="21"/>
      <c r="C776" s="21"/>
      <c r="D776" s="21"/>
      <c r="E776" s="21"/>
      <c r="F776" s="21"/>
      <c r="G776" s="136"/>
      <c r="H776" s="136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</row>
    <row r="777">
      <c r="A777" s="21"/>
      <c r="B777" s="21"/>
      <c r="C777" s="21"/>
      <c r="D777" s="21"/>
      <c r="E777" s="21"/>
      <c r="F777" s="21"/>
      <c r="G777" s="136"/>
      <c r="H777" s="136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</row>
    <row r="778">
      <c r="A778" s="21"/>
      <c r="B778" s="21"/>
      <c r="C778" s="21"/>
      <c r="D778" s="21"/>
      <c r="E778" s="21"/>
      <c r="F778" s="21"/>
      <c r="G778" s="136"/>
      <c r="H778" s="136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</row>
    <row r="779">
      <c r="A779" s="21"/>
      <c r="B779" s="21"/>
      <c r="C779" s="21"/>
      <c r="D779" s="21"/>
      <c r="E779" s="21"/>
      <c r="F779" s="21"/>
      <c r="G779" s="136"/>
      <c r="H779" s="136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</row>
    <row r="780">
      <c r="A780" s="21"/>
      <c r="B780" s="21"/>
      <c r="C780" s="21"/>
      <c r="D780" s="21"/>
      <c r="E780" s="21"/>
      <c r="F780" s="21"/>
      <c r="G780" s="136"/>
      <c r="H780" s="136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</row>
    <row r="781">
      <c r="A781" s="21"/>
      <c r="B781" s="21"/>
      <c r="C781" s="21"/>
      <c r="D781" s="21"/>
      <c r="E781" s="21"/>
      <c r="F781" s="21"/>
      <c r="G781" s="136"/>
      <c r="H781" s="136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</row>
    <row r="782">
      <c r="A782" s="21"/>
      <c r="B782" s="21"/>
      <c r="C782" s="21"/>
      <c r="D782" s="21"/>
      <c r="E782" s="21"/>
      <c r="F782" s="21"/>
      <c r="G782" s="136"/>
      <c r="H782" s="136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</row>
    <row r="783">
      <c r="A783" s="21"/>
      <c r="B783" s="21"/>
      <c r="C783" s="21"/>
      <c r="D783" s="21"/>
      <c r="E783" s="21"/>
      <c r="F783" s="21"/>
      <c r="G783" s="136"/>
      <c r="H783" s="136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</row>
    <row r="784">
      <c r="A784" s="21"/>
      <c r="B784" s="21"/>
      <c r="C784" s="21"/>
      <c r="D784" s="21"/>
      <c r="E784" s="21"/>
      <c r="F784" s="21"/>
      <c r="G784" s="136"/>
      <c r="H784" s="136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</row>
    <row r="785">
      <c r="A785" s="21"/>
      <c r="B785" s="21"/>
      <c r="C785" s="21"/>
      <c r="D785" s="21"/>
      <c r="E785" s="21"/>
      <c r="F785" s="21"/>
      <c r="G785" s="136"/>
      <c r="H785" s="136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</row>
    <row r="786">
      <c r="A786" s="21"/>
      <c r="B786" s="21"/>
      <c r="C786" s="21"/>
      <c r="D786" s="21"/>
      <c r="E786" s="21"/>
      <c r="F786" s="21"/>
      <c r="G786" s="136"/>
      <c r="H786" s="136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</row>
    <row r="787">
      <c r="A787" s="21"/>
      <c r="B787" s="21"/>
      <c r="C787" s="21"/>
      <c r="D787" s="21"/>
      <c r="E787" s="21"/>
      <c r="F787" s="21"/>
      <c r="G787" s="136"/>
      <c r="H787" s="136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</row>
    <row r="788">
      <c r="A788" s="21"/>
      <c r="B788" s="21"/>
      <c r="C788" s="21"/>
      <c r="D788" s="21"/>
      <c r="E788" s="21"/>
      <c r="F788" s="21"/>
      <c r="G788" s="136"/>
      <c r="H788" s="136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</row>
    <row r="789">
      <c r="A789" s="21"/>
      <c r="B789" s="21"/>
      <c r="C789" s="21"/>
      <c r="D789" s="21"/>
      <c r="E789" s="21"/>
      <c r="F789" s="21"/>
      <c r="G789" s="136"/>
      <c r="H789" s="136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</row>
    <row r="790">
      <c r="A790" s="21"/>
      <c r="B790" s="21"/>
      <c r="C790" s="21"/>
      <c r="D790" s="21"/>
      <c r="E790" s="21"/>
      <c r="F790" s="21"/>
      <c r="G790" s="136"/>
      <c r="H790" s="136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</row>
    <row r="791">
      <c r="A791" s="21"/>
      <c r="B791" s="21"/>
      <c r="C791" s="21"/>
      <c r="D791" s="21"/>
      <c r="E791" s="21"/>
      <c r="F791" s="21"/>
      <c r="G791" s="136"/>
      <c r="H791" s="136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</row>
    <row r="792">
      <c r="A792" s="21"/>
      <c r="B792" s="21"/>
      <c r="C792" s="21"/>
      <c r="D792" s="21"/>
      <c r="E792" s="21"/>
      <c r="F792" s="21"/>
      <c r="G792" s="136"/>
      <c r="H792" s="136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</row>
    <row r="793">
      <c r="A793" s="21"/>
      <c r="B793" s="21"/>
      <c r="C793" s="21"/>
      <c r="D793" s="21"/>
      <c r="E793" s="21"/>
      <c r="F793" s="21"/>
      <c r="G793" s="136"/>
      <c r="H793" s="136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</row>
    <row r="794">
      <c r="A794" s="21"/>
      <c r="B794" s="21"/>
      <c r="C794" s="21"/>
      <c r="D794" s="21"/>
      <c r="E794" s="21"/>
      <c r="F794" s="21"/>
      <c r="G794" s="136"/>
      <c r="H794" s="136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</row>
    <row r="795">
      <c r="A795" s="21"/>
      <c r="B795" s="21"/>
      <c r="C795" s="21"/>
      <c r="D795" s="21"/>
      <c r="E795" s="21"/>
      <c r="F795" s="21"/>
      <c r="G795" s="136"/>
      <c r="H795" s="136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</row>
    <row r="796">
      <c r="A796" s="21"/>
      <c r="B796" s="21"/>
      <c r="C796" s="21"/>
      <c r="D796" s="21"/>
      <c r="E796" s="21"/>
      <c r="F796" s="21"/>
      <c r="G796" s="136"/>
      <c r="H796" s="136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</row>
    <row r="797">
      <c r="A797" s="21"/>
      <c r="B797" s="21"/>
      <c r="C797" s="21"/>
      <c r="D797" s="21"/>
      <c r="E797" s="21"/>
      <c r="F797" s="21"/>
      <c r="G797" s="136"/>
      <c r="H797" s="136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</row>
    <row r="798">
      <c r="A798" s="21"/>
      <c r="B798" s="21"/>
      <c r="C798" s="21"/>
      <c r="D798" s="21"/>
      <c r="E798" s="21"/>
      <c r="F798" s="21"/>
      <c r="G798" s="136"/>
      <c r="H798" s="136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</row>
    <row r="799">
      <c r="A799" s="21"/>
      <c r="B799" s="21"/>
      <c r="C799" s="21"/>
      <c r="D799" s="21"/>
      <c r="E799" s="21"/>
      <c r="F799" s="21"/>
      <c r="G799" s="136"/>
      <c r="H799" s="136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</row>
    <row r="800">
      <c r="A800" s="21"/>
      <c r="B800" s="21"/>
      <c r="C800" s="21"/>
      <c r="D800" s="21"/>
      <c r="E800" s="21"/>
      <c r="F800" s="21"/>
      <c r="G800" s="136"/>
      <c r="H800" s="136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</row>
    <row r="801">
      <c r="A801" s="21"/>
      <c r="B801" s="21"/>
      <c r="C801" s="21"/>
      <c r="D801" s="21"/>
      <c r="E801" s="21"/>
      <c r="F801" s="21"/>
      <c r="G801" s="136"/>
      <c r="H801" s="136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</row>
    <row r="802">
      <c r="A802" s="21"/>
      <c r="B802" s="21"/>
      <c r="C802" s="21"/>
      <c r="D802" s="21"/>
      <c r="E802" s="21"/>
      <c r="F802" s="21"/>
      <c r="G802" s="136"/>
      <c r="H802" s="136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</row>
    <row r="803">
      <c r="A803" s="21"/>
      <c r="B803" s="21"/>
      <c r="C803" s="21"/>
      <c r="D803" s="21"/>
      <c r="E803" s="21"/>
      <c r="F803" s="21"/>
      <c r="G803" s="136"/>
      <c r="H803" s="136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</row>
    <row r="804">
      <c r="A804" s="21"/>
      <c r="B804" s="21"/>
      <c r="C804" s="21"/>
      <c r="D804" s="21"/>
      <c r="E804" s="21"/>
      <c r="F804" s="21"/>
      <c r="G804" s="136"/>
      <c r="H804" s="136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</row>
    <row r="805">
      <c r="A805" s="21"/>
      <c r="B805" s="21"/>
      <c r="C805" s="21"/>
      <c r="D805" s="21"/>
      <c r="E805" s="21"/>
      <c r="F805" s="21"/>
      <c r="G805" s="136"/>
      <c r="H805" s="136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</row>
    <row r="806">
      <c r="A806" s="21"/>
      <c r="B806" s="21"/>
      <c r="C806" s="21"/>
      <c r="D806" s="21"/>
      <c r="E806" s="21"/>
      <c r="F806" s="21"/>
      <c r="G806" s="136"/>
      <c r="H806" s="136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</row>
    <row r="807">
      <c r="A807" s="21"/>
      <c r="B807" s="21"/>
      <c r="C807" s="21"/>
      <c r="D807" s="21"/>
      <c r="E807" s="21"/>
      <c r="F807" s="21"/>
      <c r="G807" s="136"/>
      <c r="H807" s="136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</row>
    <row r="808">
      <c r="A808" s="21"/>
      <c r="B808" s="21"/>
      <c r="C808" s="21"/>
      <c r="D808" s="21"/>
      <c r="E808" s="21"/>
      <c r="F808" s="21"/>
      <c r="G808" s="136"/>
      <c r="H808" s="136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</row>
    <row r="809">
      <c r="A809" s="21"/>
      <c r="B809" s="21"/>
      <c r="C809" s="21"/>
      <c r="D809" s="21"/>
      <c r="E809" s="21"/>
      <c r="F809" s="21"/>
      <c r="G809" s="136"/>
      <c r="H809" s="136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</row>
    <row r="810">
      <c r="A810" s="21"/>
      <c r="B810" s="21"/>
      <c r="C810" s="21"/>
      <c r="D810" s="21"/>
      <c r="E810" s="21"/>
      <c r="F810" s="21"/>
      <c r="G810" s="136"/>
      <c r="H810" s="136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</row>
    <row r="811">
      <c r="A811" s="21"/>
      <c r="B811" s="21"/>
      <c r="C811" s="21"/>
      <c r="D811" s="21"/>
      <c r="E811" s="21"/>
      <c r="F811" s="21"/>
      <c r="G811" s="136"/>
      <c r="H811" s="136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</row>
    <row r="812">
      <c r="A812" s="21"/>
      <c r="B812" s="21"/>
      <c r="C812" s="21"/>
      <c r="D812" s="21"/>
      <c r="E812" s="21"/>
      <c r="F812" s="21"/>
      <c r="G812" s="136"/>
      <c r="H812" s="136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</row>
    <row r="813">
      <c r="A813" s="21"/>
      <c r="B813" s="21"/>
      <c r="C813" s="21"/>
      <c r="D813" s="21"/>
      <c r="E813" s="21"/>
      <c r="F813" s="21"/>
      <c r="G813" s="136"/>
      <c r="H813" s="136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</row>
    <row r="814">
      <c r="A814" s="21"/>
      <c r="B814" s="21"/>
      <c r="C814" s="21"/>
      <c r="D814" s="21"/>
      <c r="E814" s="21"/>
      <c r="F814" s="21"/>
      <c r="G814" s="136"/>
      <c r="H814" s="136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</row>
    <row r="815">
      <c r="A815" s="21"/>
      <c r="B815" s="21"/>
      <c r="C815" s="21"/>
      <c r="D815" s="21"/>
      <c r="E815" s="21"/>
      <c r="F815" s="21"/>
      <c r="G815" s="136"/>
      <c r="H815" s="136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</row>
    <row r="816">
      <c r="A816" s="21"/>
      <c r="B816" s="21"/>
      <c r="C816" s="21"/>
      <c r="D816" s="21"/>
      <c r="E816" s="21"/>
      <c r="F816" s="21"/>
      <c r="G816" s="136"/>
      <c r="H816" s="136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</row>
    <row r="817">
      <c r="A817" s="21"/>
      <c r="B817" s="21"/>
      <c r="C817" s="21"/>
      <c r="D817" s="21"/>
      <c r="E817" s="21"/>
      <c r="F817" s="21"/>
      <c r="G817" s="136"/>
      <c r="H817" s="136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</row>
    <row r="818">
      <c r="A818" s="21"/>
      <c r="B818" s="21"/>
      <c r="C818" s="21"/>
      <c r="D818" s="21"/>
      <c r="E818" s="21"/>
      <c r="F818" s="21"/>
      <c r="G818" s="136"/>
      <c r="H818" s="136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</row>
    <row r="819">
      <c r="A819" s="21"/>
      <c r="B819" s="21"/>
      <c r="C819" s="21"/>
      <c r="D819" s="21"/>
      <c r="E819" s="21"/>
      <c r="F819" s="21"/>
      <c r="G819" s="136"/>
      <c r="H819" s="136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</row>
    <row r="820">
      <c r="A820" s="21"/>
      <c r="B820" s="21"/>
      <c r="C820" s="21"/>
      <c r="D820" s="21"/>
      <c r="E820" s="21"/>
      <c r="F820" s="21"/>
      <c r="G820" s="136"/>
      <c r="H820" s="136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</row>
    <row r="821">
      <c r="A821" s="21"/>
      <c r="B821" s="21"/>
      <c r="C821" s="21"/>
      <c r="D821" s="21"/>
      <c r="E821" s="21"/>
      <c r="F821" s="21"/>
      <c r="G821" s="136"/>
      <c r="H821" s="136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</row>
    <row r="822">
      <c r="A822" s="21"/>
      <c r="B822" s="21"/>
      <c r="C822" s="21"/>
      <c r="D822" s="21"/>
      <c r="E822" s="21"/>
      <c r="F822" s="21"/>
      <c r="G822" s="136"/>
      <c r="H822" s="136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</row>
    <row r="823">
      <c r="A823" s="21"/>
      <c r="B823" s="21"/>
      <c r="C823" s="21"/>
      <c r="D823" s="21"/>
      <c r="E823" s="21"/>
      <c r="F823" s="21"/>
      <c r="G823" s="136"/>
      <c r="H823" s="136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</row>
    <row r="824">
      <c r="A824" s="21"/>
      <c r="B824" s="21"/>
      <c r="C824" s="21"/>
      <c r="D824" s="21"/>
      <c r="E824" s="21"/>
      <c r="F824" s="21"/>
      <c r="G824" s="136"/>
      <c r="H824" s="136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</row>
    <row r="825">
      <c r="A825" s="21"/>
      <c r="B825" s="21"/>
      <c r="C825" s="21"/>
      <c r="D825" s="21"/>
      <c r="E825" s="21"/>
      <c r="F825" s="21"/>
      <c r="G825" s="136"/>
      <c r="H825" s="136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</row>
    <row r="826">
      <c r="A826" s="21"/>
      <c r="B826" s="21"/>
      <c r="C826" s="21"/>
      <c r="D826" s="21"/>
      <c r="E826" s="21"/>
      <c r="F826" s="21"/>
      <c r="G826" s="136"/>
      <c r="H826" s="136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</row>
    <row r="827">
      <c r="A827" s="21"/>
      <c r="B827" s="21"/>
      <c r="C827" s="21"/>
      <c r="D827" s="21"/>
      <c r="E827" s="21"/>
      <c r="F827" s="21"/>
      <c r="G827" s="136"/>
      <c r="H827" s="136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</row>
    <row r="828">
      <c r="A828" s="21"/>
      <c r="B828" s="21"/>
      <c r="C828" s="21"/>
      <c r="D828" s="21"/>
      <c r="E828" s="21"/>
      <c r="F828" s="21"/>
      <c r="G828" s="136"/>
      <c r="H828" s="136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</row>
    <row r="829">
      <c r="A829" s="21"/>
      <c r="B829" s="21"/>
      <c r="C829" s="21"/>
      <c r="D829" s="21"/>
      <c r="E829" s="21"/>
      <c r="F829" s="21"/>
      <c r="G829" s="136"/>
      <c r="H829" s="136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</row>
    <row r="830">
      <c r="A830" s="21"/>
      <c r="B830" s="21"/>
      <c r="C830" s="21"/>
      <c r="D830" s="21"/>
      <c r="E830" s="21"/>
      <c r="F830" s="21"/>
      <c r="G830" s="136"/>
      <c r="H830" s="136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</row>
    <row r="831">
      <c r="A831" s="21"/>
      <c r="B831" s="21"/>
      <c r="C831" s="21"/>
      <c r="D831" s="21"/>
      <c r="E831" s="21"/>
      <c r="F831" s="21"/>
      <c r="G831" s="136"/>
      <c r="H831" s="136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</row>
    <row r="832">
      <c r="A832" s="21"/>
      <c r="B832" s="21"/>
      <c r="C832" s="21"/>
      <c r="D832" s="21"/>
      <c r="E832" s="21"/>
      <c r="F832" s="21"/>
      <c r="G832" s="136"/>
      <c r="H832" s="136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</row>
    <row r="833">
      <c r="A833" s="21"/>
      <c r="B833" s="21"/>
      <c r="C833" s="21"/>
      <c r="D833" s="21"/>
      <c r="E833" s="21"/>
      <c r="F833" s="21"/>
      <c r="G833" s="136"/>
      <c r="H833" s="136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</row>
    <row r="834">
      <c r="A834" s="21"/>
      <c r="B834" s="21"/>
      <c r="C834" s="21"/>
      <c r="D834" s="21"/>
      <c r="E834" s="21"/>
      <c r="F834" s="21"/>
      <c r="G834" s="136"/>
      <c r="H834" s="136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</row>
    <row r="835">
      <c r="A835" s="21"/>
      <c r="B835" s="21"/>
      <c r="C835" s="21"/>
      <c r="D835" s="21"/>
      <c r="E835" s="21"/>
      <c r="F835" s="21"/>
      <c r="G835" s="136"/>
      <c r="H835" s="136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</row>
    <row r="836">
      <c r="A836" s="21"/>
      <c r="B836" s="21"/>
      <c r="C836" s="21"/>
      <c r="D836" s="21"/>
      <c r="E836" s="21"/>
      <c r="F836" s="21"/>
      <c r="G836" s="136"/>
      <c r="H836" s="136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</row>
    <row r="837">
      <c r="A837" s="21"/>
      <c r="B837" s="21"/>
      <c r="C837" s="21"/>
      <c r="D837" s="21"/>
      <c r="E837" s="21"/>
      <c r="F837" s="21"/>
      <c r="G837" s="136"/>
      <c r="H837" s="136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</row>
    <row r="838">
      <c r="A838" s="21"/>
      <c r="B838" s="21"/>
      <c r="C838" s="21"/>
      <c r="D838" s="21"/>
      <c r="E838" s="21"/>
      <c r="F838" s="21"/>
      <c r="G838" s="136"/>
      <c r="H838" s="136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</row>
    <row r="839">
      <c r="A839" s="21"/>
      <c r="B839" s="21"/>
      <c r="C839" s="21"/>
      <c r="D839" s="21"/>
      <c r="E839" s="21"/>
      <c r="F839" s="21"/>
      <c r="G839" s="136"/>
      <c r="H839" s="136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</row>
    <row r="840">
      <c r="A840" s="21"/>
      <c r="B840" s="21"/>
      <c r="C840" s="21"/>
      <c r="D840" s="21"/>
      <c r="E840" s="21"/>
      <c r="F840" s="21"/>
      <c r="G840" s="136"/>
      <c r="H840" s="136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</row>
    <row r="841">
      <c r="A841" s="21"/>
      <c r="B841" s="21"/>
      <c r="C841" s="21"/>
      <c r="D841" s="21"/>
      <c r="E841" s="21"/>
      <c r="F841" s="21"/>
      <c r="G841" s="136"/>
      <c r="H841" s="136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</row>
    <row r="842">
      <c r="A842" s="21"/>
      <c r="B842" s="21"/>
      <c r="C842" s="21"/>
      <c r="D842" s="21"/>
      <c r="E842" s="21"/>
      <c r="F842" s="21"/>
      <c r="G842" s="136"/>
      <c r="H842" s="136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</row>
    <row r="843">
      <c r="A843" s="21"/>
      <c r="B843" s="21"/>
      <c r="C843" s="21"/>
      <c r="D843" s="21"/>
      <c r="E843" s="21"/>
      <c r="F843" s="21"/>
      <c r="G843" s="136"/>
      <c r="H843" s="136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</row>
    <row r="844">
      <c r="A844" s="21"/>
      <c r="B844" s="21"/>
      <c r="C844" s="21"/>
      <c r="D844" s="21"/>
      <c r="E844" s="21"/>
      <c r="F844" s="21"/>
      <c r="G844" s="136"/>
      <c r="H844" s="136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</row>
    <row r="845">
      <c r="A845" s="21"/>
      <c r="B845" s="21"/>
      <c r="C845" s="21"/>
      <c r="D845" s="21"/>
      <c r="E845" s="21"/>
      <c r="F845" s="21"/>
      <c r="G845" s="136"/>
      <c r="H845" s="136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</row>
    <row r="846">
      <c r="A846" s="21"/>
      <c r="B846" s="21"/>
      <c r="C846" s="21"/>
      <c r="D846" s="21"/>
      <c r="E846" s="21"/>
      <c r="F846" s="21"/>
      <c r="G846" s="136"/>
      <c r="H846" s="136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</row>
    <row r="847">
      <c r="A847" s="21"/>
      <c r="B847" s="21"/>
      <c r="C847" s="21"/>
      <c r="D847" s="21"/>
      <c r="E847" s="21"/>
      <c r="F847" s="21"/>
      <c r="G847" s="136"/>
      <c r="H847" s="136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</row>
    <row r="848">
      <c r="A848" s="21"/>
      <c r="B848" s="21"/>
      <c r="C848" s="21"/>
      <c r="D848" s="21"/>
      <c r="E848" s="21"/>
      <c r="F848" s="21"/>
      <c r="G848" s="136"/>
      <c r="H848" s="136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</row>
    <row r="849">
      <c r="A849" s="21"/>
      <c r="B849" s="21"/>
      <c r="C849" s="21"/>
      <c r="D849" s="21"/>
      <c r="E849" s="21"/>
      <c r="F849" s="21"/>
      <c r="G849" s="136"/>
      <c r="H849" s="136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</row>
    <row r="850">
      <c r="A850" s="21"/>
      <c r="B850" s="21"/>
      <c r="C850" s="21"/>
      <c r="D850" s="21"/>
      <c r="E850" s="21"/>
      <c r="F850" s="21"/>
      <c r="G850" s="136"/>
      <c r="H850" s="136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</row>
    <row r="851">
      <c r="A851" s="21"/>
      <c r="B851" s="21"/>
      <c r="C851" s="21"/>
      <c r="D851" s="21"/>
      <c r="E851" s="21"/>
      <c r="F851" s="21"/>
      <c r="G851" s="136"/>
      <c r="H851" s="136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</row>
    <row r="852">
      <c r="A852" s="21"/>
      <c r="B852" s="21"/>
      <c r="C852" s="21"/>
      <c r="D852" s="21"/>
      <c r="E852" s="21"/>
      <c r="F852" s="21"/>
      <c r="G852" s="136"/>
      <c r="H852" s="136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</row>
    <row r="853">
      <c r="A853" s="21"/>
      <c r="B853" s="21"/>
      <c r="C853" s="21"/>
      <c r="D853" s="21"/>
      <c r="E853" s="21"/>
      <c r="F853" s="21"/>
      <c r="G853" s="136"/>
      <c r="H853" s="136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</row>
    <row r="854">
      <c r="A854" s="21"/>
      <c r="B854" s="21"/>
      <c r="C854" s="21"/>
      <c r="D854" s="21"/>
      <c r="E854" s="21"/>
      <c r="F854" s="21"/>
      <c r="G854" s="136"/>
      <c r="H854" s="136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</row>
    <row r="855">
      <c r="A855" s="21"/>
      <c r="B855" s="21"/>
      <c r="C855" s="21"/>
      <c r="D855" s="21"/>
      <c r="E855" s="21"/>
      <c r="F855" s="21"/>
      <c r="G855" s="136"/>
      <c r="H855" s="136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</row>
    <row r="856">
      <c r="A856" s="21"/>
      <c r="B856" s="21"/>
      <c r="C856" s="21"/>
      <c r="D856" s="21"/>
      <c r="E856" s="21"/>
      <c r="F856" s="21"/>
      <c r="G856" s="136"/>
      <c r="H856" s="136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</row>
    <row r="857">
      <c r="A857" s="21"/>
      <c r="B857" s="21"/>
      <c r="C857" s="21"/>
      <c r="D857" s="21"/>
      <c r="E857" s="21"/>
      <c r="F857" s="21"/>
      <c r="G857" s="136"/>
      <c r="H857" s="136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</row>
    <row r="858">
      <c r="A858" s="21"/>
      <c r="B858" s="21"/>
      <c r="C858" s="21"/>
      <c r="D858" s="21"/>
      <c r="E858" s="21"/>
      <c r="F858" s="21"/>
      <c r="G858" s="136"/>
      <c r="H858" s="136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</row>
    <row r="859">
      <c r="A859" s="21"/>
      <c r="B859" s="21"/>
      <c r="C859" s="21"/>
      <c r="D859" s="21"/>
      <c r="E859" s="21"/>
      <c r="F859" s="21"/>
      <c r="G859" s="136"/>
      <c r="H859" s="136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</row>
    <row r="860">
      <c r="A860" s="21"/>
      <c r="B860" s="21"/>
      <c r="C860" s="21"/>
      <c r="D860" s="21"/>
      <c r="E860" s="21"/>
      <c r="F860" s="21"/>
      <c r="G860" s="136"/>
      <c r="H860" s="136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</row>
    <row r="861">
      <c r="A861" s="21"/>
      <c r="B861" s="21"/>
      <c r="C861" s="21"/>
      <c r="D861" s="21"/>
      <c r="E861" s="21"/>
      <c r="F861" s="21"/>
      <c r="G861" s="136"/>
      <c r="H861" s="136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</row>
    <row r="862">
      <c r="A862" s="21"/>
      <c r="B862" s="21"/>
      <c r="C862" s="21"/>
      <c r="D862" s="21"/>
      <c r="E862" s="21"/>
      <c r="F862" s="21"/>
      <c r="G862" s="136"/>
      <c r="H862" s="136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</row>
    <row r="863">
      <c r="A863" s="21"/>
      <c r="B863" s="21"/>
      <c r="C863" s="21"/>
      <c r="D863" s="21"/>
      <c r="E863" s="21"/>
      <c r="F863" s="21"/>
      <c r="G863" s="136"/>
      <c r="H863" s="136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</row>
    <row r="864">
      <c r="A864" s="21"/>
      <c r="B864" s="21"/>
      <c r="C864" s="21"/>
      <c r="D864" s="21"/>
      <c r="E864" s="21"/>
      <c r="F864" s="21"/>
      <c r="G864" s="136"/>
      <c r="H864" s="136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</row>
    <row r="865">
      <c r="A865" s="21"/>
      <c r="B865" s="21"/>
      <c r="C865" s="21"/>
      <c r="D865" s="21"/>
      <c r="E865" s="21"/>
      <c r="F865" s="21"/>
      <c r="G865" s="136"/>
      <c r="H865" s="136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</row>
    <row r="866">
      <c r="A866" s="21"/>
      <c r="B866" s="21"/>
      <c r="C866" s="21"/>
      <c r="D866" s="21"/>
      <c r="E866" s="21"/>
      <c r="F866" s="21"/>
      <c r="G866" s="136"/>
      <c r="H866" s="136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</row>
    <row r="867">
      <c r="A867" s="21"/>
      <c r="B867" s="21"/>
      <c r="C867" s="21"/>
      <c r="D867" s="21"/>
      <c r="E867" s="21"/>
      <c r="F867" s="21"/>
      <c r="G867" s="136"/>
      <c r="H867" s="136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</row>
    <row r="868">
      <c r="A868" s="21"/>
      <c r="B868" s="21"/>
      <c r="C868" s="21"/>
      <c r="D868" s="21"/>
      <c r="E868" s="21"/>
      <c r="F868" s="21"/>
      <c r="G868" s="136"/>
      <c r="H868" s="136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</row>
    <row r="869">
      <c r="A869" s="21"/>
      <c r="B869" s="21"/>
      <c r="C869" s="21"/>
      <c r="D869" s="21"/>
      <c r="E869" s="21"/>
      <c r="F869" s="21"/>
      <c r="G869" s="136"/>
      <c r="H869" s="136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</row>
    <row r="870">
      <c r="A870" s="21"/>
      <c r="B870" s="21"/>
      <c r="C870" s="21"/>
      <c r="D870" s="21"/>
      <c r="E870" s="21"/>
      <c r="F870" s="21"/>
      <c r="G870" s="136"/>
      <c r="H870" s="136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</row>
    <row r="871">
      <c r="A871" s="21"/>
      <c r="B871" s="21"/>
      <c r="C871" s="21"/>
      <c r="D871" s="21"/>
      <c r="E871" s="21"/>
      <c r="F871" s="21"/>
      <c r="G871" s="136"/>
      <c r="H871" s="136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</row>
    <row r="872">
      <c r="A872" s="21"/>
      <c r="B872" s="21"/>
      <c r="C872" s="21"/>
      <c r="D872" s="21"/>
      <c r="E872" s="21"/>
      <c r="F872" s="21"/>
      <c r="G872" s="136"/>
      <c r="H872" s="136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</row>
    <row r="873">
      <c r="A873" s="21"/>
      <c r="B873" s="21"/>
      <c r="C873" s="21"/>
      <c r="D873" s="21"/>
      <c r="E873" s="21"/>
      <c r="F873" s="21"/>
      <c r="G873" s="136"/>
      <c r="H873" s="136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</row>
    <row r="874">
      <c r="A874" s="21"/>
      <c r="B874" s="21"/>
      <c r="C874" s="21"/>
      <c r="D874" s="21"/>
      <c r="E874" s="21"/>
      <c r="F874" s="21"/>
      <c r="G874" s="136"/>
      <c r="H874" s="136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</row>
    <row r="875">
      <c r="A875" s="21"/>
      <c r="B875" s="21"/>
      <c r="C875" s="21"/>
      <c r="D875" s="21"/>
      <c r="E875" s="21"/>
      <c r="F875" s="21"/>
      <c r="G875" s="136"/>
      <c r="H875" s="136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</row>
    <row r="876">
      <c r="A876" s="21"/>
      <c r="B876" s="21"/>
      <c r="C876" s="21"/>
      <c r="D876" s="21"/>
      <c r="E876" s="21"/>
      <c r="F876" s="21"/>
      <c r="G876" s="136"/>
      <c r="H876" s="136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</row>
    <row r="877">
      <c r="A877" s="21"/>
      <c r="B877" s="21"/>
      <c r="C877" s="21"/>
      <c r="D877" s="21"/>
      <c r="E877" s="21"/>
      <c r="F877" s="21"/>
      <c r="G877" s="136"/>
      <c r="H877" s="136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</row>
    <row r="878">
      <c r="A878" s="21"/>
      <c r="B878" s="21"/>
      <c r="C878" s="21"/>
      <c r="D878" s="21"/>
      <c r="E878" s="21"/>
      <c r="F878" s="21"/>
      <c r="G878" s="136"/>
      <c r="H878" s="136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</row>
    <row r="879">
      <c r="A879" s="21"/>
      <c r="B879" s="21"/>
      <c r="C879" s="21"/>
      <c r="D879" s="21"/>
      <c r="E879" s="21"/>
      <c r="F879" s="21"/>
      <c r="G879" s="136"/>
      <c r="H879" s="136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</row>
    <row r="880">
      <c r="A880" s="21"/>
      <c r="B880" s="21"/>
      <c r="C880" s="21"/>
      <c r="D880" s="21"/>
      <c r="E880" s="21"/>
      <c r="F880" s="21"/>
      <c r="G880" s="136"/>
      <c r="H880" s="136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</row>
    <row r="881">
      <c r="A881" s="21"/>
      <c r="B881" s="21"/>
      <c r="C881" s="21"/>
      <c r="D881" s="21"/>
      <c r="E881" s="21"/>
      <c r="F881" s="21"/>
      <c r="G881" s="136"/>
      <c r="H881" s="136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</row>
    <row r="882">
      <c r="A882" s="21"/>
      <c r="B882" s="21"/>
      <c r="C882" s="21"/>
      <c r="D882" s="21"/>
      <c r="E882" s="21"/>
      <c r="F882" s="21"/>
      <c r="G882" s="136"/>
      <c r="H882" s="136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</row>
    <row r="883">
      <c r="A883" s="21"/>
      <c r="B883" s="21"/>
      <c r="C883" s="21"/>
      <c r="D883" s="21"/>
      <c r="E883" s="21"/>
      <c r="F883" s="21"/>
      <c r="G883" s="136"/>
      <c r="H883" s="136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</row>
    <row r="884">
      <c r="A884" s="21"/>
      <c r="B884" s="21"/>
      <c r="C884" s="21"/>
      <c r="D884" s="21"/>
      <c r="E884" s="21"/>
      <c r="F884" s="21"/>
      <c r="G884" s="136"/>
      <c r="H884" s="136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</row>
    <row r="885">
      <c r="A885" s="21"/>
      <c r="B885" s="21"/>
      <c r="C885" s="21"/>
      <c r="D885" s="21"/>
      <c r="E885" s="21"/>
      <c r="F885" s="21"/>
      <c r="G885" s="136"/>
      <c r="H885" s="136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</row>
    <row r="886">
      <c r="A886" s="21"/>
      <c r="B886" s="21"/>
      <c r="C886" s="21"/>
      <c r="D886" s="21"/>
      <c r="E886" s="21"/>
      <c r="F886" s="21"/>
      <c r="G886" s="136"/>
      <c r="H886" s="136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</row>
    <row r="887">
      <c r="A887" s="21"/>
      <c r="B887" s="21"/>
      <c r="C887" s="21"/>
      <c r="D887" s="21"/>
      <c r="E887" s="21"/>
      <c r="F887" s="21"/>
      <c r="G887" s="136"/>
      <c r="H887" s="136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</row>
    <row r="888">
      <c r="A888" s="21"/>
      <c r="B888" s="21"/>
      <c r="C888" s="21"/>
      <c r="D888" s="21"/>
      <c r="E888" s="21"/>
      <c r="F888" s="21"/>
      <c r="G888" s="136"/>
      <c r="H888" s="136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</row>
    <row r="889">
      <c r="A889" s="21"/>
      <c r="B889" s="21"/>
      <c r="C889" s="21"/>
      <c r="D889" s="21"/>
      <c r="E889" s="21"/>
      <c r="F889" s="21"/>
      <c r="G889" s="136"/>
      <c r="H889" s="136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</row>
    <row r="890">
      <c r="A890" s="21"/>
      <c r="B890" s="21"/>
      <c r="C890" s="21"/>
      <c r="D890" s="21"/>
      <c r="E890" s="21"/>
      <c r="F890" s="21"/>
      <c r="G890" s="136"/>
      <c r="H890" s="136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</row>
    <row r="891">
      <c r="A891" s="21"/>
      <c r="B891" s="21"/>
      <c r="C891" s="21"/>
      <c r="D891" s="21"/>
      <c r="E891" s="21"/>
      <c r="F891" s="21"/>
      <c r="G891" s="136"/>
      <c r="H891" s="136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</row>
    <row r="892">
      <c r="A892" s="21"/>
      <c r="B892" s="21"/>
      <c r="C892" s="21"/>
      <c r="D892" s="21"/>
      <c r="E892" s="21"/>
      <c r="F892" s="21"/>
      <c r="G892" s="136"/>
      <c r="H892" s="136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</row>
    <row r="893">
      <c r="A893" s="21"/>
      <c r="B893" s="21"/>
      <c r="C893" s="21"/>
      <c r="D893" s="21"/>
      <c r="E893" s="21"/>
      <c r="F893" s="21"/>
      <c r="G893" s="136"/>
      <c r="H893" s="136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</row>
    <row r="894">
      <c r="A894" s="21"/>
      <c r="B894" s="21"/>
      <c r="C894" s="21"/>
      <c r="D894" s="21"/>
      <c r="E894" s="21"/>
      <c r="F894" s="21"/>
      <c r="G894" s="136"/>
      <c r="H894" s="136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</row>
    <row r="895">
      <c r="A895" s="21"/>
      <c r="B895" s="21"/>
      <c r="C895" s="21"/>
      <c r="D895" s="21"/>
      <c r="E895" s="21"/>
      <c r="F895" s="21"/>
      <c r="G895" s="136"/>
      <c r="H895" s="136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</row>
    <row r="896">
      <c r="A896" s="21"/>
      <c r="B896" s="21"/>
      <c r="C896" s="21"/>
      <c r="D896" s="21"/>
      <c r="E896" s="21"/>
      <c r="F896" s="21"/>
      <c r="G896" s="136"/>
      <c r="H896" s="136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</row>
    <row r="897">
      <c r="A897" s="21"/>
      <c r="B897" s="21"/>
      <c r="C897" s="21"/>
      <c r="D897" s="21"/>
      <c r="E897" s="21"/>
      <c r="F897" s="21"/>
      <c r="G897" s="136"/>
      <c r="H897" s="136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</row>
    <row r="898">
      <c r="A898" s="21"/>
      <c r="B898" s="21"/>
      <c r="C898" s="21"/>
      <c r="D898" s="21"/>
      <c r="E898" s="21"/>
      <c r="F898" s="21"/>
      <c r="G898" s="136"/>
      <c r="H898" s="136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</row>
    <row r="899">
      <c r="A899" s="21"/>
      <c r="B899" s="21"/>
      <c r="C899" s="21"/>
      <c r="D899" s="21"/>
      <c r="E899" s="21"/>
      <c r="F899" s="21"/>
      <c r="G899" s="136"/>
      <c r="H899" s="136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</row>
    <row r="900">
      <c r="A900" s="21"/>
      <c r="B900" s="21"/>
      <c r="C900" s="21"/>
      <c r="D900" s="21"/>
      <c r="E900" s="21"/>
      <c r="F900" s="21"/>
      <c r="G900" s="136"/>
      <c r="H900" s="136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</row>
    <row r="901">
      <c r="A901" s="21"/>
      <c r="B901" s="21"/>
      <c r="C901" s="21"/>
      <c r="D901" s="21"/>
      <c r="E901" s="21"/>
      <c r="F901" s="21"/>
      <c r="G901" s="136"/>
      <c r="H901" s="136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</row>
    <row r="902">
      <c r="A902" s="21"/>
      <c r="B902" s="21"/>
      <c r="C902" s="21"/>
      <c r="D902" s="21"/>
      <c r="E902" s="21"/>
      <c r="F902" s="21"/>
      <c r="G902" s="136"/>
      <c r="H902" s="136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</row>
    <row r="903">
      <c r="A903" s="21"/>
      <c r="B903" s="21"/>
      <c r="C903" s="21"/>
      <c r="D903" s="21"/>
      <c r="E903" s="21"/>
      <c r="F903" s="21"/>
      <c r="G903" s="136"/>
      <c r="H903" s="136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</row>
    <row r="904">
      <c r="A904" s="21"/>
      <c r="B904" s="21"/>
      <c r="C904" s="21"/>
      <c r="D904" s="21"/>
      <c r="E904" s="21"/>
      <c r="F904" s="21"/>
      <c r="G904" s="136"/>
      <c r="H904" s="136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</row>
    <row r="905">
      <c r="A905" s="21"/>
      <c r="B905" s="21"/>
      <c r="C905" s="21"/>
      <c r="D905" s="21"/>
      <c r="E905" s="21"/>
      <c r="F905" s="21"/>
      <c r="G905" s="136"/>
      <c r="H905" s="136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</row>
    <row r="906">
      <c r="A906" s="21"/>
      <c r="B906" s="21"/>
      <c r="C906" s="21"/>
      <c r="D906" s="21"/>
      <c r="E906" s="21"/>
      <c r="F906" s="21"/>
      <c r="G906" s="136"/>
      <c r="H906" s="136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</row>
    <row r="907">
      <c r="A907" s="21"/>
      <c r="B907" s="21"/>
      <c r="C907" s="21"/>
      <c r="D907" s="21"/>
      <c r="E907" s="21"/>
      <c r="F907" s="21"/>
      <c r="G907" s="136"/>
      <c r="H907" s="136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</row>
    <row r="908">
      <c r="A908" s="21"/>
      <c r="B908" s="21"/>
      <c r="C908" s="21"/>
      <c r="D908" s="21"/>
      <c r="E908" s="21"/>
      <c r="F908" s="21"/>
      <c r="G908" s="136"/>
      <c r="H908" s="136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</row>
    <row r="909">
      <c r="A909" s="21"/>
      <c r="B909" s="21"/>
      <c r="C909" s="21"/>
      <c r="D909" s="21"/>
      <c r="E909" s="21"/>
      <c r="F909" s="21"/>
      <c r="G909" s="136"/>
      <c r="H909" s="136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</row>
    <row r="910">
      <c r="A910" s="21"/>
      <c r="B910" s="21"/>
      <c r="C910" s="21"/>
      <c r="D910" s="21"/>
      <c r="E910" s="21"/>
      <c r="F910" s="21"/>
      <c r="G910" s="136"/>
      <c r="H910" s="136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</row>
    <row r="911">
      <c r="A911" s="21"/>
      <c r="B911" s="21"/>
      <c r="C911" s="21"/>
      <c r="D911" s="21"/>
      <c r="E911" s="21"/>
      <c r="F911" s="21"/>
      <c r="G911" s="136"/>
      <c r="H911" s="136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</row>
    <row r="912">
      <c r="A912" s="21"/>
      <c r="B912" s="21"/>
      <c r="C912" s="21"/>
      <c r="D912" s="21"/>
      <c r="E912" s="21"/>
      <c r="F912" s="21"/>
      <c r="G912" s="136"/>
      <c r="H912" s="136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</row>
    <row r="913">
      <c r="A913" s="21"/>
      <c r="B913" s="21"/>
      <c r="C913" s="21"/>
      <c r="D913" s="21"/>
      <c r="E913" s="21"/>
      <c r="F913" s="21"/>
      <c r="G913" s="136"/>
      <c r="H913" s="136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</row>
    <row r="914">
      <c r="A914" s="21"/>
      <c r="B914" s="21"/>
      <c r="C914" s="21"/>
      <c r="D914" s="21"/>
      <c r="E914" s="21"/>
      <c r="F914" s="21"/>
      <c r="G914" s="136"/>
      <c r="H914" s="136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</row>
    <row r="915">
      <c r="A915" s="21"/>
      <c r="B915" s="21"/>
      <c r="C915" s="21"/>
      <c r="D915" s="21"/>
      <c r="E915" s="21"/>
      <c r="F915" s="21"/>
      <c r="G915" s="136"/>
      <c r="H915" s="136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</row>
    <row r="916">
      <c r="A916" s="21"/>
      <c r="B916" s="21"/>
      <c r="C916" s="21"/>
      <c r="D916" s="21"/>
      <c r="E916" s="21"/>
      <c r="F916" s="21"/>
      <c r="G916" s="136"/>
      <c r="H916" s="136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</row>
    <row r="917">
      <c r="A917" s="21"/>
      <c r="B917" s="21"/>
      <c r="C917" s="21"/>
      <c r="D917" s="21"/>
      <c r="E917" s="21"/>
      <c r="F917" s="21"/>
      <c r="G917" s="136"/>
      <c r="H917" s="136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</row>
    <row r="918">
      <c r="A918" s="21"/>
      <c r="B918" s="21"/>
      <c r="C918" s="21"/>
      <c r="D918" s="21"/>
      <c r="E918" s="21"/>
      <c r="F918" s="21"/>
      <c r="G918" s="136"/>
      <c r="H918" s="136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</row>
    <row r="919">
      <c r="A919" s="21"/>
      <c r="B919" s="21"/>
      <c r="C919" s="21"/>
      <c r="D919" s="21"/>
      <c r="E919" s="21"/>
      <c r="F919" s="21"/>
      <c r="G919" s="136"/>
      <c r="H919" s="136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</row>
    <row r="920">
      <c r="A920" s="21"/>
      <c r="B920" s="21"/>
      <c r="C920" s="21"/>
      <c r="D920" s="21"/>
      <c r="E920" s="21"/>
      <c r="F920" s="21"/>
      <c r="G920" s="136"/>
      <c r="H920" s="136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</row>
    <row r="921">
      <c r="A921" s="21"/>
      <c r="B921" s="21"/>
      <c r="C921" s="21"/>
      <c r="D921" s="21"/>
      <c r="E921" s="21"/>
      <c r="F921" s="21"/>
      <c r="G921" s="136"/>
      <c r="H921" s="136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</row>
    <row r="922">
      <c r="A922" s="21"/>
      <c r="B922" s="21"/>
      <c r="C922" s="21"/>
      <c r="D922" s="21"/>
      <c r="E922" s="21"/>
      <c r="F922" s="21"/>
      <c r="G922" s="136"/>
      <c r="H922" s="136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</row>
    <row r="923">
      <c r="A923" s="21"/>
      <c r="B923" s="21"/>
      <c r="C923" s="21"/>
      <c r="D923" s="21"/>
      <c r="E923" s="21"/>
      <c r="F923" s="21"/>
      <c r="G923" s="136"/>
      <c r="H923" s="136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</row>
    <row r="924">
      <c r="A924" s="21"/>
      <c r="B924" s="21"/>
      <c r="C924" s="21"/>
      <c r="D924" s="21"/>
      <c r="E924" s="21"/>
      <c r="F924" s="21"/>
      <c r="G924" s="136"/>
      <c r="H924" s="136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</row>
    <row r="925">
      <c r="A925" s="21"/>
      <c r="B925" s="21"/>
      <c r="C925" s="21"/>
      <c r="D925" s="21"/>
      <c r="E925" s="21"/>
      <c r="F925" s="21"/>
      <c r="G925" s="136"/>
      <c r="H925" s="136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</row>
    <row r="926">
      <c r="A926" s="21"/>
      <c r="B926" s="21"/>
      <c r="C926" s="21"/>
      <c r="D926" s="21"/>
      <c r="E926" s="21"/>
      <c r="F926" s="21"/>
      <c r="G926" s="136"/>
      <c r="H926" s="136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</row>
    <row r="927">
      <c r="A927" s="21"/>
      <c r="B927" s="21"/>
      <c r="C927" s="21"/>
      <c r="D927" s="21"/>
      <c r="E927" s="21"/>
      <c r="F927" s="21"/>
      <c r="G927" s="136"/>
      <c r="H927" s="136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</row>
    <row r="928">
      <c r="A928" s="21"/>
      <c r="B928" s="21"/>
      <c r="C928" s="21"/>
      <c r="D928" s="21"/>
      <c r="E928" s="21"/>
      <c r="F928" s="21"/>
      <c r="G928" s="136"/>
      <c r="H928" s="136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</row>
    <row r="929">
      <c r="A929" s="21"/>
      <c r="B929" s="21"/>
      <c r="C929" s="21"/>
      <c r="D929" s="21"/>
      <c r="E929" s="21"/>
      <c r="F929" s="21"/>
      <c r="G929" s="136"/>
      <c r="H929" s="136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</row>
    <row r="930">
      <c r="A930" s="21"/>
      <c r="B930" s="21"/>
      <c r="C930" s="21"/>
      <c r="D930" s="21"/>
      <c r="E930" s="21"/>
      <c r="F930" s="21"/>
      <c r="G930" s="136"/>
      <c r="H930" s="136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</row>
    <row r="931">
      <c r="A931" s="21"/>
      <c r="B931" s="21"/>
      <c r="C931" s="21"/>
      <c r="D931" s="21"/>
      <c r="E931" s="21"/>
      <c r="F931" s="21"/>
      <c r="G931" s="136"/>
      <c r="H931" s="136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</row>
    <row r="932">
      <c r="A932" s="21"/>
      <c r="B932" s="21"/>
      <c r="C932" s="21"/>
      <c r="D932" s="21"/>
      <c r="E932" s="21"/>
      <c r="F932" s="21"/>
      <c r="G932" s="136"/>
      <c r="H932" s="136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</row>
    <row r="933">
      <c r="A933" s="21"/>
      <c r="B933" s="21"/>
      <c r="C933" s="21"/>
      <c r="D933" s="21"/>
      <c r="E933" s="21"/>
      <c r="F933" s="21"/>
      <c r="G933" s="136"/>
      <c r="H933" s="136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</row>
    <row r="934">
      <c r="A934" s="21"/>
      <c r="B934" s="21"/>
      <c r="C934" s="21"/>
      <c r="D934" s="21"/>
      <c r="E934" s="21"/>
      <c r="F934" s="21"/>
      <c r="G934" s="136"/>
      <c r="H934" s="136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</row>
    <row r="935">
      <c r="A935" s="21"/>
      <c r="B935" s="21"/>
      <c r="C935" s="21"/>
      <c r="D935" s="21"/>
      <c r="E935" s="21"/>
      <c r="F935" s="21"/>
      <c r="G935" s="136"/>
      <c r="H935" s="136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</row>
    <row r="936">
      <c r="A936" s="21"/>
      <c r="B936" s="21"/>
      <c r="C936" s="21"/>
      <c r="D936" s="21"/>
      <c r="E936" s="21"/>
      <c r="F936" s="21"/>
      <c r="G936" s="136"/>
      <c r="H936" s="136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</row>
    <row r="937">
      <c r="A937" s="21"/>
      <c r="B937" s="21"/>
      <c r="C937" s="21"/>
      <c r="D937" s="21"/>
      <c r="E937" s="21"/>
      <c r="F937" s="21"/>
      <c r="G937" s="136"/>
      <c r="H937" s="136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</row>
    <row r="938">
      <c r="A938" s="21"/>
      <c r="B938" s="21"/>
      <c r="C938" s="21"/>
      <c r="D938" s="21"/>
      <c r="E938" s="21"/>
      <c r="F938" s="21"/>
      <c r="G938" s="136"/>
      <c r="H938" s="136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</row>
    <row r="939">
      <c r="A939" s="21"/>
      <c r="B939" s="21"/>
      <c r="C939" s="21"/>
      <c r="D939" s="21"/>
      <c r="E939" s="21"/>
      <c r="F939" s="21"/>
      <c r="G939" s="136"/>
      <c r="H939" s="136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</row>
    <row r="940">
      <c r="A940" s="21"/>
      <c r="B940" s="21"/>
      <c r="C940" s="21"/>
      <c r="D940" s="21"/>
      <c r="E940" s="21"/>
      <c r="F940" s="21"/>
      <c r="G940" s="136"/>
      <c r="H940" s="136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</row>
    <row r="941">
      <c r="A941" s="21"/>
      <c r="B941" s="21"/>
      <c r="C941" s="21"/>
      <c r="D941" s="21"/>
      <c r="E941" s="21"/>
      <c r="F941" s="21"/>
      <c r="G941" s="136"/>
      <c r="H941" s="136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</row>
    <row r="942">
      <c r="A942" s="21"/>
      <c r="B942" s="21"/>
      <c r="C942" s="21"/>
      <c r="D942" s="21"/>
      <c r="E942" s="21"/>
      <c r="F942" s="21"/>
      <c r="G942" s="136"/>
      <c r="H942" s="136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</row>
    <row r="943">
      <c r="A943" s="21"/>
      <c r="B943" s="21"/>
      <c r="C943" s="21"/>
      <c r="D943" s="21"/>
      <c r="E943" s="21"/>
      <c r="F943" s="21"/>
      <c r="G943" s="136"/>
      <c r="H943" s="136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</row>
    <row r="944">
      <c r="A944" s="21"/>
      <c r="B944" s="21"/>
      <c r="C944" s="21"/>
      <c r="D944" s="21"/>
      <c r="E944" s="21"/>
      <c r="F944" s="21"/>
      <c r="G944" s="136"/>
      <c r="H944" s="136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</row>
    <row r="945">
      <c r="A945" s="21"/>
      <c r="B945" s="21"/>
      <c r="C945" s="21"/>
      <c r="D945" s="21"/>
      <c r="E945" s="21"/>
      <c r="F945" s="21"/>
      <c r="G945" s="136"/>
      <c r="H945" s="136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</row>
    <row r="946">
      <c r="A946" s="21"/>
      <c r="B946" s="21"/>
      <c r="C946" s="21"/>
      <c r="D946" s="21"/>
      <c r="E946" s="21"/>
      <c r="F946" s="21"/>
      <c r="G946" s="136"/>
      <c r="H946" s="136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</row>
    <row r="947">
      <c r="A947" s="21"/>
      <c r="B947" s="21"/>
      <c r="C947" s="21"/>
      <c r="D947" s="21"/>
      <c r="E947" s="21"/>
      <c r="F947" s="21"/>
      <c r="G947" s="136"/>
      <c r="H947" s="136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</row>
    <row r="948">
      <c r="A948" s="21"/>
      <c r="B948" s="21"/>
      <c r="C948" s="21"/>
      <c r="D948" s="21"/>
      <c r="E948" s="21"/>
      <c r="F948" s="21"/>
      <c r="G948" s="136"/>
      <c r="H948" s="136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</row>
    <row r="949">
      <c r="A949" s="21"/>
      <c r="B949" s="21"/>
      <c r="C949" s="21"/>
      <c r="D949" s="21"/>
      <c r="E949" s="21"/>
      <c r="F949" s="21"/>
      <c r="G949" s="136"/>
      <c r="H949" s="136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</row>
    <row r="950">
      <c r="A950" s="21"/>
      <c r="B950" s="21"/>
      <c r="C950" s="21"/>
      <c r="D950" s="21"/>
      <c r="E950" s="21"/>
      <c r="F950" s="21"/>
      <c r="G950" s="136"/>
      <c r="H950" s="136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</row>
    <row r="951">
      <c r="A951" s="21"/>
      <c r="B951" s="21"/>
      <c r="C951" s="21"/>
      <c r="D951" s="21"/>
      <c r="E951" s="21"/>
      <c r="F951" s="21"/>
      <c r="G951" s="136"/>
      <c r="H951" s="136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</row>
    <row r="952">
      <c r="A952" s="21"/>
      <c r="B952" s="21"/>
      <c r="C952" s="21"/>
      <c r="D952" s="21"/>
      <c r="E952" s="21"/>
      <c r="F952" s="21"/>
      <c r="G952" s="136"/>
      <c r="H952" s="136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</row>
    <row r="953">
      <c r="A953" s="21"/>
      <c r="B953" s="21"/>
      <c r="C953" s="21"/>
      <c r="D953" s="21"/>
      <c r="E953" s="21"/>
      <c r="F953" s="21"/>
      <c r="G953" s="136"/>
      <c r="H953" s="136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</row>
    <row r="954">
      <c r="A954" s="21"/>
      <c r="B954" s="21"/>
      <c r="C954" s="21"/>
      <c r="D954" s="21"/>
      <c r="E954" s="21"/>
      <c r="F954" s="21"/>
      <c r="G954" s="136"/>
      <c r="H954" s="136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</row>
    <row r="955">
      <c r="A955" s="21"/>
      <c r="B955" s="21"/>
      <c r="C955" s="21"/>
      <c r="D955" s="21"/>
      <c r="E955" s="21"/>
      <c r="F955" s="21"/>
      <c r="G955" s="136"/>
      <c r="H955" s="136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</row>
    <row r="956">
      <c r="A956" s="21"/>
      <c r="B956" s="21"/>
      <c r="C956" s="21"/>
      <c r="D956" s="21"/>
      <c r="E956" s="21"/>
      <c r="F956" s="21"/>
      <c r="G956" s="136"/>
      <c r="H956" s="136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</row>
    <row r="957">
      <c r="A957" s="21"/>
      <c r="B957" s="21"/>
      <c r="C957" s="21"/>
      <c r="D957" s="21"/>
      <c r="E957" s="21"/>
      <c r="F957" s="21"/>
      <c r="G957" s="136"/>
      <c r="H957" s="136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</row>
    <row r="958">
      <c r="A958" s="21"/>
      <c r="B958" s="21"/>
      <c r="C958" s="21"/>
      <c r="D958" s="21"/>
      <c r="E958" s="21"/>
      <c r="F958" s="21"/>
      <c r="G958" s="136"/>
      <c r="H958" s="136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</row>
    <row r="959">
      <c r="A959" s="21"/>
      <c r="B959" s="21"/>
      <c r="C959" s="21"/>
      <c r="D959" s="21"/>
      <c r="E959" s="21"/>
      <c r="F959" s="21"/>
      <c r="G959" s="136"/>
      <c r="H959" s="136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</row>
    <row r="960">
      <c r="A960" s="21"/>
      <c r="B960" s="21"/>
      <c r="C960" s="21"/>
      <c r="D960" s="21"/>
      <c r="E960" s="21"/>
      <c r="F960" s="21"/>
      <c r="G960" s="136"/>
      <c r="H960" s="136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</row>
    <row r="961">
      <c r="A961" s="21"/>
      <c r="B961" s="21"/>
      <c r="C961" s="21"/>
      <c r="D961" s="21"/>
      <c r="E961" s="21"/>
      <c r="F961" s="21"/>
      <c r="G961" s="136"/>
      <c r="H961" s="136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</row>
    <row r="962">
      <c r="A962" s="21"/>
      <c r="B962" s="21"/>
      <c r="C962" s="21"/>
      <c r="D962" s="21"/>
      <c r="E962" s="21"/>
      <c r="F962" s="21"/>
      <c r="G962" s="136"/>
      <c r="H962" s="136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</row>
    <row r="963">
      <c r="A963" s="21"/>
      <c r="B963" s="21"/>
      <c r="C963" s="21"/>
      <c r="D963" s="21"/>
      <c r="E963" s="21"/>
      <c r="F963" s="21"/>
      <c r="G963" s="136"/>
      <c r="H963" s="136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</row>
    <row r="964">
      <c r="A964" s="21"/>
      <c r="B964" s="21"/>
      <c r="C964" s="21"/>
      <c r="D964" s="21"/>
      <c r="E964" s="21"/>
      <c r="F964" s="21"/>
      <c r="G964" s="136"/>
      <c r="H964" s="136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</row>
    <row r="965">
      <c r="A965" s="21"/>
      <c r="B965" s="21"/>
      <c r="C965" s="21"/>
      <c r="D965" s="21"/>
      <c r="E965" s="21"/>
      <c r="F965" s="21"/>
      <c r="G965" s="136"/>
      <c r="H965" s="136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</row>
    <row r="966">
      <c r="A966" s="21"/>
      <c r="B966" s="21"/>
      <c r="C966" s="21"/>
      <c r="D966" s="21"/>
      <c r="E966" s="21"/>
      <c r="F966" s="21"/>
      <c r="G966" s="136"/>
      <c r="H966" s="136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</row>
    <row r="967">
      <c r="A967" s="21"/>
      <c r="B967" s="21"/>
      <c r="C967" s="21"/>
      <c r="D967" s="21"/>
      <c r="E967" s="21"/>
      <c r="F967" s="21"/>
      <c r="G967" s="136"/>
      <c r="H967" s="136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</row>
    <row r="968">
      <c r="A968" s="21"/>
      <c r="B968" s="21"/>
      <c r="C968" s="21"/>
      <c r="D968" s="21"/>
      <c r="E968" s="21"/>
      <c r="F968" s="21"/>
      <c r="G968" s="136"/>
      <c r="H968" s="136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</row>
    <row r="969">
      <c r="A969" s="21"/>
      <c r="B969" s="21"/>
      <c r="C969" s="21"/>
      <c r="D969" s="21"/>
      <c r="E969" s="21"/>
      <c r="F969" s="21"/>
      <c r="G969" s="136"/>
      <c r="H969" s="136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</row>
    <row r="970">
      <c r="A970" s="21"/>
      <c r="B970" s="21"/>
      <c r="C970" s="21"/>
      <c r="D970" s="21"/>
      <c r="E970" s="21"/>
      <c r="F970" s="21"/>
      <c r="G970" s="136"/>
      <c r="H970" s="136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</row>
    <row r="971">
      <c r="A971" s="21"/>
      <c r="B971" s="21"/>
      <c r="C971" s="21"/>
      <c r="D971" s="21"/>
      <c r="E971" s="21"/>
      <c r="F971" s="21"/>
      <c r="G971" s="136"/>
      <c r="H971" s="136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</row>
    <row r="972">
      <c r="A972" s="21"/>
      <c r="B972" s="21"/>
      <c r="C972" s="21"/>
      <c r="D972" s="21"/>
      <c r="E972" s="21"/>
      <c r="F972" s="21"/>
      <c r="G972" s="136"/>
      <c r="H972" s="136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</row>
    <row r="973">
      <c r="A973" s="21"/>
      <c r="B973" s="21"/>
      <c r="C973" s="21"/>
      <c r="D973" s="21"/>
      <c r="E973" s="21"/>
      <c r="F973" s="21"/>
      <c r="G973" s="136"/>
      <c r="H973" s="136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</row>
    <row r="974">
      <c r="A974" s="21"/>
      <c r="B974" s="21"/>
      <c r="C974" s="21"/>
      <c r="D974" s="21"/>
      <c r="E974" s="21"/>
      <c r="F974" s="21"/>
      <c r="G974" s="136"/>
      <c r="H974" s="136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</row>
    <row r="975">
      <c r="A975" s="21"/>
      <c r="B975" s="21"/>
      <c r="C975" s="21"/>
      <c r="D975" s="21"/>
      <c r="E975" s="21"/>
      <c r="F975" s="21"/>
      <c r="G975" s="136"/>
      <c r="H975" s="136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</row>
    <row r="976">
      <c r="A976" s="21"/>
      <c r="B976" s="21"/>
      <c r="C976" s="21"/>
      <c r="D976" s="21"/>
      <c r="E976" s="21"/>
      <c r="F976" s="21"/>
      <c r="G976" s="136"/>
      <c r="H976" s="136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</row>
    <row r="977">
      <c r="A977" s="21"/>
      <c r="B977" s="21"/>
      <c r="C977" s="21"/>
      <c r="D977" s="21"/>
      <c r="E977" s="21"/>
      <c r="F977" s="21"/>
      <c r="G977" s="136"/>
      <c r="H977" s="136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</row>
    <row r="978">
      <c r="A978" s="21"/>
      <c r="B978" s="21"/>
      <c r="C978" s="21"/>
      <c r="D978" s="21"/>
      <c r="E978" s="21"/>
      <c r="F978" s="21"/>
      <c r="G978" s="136"/>
      <c r="H978" s="136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</row>
    <row r="979">
      <c r="A979" s="21"/>
      <c r="B979" s="21"/>
      <c r="C979" s="21"/>
      <c r="D979" s="21"/>
      <c r="E979" s="21"/>
      <c r="F979" s="21"/>
      <c r="G979" s="136"/>
      <c r="H979" s="136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</row>
    <row r="980">
      <c r="A980" s="21"/>
      <c r="B980" s="21"/>
      <c r="C980" s="21"/>
      <c r="D980" s="21"/>
      <c r="E980" s="21"/>
      <c r="F980" s="21"/>
      <c r="G980" s="136"/>
      <c r="H980" s="136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</row>
    <row r="981">
      <c r="A981" s="21"/>
      <c r="B981" s="21"/>
      <c r="C981" s="21"/>
      <c r="D981" s="21"/>
      <c r="E981" s="21"/>
      <c r="F981" s="21"/>
      <c r="G981" s="136"/>
      <c r="H981" s="136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</row>
    <row r="982">
      <c r="A982" s="21"/>
      <c r="B982" s="21"/>
      <c r="C982" s="21"/>
      <c r="D982" s="21"/>
      <c r="E982" s="21"/>
      <c r="F982" s="21"/>
      <c r="G982" s="136"/>
      <c r="H982" s="136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</row>
    <row r="983">
      <c r="A983" s="21"/>
      <c r="B983" s="21"/>
      <c r="C983" s="21"/>
      <c r="D983" s="21"/>
      <c r="E983" s="21"/>
      <c r="F983" s="21"/>
      <c r="G983" s="136"/>
      <c r="H983" s="136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</row>
    <row r="984">
      <c r="A984" s="21"/>
      <c r="B984" s="21"/>
      <c r="C984" s="21"/>
      <c r="D984" s="21"/>
      <c r="E984" s="21"/>
      <c r="F984" s="21"/>
      <c r="G984" s="136"/>
      <c r="H984" s="136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</row>
    <row r="985">
      <c r="A985" s="21"/>
      <c r="B985" s="21"/>
      <c r="C985" s="21"/>
      <c r="D985" s="21"/>
      <c r="E985" s="21"/>
      <c r="F985" s="21"/>
      <c r="G985" s="136"/>
      <c r="H985" s="136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</row>
    <row r="986">
      <c r="A986" s="21"/>
      <c r="B986" s="21"/>
      <c r="C986" s="21"/>
      <c r="D986" s="21"/>
      <c r="E986" s="21"/>
      <c r="F986" s="21"/>
      <c r="G986" s="136"/>
      <c r="H986" s="136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</row>
    <row r="987">
      <c r="A987" s="21"/>
      <c r="B987" s="21"/>
      <c r="C987" s="21"/>
      <c r="D987" s="21"/>
      <c r="E987" s="21"/>
      <c r="F987" s="21"/>
      <c r="G987" s="136"/>
      <c r="H987" s="136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</row>
    <row r="988">
      <c r="A988" s="21"/>
      <c r="B988" s="21"/>
      <c r="C988" s="21"/>
      <c r="D988" s="21"/>
      <c r="E988" s="21"/>
      <c r="F988" s="21"/>
      <c r="G988" s="136"/>
      <c r="H988" s="136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</row>
    <row r="989">
      <c r="A989" s="21"/>
      <c r="B989" s="21"/>
      <c r="C989" s="21"/>
      <c r="D989" s="21"/>
      <c r="E989" s="21"/>
      <c r="F989" s="21"/>
      <c r="G989" s="136"/>
      <c r="H989" s="136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</row>
    <row r="990">
      <c r="A990" s="21"/>
      <c r="B990" s="21"/>
      <c r="C990" s="21"/>
      <c r="D990" s="21"/>
      <c r="E990" s="21"/>
      <c r="F990" s="21"/>
      <c r="G990" s="136"/>
      <c r="H990" s="136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</row>
    <row r="991">
      <c r="A991" s="21"/>
      <c r="B991" s="21"/>
      <c r="C991" s="21"/>
      <c r="D991" s="21"/>
      <c r="E991" s="21"/>
      <c r="F991" s="21"/>
      <c r="G991" s="136"/>
      <c r="H991" s="136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</row>
    <row r="992">
      <c r="A992" s="21"/>
      <c r="B992" s="21"/>
      <c r="C992" s="21"/>
      <c r="D992" s="21"/>
      <c r="E992" s="21"/>
      <c r="F992" s="21"/>
      <c r="G992" s="136"/>
      <c r="H992" s="136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</row>
    <row r="993">
      <c r="A993" s="21"/>
      <c r="B993" s="21"/>
      <c r="C993" s="21"/>
      <c r="D993" s="21"/>
      <c r="E993" s="21"/>
      <c r="F993" s="21"/>
      <c r="G993" s="136"/>
      <c r="H993" s="136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</row>
    <row r="994">
      <c r="A994" s="21"/>
      <c r="B994" s="21"/>
      <c r="C994" s="21"/>
      <c r="D994" s="21"/>
      <c r="E994" s="21"/>
      <c r="F994" s="21"/>
      <c r="G994" s="136"/>
      <c r="H994" s="136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</row>
    <row r="995">
      <c r="A995" s="21"/>
      <c r="B995" s="21"/>
      <c r="C995" s="21"/>
      <c r="D995" s="21"/>
      <c r="E995" s="21"/>
      <c r="F995" s="21"/>
      <c r="G995" s="136"/>
      <c r="H995" s="136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</row>
    <row r="996">
      <c r="A996" s="21"/>
      <c r="B996" s="21"/>
      <c r="C996" s="21"/>
      <c r="D996" s="21"/>
      <c r="E996" s="21"/>
      <c r="F996" s="21"/>
      <c r="G996" s="136"/>
      <c r="H996" s="136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</row>
    <row r="997">
      <c r="A997" s="21"/>
      <c r="B997" s="21"/>
      <c r="C997" s="21"/>
      <c r="D997" s="21"/>
      <c r="E997" s="21"/>
      <c r="F997" s="21"/>
      <c r="G997" s="136"/>
      <c r="H997" s="136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</row>
    <row r="998">
      <c r="A998" s="21"/>
      <c r="B998" s="21"/>
      <c r="C998" s="21"/>
      <c r="D998" s="21"/>
      <c r="E998" s="21"/>
      <c r="F998" s="21"/>
      <c r="G998" s="136"/>
      <c r="H998" s="136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</row>
    <row r="999">
      <c r="A999" s="21"/>
      <c r="B999" s="21"/>
      <c r="C999" s="21"/>
      <c r="D999" s="21"/>
      <c r="E999" s="21"/>
      <c r="F999" s="21"/>
      <c r="G999" s="136"/>
      <c r="H999" s="136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</row>
    <row r="1000">
      <c r="A1000" s="21"/>
      <c r="B1000" s="21"/>
      <c r="C1000" s="21"/>
      <c r="D1000" s="21"/>
      <c r="E1000" s="21"/>
      <c r="F1000" s="21"/>
      <c r="G1000" s="136"/>
      <c r="H1000" s="136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</row>
    <row r="1001">
      <c r="A1001" s="21"/>
      <c r="B1001" s="21"/>
      <c r="C1001" s="21"/>
      <c r="D1001" s="21"/>
      <c r="E1001" s="21"/>
      <c r="F1001" s="21"/>
      <c r="G1001" s="136"/>
      <c r="H1001" s="136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</row>
    <row r="1002">
      <c r="A1002" s="21"/>
      <c r="B1002" s="21"/>
      <c r="C1002" s="21"/>
      <c r="D1002" s="21"/>
      <c r="E1002" s="21"/>
      <c r="F1002" s="21"/>
      <c r="G1002" s="136"/>
      <c r="H1002" s="136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</row>
    <row r="1003">
      <c r="A1003" s="21"/>
      <c r="B1003" s="21"/>
      <c r="C1003" s="21"/>
      <c r="D1003" s="21"/>
      <c r="E1003" s="21"/>
      <c r="F1003" s="21"/>
      <c r="G1003" s="136"/>
      <c r="H1003" s="136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</row>
    <row r="1004">
      <c r="A1004" s="21"/>
      <c r="B1004" s="21"/>
      <c r="C1004" s="21"/>
      <c r="D1004" s="21"/>
      <c r="E1004" s="21"/>
      <c r="F1004" s="21"/>
      <c r="G1004" s="136"/>
      <c r="H1004" s="136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</row>
  </sheetData>
  <mergeCells count="8">
    <mergeCell ref="A1:B1"/>
    <mergeCell ref="G1:K1"/>
    <mergeCell ref="M1:N1"/>
    <mergeCell ref="O1:P1"/>
    <mergeCell ref="B11:C11"/>
    <mergeCell ref="M14:N14"/>
    <mergeCell ref="M28:N28"/>
    <mergeCell ref="O28:P28"/>
  </mergeCells>
  <dataValidations>
    <dataValidation type="list" allowBlank="1" showErrorMessage="1" sqref="A1">
      <formula1>"Jan,Feb,Mar,Apr,May,Jun,Jul,Aug,Sep,Oct,Nov,Dec"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88"/>
    <col customWidth="1" min="2" max="2" width="15.0"/>
    <col customWidth="1" min="3" max="3" width="13.63"/>
    <col customWidth="1" min="4" max="4" width="10.88"/>
    <col customWidth="1" min="5" max="5" width="21.5"/>
    <col customWidth="1" min="7" max="7" width="9.0"/>
    <col customWidth="1" min="8" max="8" width="8.5"/>
    <col customWidth="1" min="9" max="9" width="10.5"/>
    <col customWidth="1" min="10" max="10" width="2.13"/>
    <col customWidth="1" min="11" max="11" width="16.25"/>
    <col customWidth="1" min="12" max="12" width="9.63"/>
    <col customWidth="1" min="13" max="13" width="11.75"/>
    <col customWidth="1" min="14" max="14" width="10.63"/>
    <col customWidth="1" min="15" max="15" width="4.63"/>
    <col customWidth="1" min="16" max="16" width="13.63"/>
    <col customWidth="1" min="18" max="18" width="14.75"/>
    <col customWidth="1" min="19" max="19" width="14.88"/>
  </cols>
  <sheetData>
    <row r="1">
      <c r="A1" s="4" t="s">
        <v>2</v>
      </c>
      <c r="C1" s="7"/>
      <c r="D1" s="9"/>
      <c r="E1" s="13" t="s">
        <v>5</v>
      </c>
      <c r="F1" s="16"/>
      <c r="G1" s="16"/>
      <c r="H1" s="16"/>
      <c r="I1" s="19"/>
      <c r="J1" s="21"/>
      <c r="K1" s="22" t="s">
        <v>9</v>
      </c>
      <c r="M1" s="22" t="s">
        <v>10</v>
      </c>
      <c r="O1" s="7"/>
      <c r="P1" s="7" t="s">
        <v>11</v>
      </c>
      <c r="Q1" s="7" t="s">
        <v>12</v>
      </c>
      <c r="R1" s="7" t="s">
        <v>13</v>
      </c>
      <c r="S1" s="7" t="s">
        <v>14</v>
      </c>
      <c r="T1" s="7">
        <v>194.81</v>
      </c>
      <c r="U1" s="7">
        <v>21.8</v>
      </c>
      <c r="V1" s="21"/>
    </row>
    <row r="2">
      <c r="A2" s="4" t="s">
        <v>0</v>
      </c>
      <c r="B2" s="4" t="s">
        <v>17</v>
      </c>
      <c r="C2" s="4" t="s">
        <v>18</v>
      </c>
      <c r="D2" s="7"/>
      <c r="E2" s="26" t="s">
        <v>20</v>
      </c>
      <c r="F2" s="28" t="s">
        <v>22</v>
      </c>
      <c r="G2" s="30" t="s">
        <v>23</v>
      </c>
      <c r="H2" s="7" t="s">
        <v>24</v>
      </c>
      <c r="I2" s="31" t="s">
        <v>25</v>
      </c>
      <c r="J2" s="21"/>
      <c r="K2" s="28" t="s">
        <v>20</v>
      </c>
      <c r="L2" s="28" t="s">
        <v>27</v>
      </c>
      <c r="M2" s="7" t="s">
        <v>28</v>
      </c>
      <c r="N2" s="7">
        <v>14.99</v>
      </c>
      <c r="O2" s="4"/>
      <c r="P2" s="33"/>
      <c r="Q2" s="33"/>
      <c r="R2" s="7"/>
      <c r="S2" s="7"/>
      <c r="T2" s="7">
        <v>130.0</v>
      </c>
      <c r="U2" s="7">
        <v>359.2</v>
      </c>
      <c r="V2" s="21"/>
    </row>
    <row r="3">
      <c r="A3" s="4">
        <v>2025.0</v>
      </c>
      <c r="B3" s="7">
        <f>-2047.08-52.7</f>
        <v>-2099.78</v>
      </c>
      <c r="C3" s="7"/>
      <c r="D3" s="7"/>
      <c r="E3" s="26" t="s">
        <v>30</v>
      </c>
      <c r="F3" s="39">
        <f t="shared" ref="F3:F24" si="1">G3+I3+H3</f>
        <v>550.93</v>
      </c>
      <c r="G3" s="30"/>
      <c r="H3" s="7"/>
      <c r="I3" s="31">
        <v>550.93</v>
      </c>
      <c r="J3" s="4"/>
      <c r="K3" s="28" t="s">
        <v>31</v>
      </c>
      <c r="L3" s="30">
        <v>30.3</v>
      </c>
      <c r="M3" s="7" t="s">
        <v>33</v>
      </c>
      <c r="N3" s="21">
        <f>IF($A$1="Sep",49.99,0)</f>
        <v>0</v>
      </c>
      <c r="O3" s="21"/>
      <c r="P3" s="33"/>
      <c r="Q3" s="33"/>
      <c r="R3" s="7"/>
      <c r="S3" s="7"/>
      <c r="T3" s="7">
        <v>40.0</v>
      </c>
      <c r="U3" s="7">
        <v>1.69</v>
      </c>
      <c r="V3" s="21"/>
    </row>
    <row r="4">
      <c r="A4" s="7" t="s">
        <v>34</v>
      </c>
      <c r="B4" s="7">
        <v>-133.47</v>
      </c>
      <c r="C4" s="21">
        <f>1360.14+50+19.99+202.5</f>
        <v>1632.63</v>
      </c>
      <c r="D4" s="21"/>
      <c r="E4" s="26" t="s">
        <v>38</v>
      </c>
      <c r="F4" s="39">
        <f t="shared" si="1"/>
        <v>0</v>
      </c>
      <c r="G4" s="30"/>
      <c r="H4" s="30"/>
      <c r="I4" s="31">
        <f>IF(OR($A$1="Jul",$A$1="Aug",$A$1="Sep"),0,IF($A$1="Oct",242,121))</f>
        <v>0</v>
      </c>
      <c r="J4" s="7"/>
      <c r="K4" s="5" t="s">
        <v>40</v>
      </c>
      <c r="L4" s="30">
        <v>246.04</v>
      </c>
      <c r="M4" s="7" t="s">
        <v>41</v>
      </c>
      <c r="N4" s="7">
        <v>10.99</v>
      </c>
      <c r="O4" s="21"/>
      <c r="P4" s="33"/>
      <c r="Q4" s="33"/>
      <c r="R4" s="7"/>
      <c r="S4" s="7"/>
      <c r="T4" s="7">
        <v>4.65</v>
      </c>
      <c r="U4" s="7">
        <v>40.0</v>
      </c>
      <c r="V4" s="21"/>
    </row>
    <row r="5">
      <c r="A5" s="7" t="s">
        <v>42</v>
      </c>
      <c r="B5" s="7">
        <v>280.2</v>
      </c>
      <c r="C5" s="7"/>
      <c r="D5" s="21"/>
      <c r="E5" s="26" t="s">
        <v>43</v>
      </c>
      <c r="F5" s="39">
        <f t="shared" si="1"/>
        <v>74.22</v>
      </c>
      <c r="G5" s="30"/>
      <c r="H5" s="7"/>
      <c r="I5" s="31">
        <v>74.22</v>
      </c>
      <c r="J5" s="4"/>
      <c r="K5" s="22" t="s">
        <v>44</v>
      </c>
      <c r="L5" s="39">
        <v>124.82</v>
      </c>
      <c r="M5" s="7" t="s">
        <v>46</v>
      </c>
      <c r="N5" s="7">
        <v>7.99</v>
      </c>
      <c r="O5" s="21"/>
      <c r="P5" s="33"/>
      <c r="Q5" s="33"/>
      <c r="R5" s="7"/>
      <c r="S5" s="7"/>
      <c r="T5" s="7">
        <v>72.12</v>
      </c>
      <c r="U5" s="7"/>
      <c r="V5" s="21"/>
    </row>
    <row r="6">
      <c r="A6" s="4" t="s">
        <v>47</v>
      </c>
      <c r="B6" s="7">
        <v>-573.43</v>
      </c>
      <c r="C6" s="7">
        <v>100.0</v>
      </c>
      <c r="D6" s="21"/>
      <c r="E6" s="26" t="s">
        <v>48</v>
      </c>
      <c r="F6" s="39">
        <f t="shared" si="1"/>
        <v>0</v>
      </c>
      <c r="G6" s="30">
        <v>0.0</v>
      </c>
      <c r="H6" s="7"/>
      <c r="I6" s="31">
        <v>0.0</v>
      </c>
      <c r="J6" s="7"/>
      <c r="K6" s="22" t="s">
        <v>49</v>
      </c>
      <c r="L6" s="39">
        <f>238.4</f>
        <v>238.4</v>
      </c>
      <c r="M6" s="7" t="s">
        <v>50</v>
      </c>
      <c r="N6" s="7">
        <v>16.99</v>
      </c>
      <c r="O6" s="21"/>
      <c r="P6" s="33"/>
      <c r="Q6" s="33"/>
      <c r="R6" s="7"/>
      <c r="S6" s="21"/>
      <c r="T6" s="7">
        <v>25.19</v>
      </c>
      <c r="U6" s="7"/>
      <c r="V6" s="21"/>
    </row>
    <row r="7">
      <c r="A7" s="7" t="s">
        <v>51</v>
      </c>
      <c r="B7" s="7">
        <v>-779.65</v>
      </c>
      <c r="C7" s="7">
        <f>50+724.6</f>
        <v>774.6</v>
      </c>
      <c r="D7" s="21"/>
      <c r="E7" s="26" t="s">
        <v>52</v>
      </c>
      <c r="F7" s="39">
        <f t="shared" si="1"/>
        <v>0</v>
      </c>
      <c r="G7" s="30">
        <v>0.0</v>
      </c>
      <c r="H7" s="7"/>
      <c r="I7" s="31">
        <v>0.0</v>
      </c>
      <c r="J7" s="7"/>
      <c r="K7" s="28" t="s">
        <v>53</v>
      </c>
      <c r="L7" s="28">
        <v>308.96</v>
      </c>
      <c r="M7" s="7" t="s">
        <v>54</v>
      </c>
      <c r="N7" s="7">
        <v>1.79</v>
      </c>
      <c r="O7" s="21"/>
      <c r="P7" s="33"/>
      <c r="Q7" s="33"/>
      <c r="R7" s="7" t="s">
        <v>56</v>
      </c>
      <c r="S7" s="7" t="s">
        <v>57</v>
      </c>
      <c r="T7" s="7">
        <v>8.25</v>
      </c>
      <c r="U7" s="7"/>
      <c r="V7" s="21"/>
    </row>
    <row r="8">
      <c r="A8" s="7" t="s">
        <v>58</v>
      </c>
      <c r="B8" s="7">
        <v>-125.92</v>
      </c>
      <c r="C8" s="7">
        <v>0.0</v>
      </c>
      <c r="D8" s="21"/>
      <c r="E8" s="26" t="s">
        <v>60</v>
      </c>
      <c r="F8" s="39">
        <f t="shared" si="1"/>
        <v>150</v>
      </c>
      <c r="G8" s="30"/>
      <c r="H8" s="21"/>
      <c r="I8" s="31">
        <f>IF(OR($A$1="Jul",$A$1="Aug",$A$1="Sep"),150,IF(OR($A$1="May",$A$1="Jun",$A$1="Oct",$A$1="Nov"),120,100))</f>
        <v>150</v>
      </c>
      <c r="J8" s="60"/>
      <c r="K8" s="5"/>
      <c r="L8" s="30"/>
      <c r="M8" s="7" t="s">
        <v>62</v>
      </c>
      <c r="N8" s="21">
        <f>IF($A$1="Aug",129.99,0)</f>
        <v>129.99</v>
      </c>
      <c r="O8" s="21"/>
      <c r="P8" s="33"/>
      <c r="Q8" s="33"/>
      <c r="R8" s="7"/>
      <c r="S8" s="7"/>
      <c r="T8" s="7">
        <v>150.93</v>
      </c>
      <c r="U8" s="7"/>
      <c r="V8" s="21"/>
    </row>
    <row r="9">
      <c r="A9" s="7" t="s">
        <v>64</v>
      </c>
      <c r="B9" s="7">
        <v>-139.27</v>
      </c>
      <c r="C9" s="7">
        <v>150.0</v>
      </c>
      <c r="D9" s="21"/>
      <c r="E9" s="26" t="s">
        <v>65</v>
      </c>
      <c r="F9" s="39">
        <f t="shared" si="1"/>
        <v>90</v>
      </c>
      <c r="G9" s="30"/>
      <c r="H9" s="21"/>
      <c r="I9" s="31">
        <f>IF(OR($A$1="Jun",$A$1="Aug",$A$1="Oct"),90,IF(OR($A$1="Apr",$A$1="Dec"),130,IF($A$1="Feb",200,0)))</f>
        <v>90</v>
      </c>
      <c r="J9" s="60"/>
      <c r="K9" s="64" t="s">
        <v>67</v>
      </c>
      <c r="L9" s="68">
        <f>SUM(L3:L8)</f>
        <v>948.52</v>
      </c>
      <c r="M9" s="69" t="s">
        <v>68</v>
      </c>
      <c r="N9" s="70">
        <f>SUM(N2:N8)</f>
        <v>182.74</v>
      </c>
      <c r="O9" s="21"/>
      <c r="P9" s="33"/>
      <c r="Q9" s="33"/>
      <c r="R9" s="7"/>
      <c r="S9" s="21"/>
      <c r="T9" s="7">
        <v>38.97</v>
      </c>
      <c r="U9" s="7"/>
      <c r="V9" s="21"/>
    </row>
    <row r="10">
      <c r="A10" s="7" t="s">
        <v>70</v>
      </c>
      <c r="B10" s="7">
        <v>-308.8</v>
      </c>
      <c r="C10" s="7">
        <f>0.97+106.69-49.96</f>
        <v>57.7</v>
      </c>
      <c r="D10" s="21"/>
      <c r="E10" s="72" t="s">
        <v>71</v>
      </c>
      <c r="F10" s="39">
        <f t="shared" si="1"/>
        <v>109</v>
      </c>
      <c r="G10" s="39"/>
      <c r="H10" s="21"/>
      <c r="I10" s="73">
        <f>99+10</f>
        <v>109</v>
      </c>
      <c r="J10" s="75"/>
      <c r="K10" s="5" t="s">
        <v>30</v>
      </c>
      <c r="L10" s="76">
        <f>F3</f>
        <v>550.93</v>
      </c>
      <c r="O10" s="21"/>
      <c r="P10" s="33"/>
      <c r="Q10" s="33"/>
      <c r="R10" s="7"/>
      <c r="S10" s="21"/>
      <c r="T10" s="7">
        <v>1.45</v>
      </c>
      <c r="U10" s="7"/>
      <c r="V10" s="21"/>
    </row>
    <row r="11">
      <c r="A11" s="7" t="s">
        <v>2</v>
      </c>
      <c r="B11" s="21"/>
      <c r="C11" s="21"/>
      <c r="D11" s="7"/>
      <c r="E11" s="26" t="s">
        <v>72</v>
      </c>
      <c r="F11" s="39">
        <f t="shared" si="1"/>
        <v>948.52</v>
      </c>
      <c r="G11" s="30">
        <f>L3</f>
        <v>30.3</v>
      </c>
      <c r="H11" s="21">
        <f>L4+L5</f>
        <v>370.86</v>
      </c>
      <c r="I11" s="31">
        <f>SUM(L6:L8)</f>
        <v>547.36</v>
      </c>
      <c r="J11" s="28"/>
      <c r="K11" s="64" t="s">
        <v>68</v>
      </c>
      <c r="L11" s="68">
        <f>L9+L10</f>
        <v>1499.45</v>
      </c>
      <c r="O11" s="21"/>
      <c r="P11" s="33"/>
      <c r="Q11" s="33"/>
      <c r="R11" s="7"/>
      <c r="S11" s="21"/>
      <c r="T11" s="7">
        <v>48.88</v>
      </c>
      <c r="U11" s="7"/>
      <c r="V11" s="21"/>
    </row>
    <row r="12">
      <c r="A12" s="7" t="s">
        <v>3</v>
      </c>
      <c r="B12" s="21"/>
      <c r="C12" s="21"/>
      <c r="D12" s="21"/>
      <c r="E12" s="72" t="s">
        <v>75</v>
      </c>
      <c r="F12" s="39">
        <f t="shared" si="1"/>
        <v>0</v>
      </c>
      <c r="G12" s="30"/>
      <c r="H12" s="21"/>
      <c r="I12" s="73">
        <f>IF(OR($A$1="Jan",$A$1="Mar",$A$1="May",$A$1="Jul",$A$1="Sep",$A$1="Nov",),50,0)</f>
        <v>0</v>
      </c>
      <c r="J12" s="75"/>
      <c r="K12" s="81"/>
      <c r="L12" s="82"/>
      <c r="O12" s="21"/>
      <c r="P12" s="33"/>
      <c r="Q12" s="33"/>
      <c r="R12" s="21"/>
      <c r="S12" s="21"/>
      <c r="T12" s="7">
        <v>12.3</v>
      </c>
      <c r="U12" s="7"/>
      <c r="V12" s="21"/>
    </row>
    <row r="13">
      <c r="A13" s="7" t="s">
        <v>76</v>
      </c>
      <c r="B13" s="7"/>
      <c r="C13" s="21"/>
      <c r="D13" s="21"/>
      <c r="E13" s="72" t="s">
        <v>10</v>
      </c>
      <c r="F13" s="39">
        <f t="shared" si="1"/>
        <v>182.74</v>
      </c>
      <c r="G13" s="30"/>
      <c r="H13" s="7"/>
      <c r="I13" s="73">
        <f>N9</f>
        <v>182.74</v>
      </c>
      <c r="J13" s="28"/>
      <c r="O13" s="21"/>
      <c r="P13" s="33"/>
      <c r="Q13" s="33"/>
      <c r="R13" s="21"/>
      <c r="S13" s="21"/>
      <c r="T13" s="7">
        <v>2.45</v>
      </c>
      <c r="U13" s="7"/>
      <c r="V13" s="21"/>
    </row>
    <row r="14">
      <c r="A14" s="4" t="s">
        <v>79</v>
      </c>
      <c r="B14" s="21"/>
      <c r="C14" s="21"/>
      <c r="D14" s="7"/>
      <c r="E14" s="87" t="s">
        <v>81</v>
      </c>
      <c r="F14" s="39">
        <f t="shared" si="1"/>
        <v>80</v>
      </c>
      <c r="G14" s="21"/>
      <c r="H14" s="21"/>
      <c r="I14" s="89">
        <f>60+20</f>
        <v>80</v>
      </c>
      <c r="J14" s="28"/>
      <c r="K14" s="5" t="s">
        <v>82</v>
      </c>
      <c r="M14" s="5"/>
      <c r="N14" s="5"/>
      <c r="O14" s="21"/>
      <c r="P14" s="33"/>
      <c r="Q14" s="33"/>
      <c r="R14" s="21"/>
      <c r="S14" s="21"/>
      <c r="T14" s="7">
        <v>130.41</v>
      </c>
      <c r="U14" s="21"/>
      <c r="V14" s="21"/>
    </row>
    <row r="15">
      <c r="A15" s="7" t="s">
        <v>83</v>
      </c>
      <c r="B15" s="21"/>
      <c r="C15" s="21"/>
      <c r="D15" s="21"/>
      <c r="E15" s="26" t="s">
        <v>84</v>
      </c>
      <c r="F15" s="39">
        <f t="shared" si="1"/>
        <v>0</v>
      </c>
      <c r="G15" s="30"/>
      <c r="H15" s="7"/>
      <c r="I15" s="31">
        <f>L20+L19</f>
        <v>0</v>
      </c>
      <c r="J15" s="4"/>
      <c r="K15" s="5" t="s">
        <v>86</v>
      </c>
      <c r="L15" s="21">
        <f>IF(OR($A$1="Feb",$A$1="May",$A$1="Aug",$A$1="Nov"),98.1,0)</f>
        <v>98.1</v>
      </c>
      <c r="M15" s="5"/>
      <c r="N15" s="5"/>
      <c r="O15" s="21"/>
      <c r="P15" s="33"/>
      <c r="Q15" s="33"/>
      <c r="R15" s="21"/>
      <c r="S15" s="21"/>
      <c r="T15" s="7">
        <v>18.8</v>
      </c>
      <c r="U15" s="21"/>
      <c r="V15" s="21"/>
    </row>
    <row r="16">
      <c r="A16" s="7" t="s">
        <v>68</v>
      </c>
      <c r="B16" s="7">
        <f>SUM(B3:B15)+C16</f>
        <v>-1165.19</v>
      </c>
      <c r="C16" s="7">
        <f>SUM(C3:C15)</f>
        <v>2714.93</v>
      </c>
      <c r="D16" s="7"/>
      <c r="E16" s="72" t="s">
        <v>89</v>
      </c>
      <c r="F16" s="39">
        <f t="shared" si="1"/>
        <v>59.9</v>
      </c>
      <c r="G16" s="30"/>
      <c r="H16" s="7"/>
      <c r="I16" s="73">
        <f>IF($A$1="Feb",60.97,59.9)</f>
        <v>59.9</v>
      </c>
      <c r="J16" s="4"/>
      <c r="K16" s="5" t="s">
        <v>63</v>
      </c>
      <c r="L16" s="21">
        <f>IF(OR($A$1="Feb",$A$1="May",$A$1="Aug",$A$1="Nov"),(39.15+329.22/4),0)</f>
        <v>121.455</v>
      </c>
      <c r="M16" s="5"/>
      <c r="N16" s="5"/>
      <c r="O16" s="21"/>
      <c r="P16" s="33"/>
      <c r="Q16" s="33"/>
      <c r="R16" s="21"/>
      <c r="S16" s="21"/>
      <c r="T16" s="21"/>
      <c r="U16" s="21"/>
      <c r="V16" s="21"/>
    </row>
    <row r="17">
      <c r="A17" s="21"/>
      <c r="B17" s="97"/>
      <c r="C17" s="97"/>
      <c r="D17" s="7"/>
      <c r="E17" s="87" t="s">
        <v>86</v>
      </c>
      <c r="F17" s="39">
        <f t="shared" si="1"/>
        <v>98.1</v>
      </c>
      <c r="G17" s="76"/>
      <c r="H17" s="7"/>
      <c r="I17" s="31">
        <f t="shared" ref="I17:I20" si="2">L15</f>
        <v>98.1</v>
      </c>
      <c r="J17" s="28"/>
      <c r="K17" s="5" t="s">
        <v>92</v>
      </c>
      <c r="L17" s="7">
        <f>IF($A$1="May",155.05,0)</f>
        <v>0</v>
      </c>
      <c r="M17" s="5"/>
      <c r="N17" s="98"/>
      <c r="O17" s="21"/>
      <c r="P17" s="33"/>
      <c r="Q17" s="33"/>
      <c r="R17" s="21"/>
      <c r="S17" s="21"/>
      <c r="T17" s="21"/>
      <c r="U17" s="21"/>
      <c r="V17" s="21"/>
    </row>
    <row r="18">
      <c r="A18" s="21"/>
      <c r="B18" s="21"/>
      <c r="C18" s="21"/>
      <c r="D18" s="7"/>
      <c r="E18" s="87" t="s">
        <v>63</v>
      </c>
      <c r="F18" s="39">
        <f t="shared" si="1"/>
        <v>121.455</v>
      </c>
      <c r="G18" s="7"/>
      <c r="H18" s="30"/>
      <c r="I18" s="31">
        <f t="shared" si="2"/>
        <v>121.455</v>
      </c>
      <c r="J18" s="4"/>
      <c r="K18" s="5" t="s">
        <v>93</v>
      </c>
      <c r="L18" s="7">
        <f>IF($A$1="Jul",80,0)</f>
        <v>0</v>
      </c>
      <c r="M18" s="5"/>
      <c r="N18" s="98"/>
      <c r="O18" s="21"/>
      <c r="P18" s="33"/>
      <c r="Q18" s="33"/>
      <c r="R18" s="21"/>
      <c r="S18" s="21"/>
      <c r="T18" s="21"/>
      <c r="U18" s="21"/>
      <c r="V18" s="21"/>
    </row>
    <row r="19">
      <c r="A19" s="21"/>
      <c r="B19" s="21"/>
      <c r="C19" s="21"/>
      <c r="D19" s="21"/>
      <c r="E19" s="87" t="s">
        <v>92</v>
      </c>
      <c r="F19" s="39">
        <f t="shared" si="1"/>
        <v>0</v>
      </c>
      <c r="G19" s="7"/>
      <c r="H19" s="21"/>
      <c r="I19" s="101">
        <f t="shared" si="2"/>
        <v>0</v>
      </c>
      <c r="J19" s="28"/>
      <c r="K19" s="5" t="s">
        <v>95</v>
      </c>
      <c r="L19" s="7">
        <f>IF($A$1="Sep",449.58,0)</f>
        <v>0</v>
      </c>
      <c r="M19" s="5"/>
      <c r="N19" s="5"/>
      <c r="O19" s="21"/>
      <c r="P19" s="33"/>
      <c r="Q19" s="33"/>
      <c r="R19" s="21"/>
      <c r="S19" s="21"/>
      <c r="T19" s="21"/>
      <c r="U19" s="21"/>
      <c r="V19" s="21"/>
    </row>
    <row r="20">
      <c r="A20" s="21"/>
      <c r="B20" s="21"/>
      <c r="C20" s="21"/>
      <c r="D20" s="21"/>
      <c r="E20" s="87" t="s">
        <v>96</v>
      </c>
      <c r="F20" s="39">
        <f t="shared" si="1"/>
        <v>0</v>
      </c>
      <c r="G20" s="76"/>
      <c r="H20" s="76"/>
      <c r="I20" s="31">
        <f t="shared" si="2"/>
        <v>0</v>
      </c>
      <c r="J20" s="4"/>
      <c r="K20" s="5" t="s">
        <v>97</v>
      </c>
      <c r="L20" s="7">
        <f>IF($A$1="Jan",126.66,IF(OR($A$1="Feb",$A$1="Apr"),121.82,0))</f>
        <v>0</v>
      </c>
      <c r="O20" s="21"/>
      <c r="P20" s="105"/>
      <c r="Q20" s="33"/>
      <c r="R20" s="21"/>
      <c r="S20" s="21"/>
      <c r="T20" s="21"/>
      <c r="U20" s="21"/>
      <c r="V20" s="21"/>
    </row>
    <row r="21">
      <c r="A21" s="4"/>
      <c r="B21" s="21"/>
      <c r="C21" s="7"/>
      <c r="D21" s="21"/>
      <c r="E21" s="87" t="s">
        <v>99</v>
      </c>
      <c r="F21" s="39">
        <f t="shared" si="1"/>
        <v>456.54</v>
      </c>
      <c r="G21" s="30"/>
      <c r="H21" s="30"/>
      <c r="I21" s="89">
        <f>IF($A$1="Aug",413.47+43.07,358.71)</f>
        <v>456.54</v>
      </c>
      <c r="J21" s="97"/>
      <c r="K21" s="97"/>
      <c r="L21" s="97"/>
      <c r="M21" s="97"/>
      <c r="N21" s="97"/>
      <c r="O21" s="21"/>
      <c r="P21" s="33"/>
      <c r="Q21" s="7"/>
      <c r="R21" s="21"/>
      <c r="S21" s="21"/>
      <c r="T21" s="21"/>
      <c r="U21" s="21"/>
      <c r="V21" s="21"/>
    </row>
    <row r="22">
      <c r="A22" s="21"/>
      <c r="B22" s="7"/>
      <c r="C22" s="7"/>
      <c r="D22" s="21"/>
      <c r="E22" s="87" t="s">
        <v>101</v>
      </c>
      <c r="F22" s="39">
        <f t="shared" si="1"/>
        <v>21.73</v>
      </c>
      <c r="G22" s="7">
        <v>21.73</v>
      </c>
      <c r="H22" s="7"/>
      <c r="I22" s="89">
        <f>IF($A$1="Jun",330,0)</f>
        <v>0</v>
      </c>
      <c r="J22" s="60"/>
      <c r="K22" s="97"/>
      <c r="L22" s="97"/>
      <c r="M22" s="97"/>
      <c r="N22" s="97"/>
      <c r="O22" s="21"/>
      <c r="P22" s="33"/>
      <c r="Q22" s="7"/>
      <c r="R22" s="21"/>
      <c r="S22" s="21"/>
      <c r="T22" s="21"/>
      <c r="U22" s="21"/>
      <c r="V22" s="21"/>
    </row>
    <row r="23">
      <c r="A23" s="21"/>
      <c r="B23" s="7"/>
      <c r="C23" s="7"/>
      <c r="D23" s="21"/>
      <c r="E23" s="87" t="s">
        <v>102</v>
      </c>
      <c r="F23" s="39">
        <f t="shared" si="1"/>
        <v>0</v>
      </c>
      <c r="G23" s="7"/>
      <c r="H23" s="7"/>
      <c r="I23" s="89">
        <v>0.0</v>
      </c>
      <c r="J23" s="60"/>
      <c r="K23" s="97"/>
      <c r="L23" s="97"/>
      <c r="M23" s="97"/>
      <c r="N23" s="97"/>
      <c r="O23" s="21"/>
      <c r="P23" s="33"/>
      <c r="Q23" s="7"/>
      <c r="R23" s="21"/>
      <c r="S23" s="21"/>
      <c r="T23" s="21"/>
      <c r="U23" s="21"/>
      <c r="V23" s="21"/>
    </row>
    <row r="24">
      <c r="A24" s="21"/>
      <c r="B24" s="7"/>
      <c r="C24" s="21"/>
      <c r="D24" s="21"/>
      <c r="E24" s="108" t="s">
        <v>103</v>
      </c>
      <c r="F24" s="109">
        <f t="shared" si="1"/>
        <v>200</v>
      </c>
      <c r="G24" s="110"/>
      <c r="H24" s="110"/>
      <c r="I24" s="112">
        <f>IF(OR($A$1="Jan",$A$1="Mar",$A$1="May",$A$1="Jul",$A$1="Sep",$A$1="Nov"),100,IF(OR($A$1="Apr",$A$1="Jun",$A$1="Aug",$A$1="Oct",$A$1="Dec"),200,IF(OR($A$1="Feb"),300,0)))</f>
        <v>200</v>
      </c>
      <c r="J24" s="4"/>
      <c r="K24" s="5" t="s">
        <v>104</v>
      </c>
      <c r="L24" s="97"/>
      <c r="M24" s="97"/>
      <c r="N24" s="97"/>
      <c r="O24" s="97"/>
      <c r="P24" s="33"/>
      <c r="Q24" s="7"/>
      <c r="R24" s="21"/>
      <c r="S24" s="21"/>
      <c r="T24" s="21"/>
      <c r="U24" s="21"/>
      <c r="V24" s="21"/>
    </row>
    <row r="25">
      <c r="A25" s="113"/>
      <c r="B25" s="7"/>
      <c r="C25" s="21"/>
      <c r="D25" s="21"/>
      <c r="E25" s="114" t="s">
        <v>105</v>
      </c>
      <c r="F25" s="115">
        <f t="shared" ref="F25:I25" si="3">SUM(F3:F24)</f>
        <v>3143.135</v>
      </c>
      <c r="G25" s="115">
        <f t="shared" si="3"/>
        <v>52.03</v>
      </c>
      <c r="H25" s="115">
        <f t="shared" si="3"/>
        <v>370.86</v>
      </c>
      <c r="I25" s="116">
        <f t="shared" si="3"/>
        <v>2720.245</v>
      </c>
      <c r="J25" s="4"/>
      <c r="K25" s="118"/>
      <c r="L25" s="119"/>
      <c r="M25" s="118"/>
      <c r="N25" s="120"/>
      <c r="O25" s="97"/>
      <c r="P25" s="33"/>
      <c r="Q25" s="7"/>
      <c r="R25" s="21"/>
      <c r="S25" s="21"/>
      <c r="T25" s="21"/>
      <c r="U25" s="21"/>
      <c r="V25" s="21"/>
    </row>
    <row r="26">
      <c r="A26" s="113"/>
      <c r="B26" s="21"/>
      <c r="C26" s="21"/>
      <c r="D26" s="21"/>
      <c r="E26" s="121" t="s">
        <v>11</v>
      </c>
      <c r="F26" s="122">
        <f>G26+I26+H26</f>
        <v>1600.07</v>
      </c>
      <c r="G26" s="123">
        <v>0.0</v>
      </c>
      <c r="H26" s="123">
        <v>0.0</v>
      </c>
      <c r="I26" s="124">
        <v>1600.07</v>
      </c>
      <c r="J26" s="21"/>
      <c r="K26" s="21"/>
      <c r="L26" s="21"/>
      <c r="M26" s="97"/>
      <c r="N26" s="97"/>
      <c r="O26" s="97"/>
      <c r="P26" s="33"/>
      <c r="Q26" s="21"/>
      <c r="R26" s="21"/>
      <c r="S26" s="21"/>
      <c r="T26" s="21"/>
      <c r="U26" s="21"/>
      <c r="V26" s="21"/>
    </row>
    <row r="27">
      <c r="A27" s="21"/>
      <c r="B27" s="21"/>
      <c r="C27" s="21"/>
      <c r="D27" s="21"/>
      <c r="E27" s="125" t="s">
        <v>68</v>
      </c>
      <c r="F27" s="126">
        <f t="shared" ref="F27:I27" si="4">SUM(F25:F26)</f>
        <v>4743.205</v>
      </c>
      <c r="G27" s="126">
        <f t="shared" si="4"/>
        <v>52.03</v>
      </c>
      <c r="H27" s="126">
        <f t="shared" si="4"/>
        <v>370.86</v>
      </c>
      <c r="I27" s="127">
        <f t="shared" si="4"/>
        <v>4320.315</v>
      </c>
      <c r="J27" s="97"/>
      <c r="K27" s="97"/>
      <c r="L27" s="21"/>
      <c r="M27" s="97"/>
      <c r="N27" s="97"/>
      <c r="O27" s="97"/>
      <c r="P27" s="33"/>
      <c r="Q27" s="21"/>
      <c r="R27" s="21"/>
      <c r="S27" s="21"/>
      <c r="T27" s="21"/>
      <c r="U27" s="21"/>
      <c r="V27" s="21"/>
    </row>
    <row r="28">
      <c r="A28" s="21"/>
      <c r="B28" s="21"/>
      <c r="C28" s="21"/>
      <c r="D28" s="21"/>
      <c r="E28" s="114" t="s">
        <v>106</v>
      </c>
      <c r="F28" s="115">
        <f t="shared" ref="F28:F29" si="6">G28+H28+I28</f>
        <v>0</v>
      </c>
      <c r="G28" s="115">
        <f t="shared" ref="G28:H28" si="5">SUM(R2:R6)</f>
        <v>0</v>
      </c>
      <c r="H28" s="115">
        <f t="shared" si="5"/>
        <v>0</v>
      </c>
      <c r="I28" s="116">
        <f>SUM(Q2:Q31)</f>
        <v>0</v>
      </c>
      <c r="J28" s="97"/>
      <c r="K28" s="4"/>
      <c r="L28" s="21"/>
      <c r="M28" s="4"/>
      <c r="N28" s="4"/>
      <c r="O28" s="4"/>
      <c r="P28" s="33"/>
      <c r="Q28" s="21"/>
      <c r="R28" s="21"/>
      <c r="S28" s="21"/>
      <c r="T28" s="21"/>
      <c r="U28" s="21"/>
      <c r="V28" s="21"/>
    </row>
    <row r="29">
      <c r="A29" s="97"/>
      <c r="B29" s="21"/>
      <c r="C29" s="21"/>
      <c r="D29" s="21"/>
      <c r="E29" s="129" t="s">
        <v>107</v>
      </c>
      <c r="F29" s="130">
        <f t="shared" si="6"/>
        <v>0</v>
      </c>
      <c r="G29" s="131">
        <f t="shared" ref="G29:H29" si="7">SUM(R8:R20)</f>
        <v>0</v>
      </c>
      <c r="H29" s="131">
        <f t="shared" si="7"/>
        <v>0</v>
      </c>
      <c r="I29" s="132">
        <f>SUM(P2:P100)</f>
        <v>0</v>
      </c>
      <c r="J29" s="97"/>
      <c r="K29" s="4"/>
      <c r="L29" s="21"/>
      <c r="M29" s="4"/>
      <c r="N29" s="4"/>
      <c r="O29" s="4"/>
      <c r="P29" s="33"/>
      <c r="Q29" s="21"/>
      <c r="R29" s="21"/>
      <c r="S29" s="21"/>
      <c r="T29" s="21"/>
      <c r="U29" s="21"/>
      <c r="V29" s="21"/>
    </row>
    <row r="30">
      <c r="A30" s="97"/>
      <c r="B30" s="7"/>
      <c r="C30" s="21"/>
      <c r="D30" s="21"/>
      <c r="E30" s="133" t="s">
        <v>108</v>
      </c>
      <c r="F30" s="134">
        <f t="shared" ref="F30:I30" si="8">SUM(F28:F29)</f>
        <v>0</v>
      </c>
      <c r="G30" s="134">
        <f t="shared" si="8"/>
        <v>0</v>
      </c>
      <c r="H30" s="134">
        <f t="shared" si="8"/>
        <v>0</v>
      </c>
      <c r="I30" s="135">
        <f t="shared" si="8"/>
        <v>0</v>
      </c>
      <c r="J30" s="97"/>
      <c r="K30" s="4"/>
      <c r="L30" s="7"/>
      <c r="M30" s="4"/>
      <c r="N30" s="4"/>
      <c r="O30" s="4"/>
      <c r="P30" s="33"/>
      <c r="Q30" s="21"/>
      <c r="R30" s="21"/>
      <c r="S30" s="21"/>
      <c r="T30" s="21"/>
      <c r="U30" s="21"/>
      <c r="V30" s="21"/>
    </row>
    <row r="31">
      <c r="A31" s="21"/>
      <c r="B31" s="21"/>
      <c r="C31" s="21"/>
      <c r="D31" s="7"/>
      <c r="E31" s="114" t="s">
        <v>111</v>
      </c>
      <c r="F31" s="115">
        <f t="shared" ref="F31:F32" si="10">G31+H31+I31</f>
        <v>3143.135</v>
      </c>
      <c r="G31" s="115">
        <f t="shared" ref="G31:I31" si="9">G25-G28</f>
        <v>52.03</v>
      </c>
      <c r="H31" s="115">
        <f t="shared" si="9"/>
        <v>370.86</v>
      </c>
      <c r="I31" s="116">
        <f t="shared" si="9"/>
        <v>2720.245</v>
      </c>
      <c r="J31" s="97"/>
      <c r="K31" s="4"/>
      <c r="L31" s="7"/>
      <c r="M31" s="4"/>
      <c r="N31" s="107"/>
      <c r="O31" s="107"/>
      <c r="P31" s="33"/>
      <c r="Q31" s="21"/>
      <c r="R31" s="21"/>
      <c r="S31" s="21"/>
      <c r="T31" s="21"/>
      <c r="U31" s="21"/>
      <c r="V31" s="21"/>
    </row>
    <row r="32">
      <c r="A32" s="21"/>
      <c r="B32" s="137"/>
      <c r="C32" s="137"/>
      <c r="D32" s="97"/>
      <c r="E32" s="129" t="s">
        <v>112</v>
      </c>
      <c r="F32" s="130">
        <f t="shared" si="10"/>
        <v>1600.07</v>
      </c>
      <c r="G32" s="131">
        <f t="shared" ref="G32:I32" si="11">G26-G29</f>
        <v>0</v>
      </c>
      <c r="H32" s="131">
        <f t="shared" si="11"/>
        <v>0</v>
      </c>
      <c r="I32" s="132">
        <f t="shared" si="11"/>
        <v>1600.07</v>
      </c>
      <c r="J32" s="97"/>
      <c r="K32" s="4"/>
      <c r="L32" s="7"/>
      <c r="M32" s="4"/>
      <c r="N32" s="107"/>
      <c r="O32" s="107"/>
      <c r="P32" s="33"/>
      <c r="Q32" s="21"/>
      <c r="R32" s="21"/>
      <c r="S32" s="21"/>
      <c r="T32" s="21"/>
      <c r="U32" s="21"/>
      <c r="V32" s="21"/>
    </row>
    <row r="33">
      <c r="A33" s="21"/>
      <c r="B33" s="21"/>
      <c r="C33" s="21"/>
      <c r="D33" s="97"/>
      <c r="E33" s="133" t="s">
        <v>68</v>
      </c>
      <c r="F33" s="134">
        <f t="shared" ref="F33:I33" si="12">SUM(F31:F32)</f>
        <v>4743.205</v>
      </c>
      <c r="G33" s="134">
        <f t="shared" si="12"/>
        <v>52.03</v>
      </c>
      <c r="H33" s="134">
        <f t="shared" si="12"/>
        <v>370.86</v>
      </c>
      <c r="I33" s="135">
        <f t="shared" si="12"/>
        <v>4320.315</v>
      </c>
      <c r="J33" s="97"/>
      <c r="K33" s="4"/>
      <c r="L33" s="7"/>
      <c r="M33" s="4"/>
      <c r="N33" s="4"/>
      <c r="O33" s="4"/>
      <c r="P33" s="33"/>
      <c r="Q33" s="21"/>
      <c r="R33" s="21"/>
      <c r="S33" s="21"/>
      <c r="T33" s="21"/>
      <c r="U33" s="21"/>
      <c r="V33" s="21"/>
    </row>
    <row r="34">
      <c r="A34" s="21"/>
      <c r="B34" s="21"/>
      <c r="C34" s="21"/>
      <c r="D34" s="21"/>
      <c r="E34" s="4" t="s">
        <v>115</v>
      </c>
      <c r="F34" s="21">
        <f>G34+I34+H34</f>
        <v>3578.02</v>
      </c>
      <c r="G34" s="7">
        <v>53.0</v>
      </c>
      <c r="H34" s="7">
        <v>240.8</v>
      </c>
      <c r="I34" s="7">
        <v>3284.22</v>
      </c>
      <c r="J34" s="97"/>
      <c r="K34" s="97"/>
      <c r="L34" s="21"/>
      <c r="M34" s="97"/>
      <c r="N34" s="97"/>
      <c r="O34" s="21"/>
      <c r="P34" s="33"/>
      <c r="Q34" s="21"/>
      <c r="R34" s="21"/>
      <c r="S34" s="21"/>
      <c r="T34" s="21"/>
      <c r="U34" s="21"/>
      <c r="V34" s="21"/>
    </row>
    <row r="35">
      <c r="A35" s="21"/>
      <c r="B35" s="21"/>
      <c r="C35" s="21"/>
      <c r="D35" s="21"/>
      <c r="E35" s="4" t="s">
        <v>116</v>
      </c>
      <c r="F35" s="21">
        <f t="shared" ref="F35:I35" si="13">F34-F27</f>
        <v>-1165.185</v>
      </c>
      <c r="G35" s="7">
        <f t="shared" si="13"/>
        <v>0.97</v>
      </c>
      <c r="H35" s="7">
        <f t="shared" si="13"/>
        <v>-130.06</v>
      </c>
      <c r="I35" s="7">
        <f t="shared" si="13"/>
        <v>-1036.095</v>
      </c>
      <c r="J35" s="97"/>
      <c r="K35" s="97"/>
      <c r="L35" s="21"/>
      <c r="M35" s="7"/>
      <c r="N35" s="21"/>
      <c r="O35" s="21"/>
      <c r="P35" s="33"/>
      <c r="Q35" s="21"/>
      <c r="R35" s="21"/>
      <c r="S35" s="21"/>
      <c r="T35" s="21"/>
      <c r="U35" s="21"/>
      <c r="V35" s="21"/>
    </row>
    <row r="36">
      <c r="A36" s="21"/>
      <c r="B36" s="21"/>
      <c r="C36" s="21"/>
      <c r="D36" s="21"/>
      <c r="E36" s="4" t="s">
        <v>117</v>
      </c>
      <c r="F36" s="21">
        <f t="shared" ref="F36:I36" si="14">F34-F30</f>
        <v>3578.02</v>
      </c>
      <c r="G36" s="21">
        <f t="shared" si="14"/>
        <v>53</v>
      </c>
      <c r="H36" s="21">
        <f t="shared" si="14"/>
        <v>240.8</v>
      </c>
      <c r="I36" s="21">
        <f t="shared" si="14"/>
        <v>3284.22</v>
      </c>
      <c r="J36" s="97"/>
      <c r="K36" s="97"/>
      <c r="L36" s="21"/>
      <c r="M36" s="21"/>
      <c r="N36" s="21"/>
      <c r="O36" s="21"/>
      <c r="P36" s="33"/>
      <c r="Q36" s="21"/>
      <c r="R36" s="21"/>
      <c r="S36" s="21"/>
      <c r="T36" s="21"/>
      <c r="U36" s="21"/>
      <c r="V36" s="21"/>
    </row>
    <row r="37">
      <c r="A37" s="21"/>
      <c r="B37" s="21"/>
      <c r="C37" s="21"/>
      <c r="D37" s="21"/>
      <c r="E37" s="97"/>
      <c r="F37" s="97"/>
      <c r="G37" s="97"/>
      <c r="H37" s="60"/>
      <c r="I37" s="97"/>
      <c r="J37" s="97"/>
      <c r="K37" s="97"/>
      <c r="L37" s="21"/>
      <c r="M37" s="21"/>
      <c r="N37" s="21"/>
      <c r="O37" s="21"/>
      <c r="P37" s="33"/>
      <c r="Q37" s="21"/>
      <c r="R37" s="21"/>
      <c r="S37" s="21"/>
      <c r="T37" s="21"/>
      <c r="U37" s="21"/>
      <c r="V37" s="21"/>
    </row>
    <row r="38">
      <c r="A38" s="21"/>
      <c r="B38" s="21"/>
      <c r="C38" s="21"/>
      <c r="D38" s="21"/>
      <c r="E38" s="97"/>
      <c r="F38" s="97"/>
      <c r="G38" s="97"/>
      <c r="H38" s="7"/>
      <c r="I38" s="97"/>
      <c r="J38" s="21"/>
      <c r="K38" s="21"/>
      <c r="L38" s="21"/>
      <c r="M38" s="21"/>
      <c r="N38" s="21"/>
      <c r="O38" s="21"/>
      <c r="P38" s="33"/>
      <c r="Q38" s="21"/>
      <c r="R38" s="21"/>
      <c r="S38" s="21"/>
      <c r="T38" s="21"/>
      <c r="U38" s="21"/>
      <c r="V38" s="21"/>
    </row>
    <row r="39">
      <c r="A39" s="21"/>
      <c r="B39" s="21"/>
      <c r="C39" s="21"/>
      <c r="D39" s="21"/>
      <c r="E39" s="97"/>
      <c r="F39" s="97"/>
      <c r="G39" s="97"/>
      <c r="H39" s="21"/>
      <c r="I39" s="97"/>
      <c r="J39" s="21"/>
      <c r="K39" s="21"/>
      <c r="L39" s="21"/>
      <c r="M39" s="21"/>
      <c r="N39" s="21"/>
      <c r="O39" s="21"/>
      <c r="P39" s="33"/>
      <c r="Q39" s="21"/>
      <c r="R39" s="21"/>
      <c r="S39" s="21"/>
      <c r="T39" s="21"/>
      <c r="U39" s="21"/>
      <c r="V39" s="21"/>
    </row>
    <row r="40">
      <c r="A40" s="21"/>
      <c r="B40" s="21"/>
      <c r="C40" s="21"/>
      <c r="D40" s="21"/>
      <c r="E40" s="97"/>
      <c r="F40" s="97"/>
      <c r="G40" s="97"/>
      <c r="H40" s="21"/>
      <c r="I40" s="97"/>
      <c r="J40" s="21"/>
      <c r="K40" s="21"/>
      <c r="L40" s="21"/>
      <c r="M40" s="21"/>
      <c r="N40" s="21"/>
      <c r="O40" s="21"/>
      <c r="P40" s="33"/>
      <c r="Q40" s="21"/>
      <c r="R40" s="21"/>
      <c r="S40" s="21"/>
      <c r="T40" s="21"/>
      <c r="U40" s="21"/>
      <c r="V40" s="21"/>
    </row>
    <row r="41">
      <c r="A41" s="21"/>
      <c r="B41" s="21"/>
      <c r="C41" s="21"/>
      <c r="D41" s="21"/>
      <c r="E41" s="97"/>
      <c r="F41" s="97"/>
      <c r="G41" s="97"/>
      <c r="H41" s="21"/>
      <c r="I41" s="97"/>
      <c r="J41" s="21"/>
      <c r="K41" s="21"/>
      <c r="L41" s="21"/>
      <c r="M41" s="21"/>
      <c r="N41" s="21"/>
      <c r="O41" s="21"/>
      <c r="P41" s="33"/>
      <c r="Q41" s="60"/>
      <c r="R41" s="21"/>
      <c r="S41" s="21"/>
      <c r="T41" s="21"/>
      <c r="U41" s="21"/>
      <c r="V41" s="21"/>
    </row>
    <row r="42">
      <c r="A42" s="21"/>
      <c r="B42" s="21"/>
      <c r="C42" s="21"/>
      <c r="D42" s="21"/>
      <c r="E42" s="136"/>
      <c r="F42" s="136"/>
      <c r="G42" s="21"/>
      <c r="H42" s="21"/>
      <c r="I42" s="21"/>
      <c r="J42" s="21"/>
      <c r="K42" s="21"/>
      <c r="L42" s="21"/>
      <c r="M42" s="21"/>
      <c r="N42" s="21"/>
      <c r="O42" s="21"/>
      <c r="P42" s="33"/>
      <c r="Q42" s="60"/>
      <c r="R42" s="21"/>
      <c r="S42" s="21"/>
      <c r="T42" s="21"/>
      <c r="U42" s="21"/>
      <c r="V42" s="21"/>
    </row>
    <row r="43">
      <c r="A43" s="21"/>
      <c r="B43" s="21"/>
      <c r="C43" s="21"/>
      <c r="D43" s="21"/>
      <c r="E43" s="136"/>
      <c r="F43" s="136"/>
      <c r="G43" s="21"/>
      <c r="H43" s="21"/>
      <c r="I43" s="21"/>
      <c r="J43" s="21"/>
      <c r="K43" s="21"/>
      <c r="L43" s="21"/>
      <c r="M43" s="21"/>
      <c r="N43" s="21"/>
      <c r="O43" s="21"/>
      <c r="P43" s="33"/>
      <c r="Q43" s="60"/>
      <c r="R43" s="21"/>
      <c r="S43" s="21"/>
      <c r="T43" s="21"/>
      <c r="U43" s="21"/>
      <c r="V43" s="21"/>
    </row>
    <row r="44">
      <c r="A44" s="21"/>
      <c r="B44" s="21"/>
      <c r="C44" s="21"/>
      <c r="D44" s="21"/>
      <c r="E44" s="136"/>
      <c r="F44" s="136"/>
      <c r="G44" s="21"/>
      <c r="H44" s="21"/>
      <c r="I44" s="21"/>
      <c r="J44" s="21"/>
      <c r="K44" s="21"/>
      <c r="L44" s="21"/>
      <c r="M44" s="21"/>
      <c r="N44" s="21"/>
      <c r="O44" s="21"/>
      <c r="P44" s="33"/>
      <c r="Q44" s="60"/>
      <c r="R44" s="21"/>
      <c r="S44" s="21"/>
      <c r="T44" s="21"/>
      <c r="U44" s="21"/>
      <c r="V44" s="21"/>
    </row>
    <row r="45">
      <c r="A45" s="21"/>
      <c r="B45" s="21"/>
      <c r="C45" s="21"/>
      <c r="D45" s="21"/>
      <c r="E45" s="136"/>
      <c r="F45" s="136"/>
      <c r="G45" s="21"/>
      <c r="H45" s="21"/>
      <c r="I45" s="21"/>
      <c r="J45" s="21"/>
      <c r="K45" s="21"/>
      <c r="L45" s="21"/>
      <c r="M45" s="21"/>
      <c r="N45" s="21"/>
      <c r="O45" s="21"/>
      <c r="P45" s="33"/>
      <c r="Q45" s="60"/>
      <c r="R45" s="21"/>
      <c r="S45" s="21"/>
      <c r="T45" s="21"/>
      <c r="U45" s="21"/>
      <c r="V45" s="21"/>
    </row>
    <row r="46">
      <c r="A46" s="21"/>
      <c r="B46" s="21"/>
      <c r="C46" s="21"/>
      <c r="D46" s="21"/>
      <c r="E46" s="136"/>
      <c r="F46" s="136"/>
      <c r="G46" s="21"/>
      <c r="H46" s="21"/>
      <c r="I46" s="21"/>
      <c r="J46" s="21"/>
      <c r="K46" s="21"/>
      <c r="L46" s="21"/>
      <c r="M46" s="21"/>
      <c r="N46" s="21"/>
      <c r="O46" s="21"/>
      <c r="P46" s="33"/>
      <c r="Q46" s="60"/>
      <c r="R46" s="21"/>
      <c r="S46" s="21"/>
      <c r="T46" s="21"/>
      <c r="U46" s="21"/>
      <c r="V46" s="21"/>
    </row>
    <row r="47">
      <c r="A47" s="21"/>
      <c r="B47" s="21"/>
      <c r="C47" s="21"/>
      <c r="D47" s="21"/>
      <c r="E47" s="136"/>
      <c r="F47" s="136"/>
      <c r="G47" s="21"/>
      <c r="H47" s="21"/>
      <c r="I47" s="21"/>
      <c r="J47" s="21"/>
      <c r="K47" s="21"/>
      <c r="L47" s="21"/>
      <c r="M47" s="21"/>
      <c r="N47" s="21"/>
      <c r="O47" s="21"/>
      <c r="P47" s="33"/>
      <c r="Q47" s="60"/>
      <c r="R47" s="21"/>
      <c r="S47" s="21"/>
      <c r="T47" s="21"/>
      <c r="U47" s="21"/>
      <c r="V47" s="21"/>
    </row>
    <row r="48">
      <c r="A48" s="21"/>
      <c r="B48" s="21"/>
      <c r="C48" s="21"/>
      <c r="D48" s="21"/>
      <c r="E48" s="136"/>
      <c r="F48" s="136"/>
      <c r="G48" s="21"/>
      <c r="H48" s="21"/>
      <c r="I48" s="21"/>
      <c r="J48" s="21"/>
      <c r="K48" s="21"/>
      <c r="L48" s="21"/>
      <c r="M48" s="21"/>
      <c r="N48" s="21"/>
      <c r="O48" s="21"/>
      <c r="P48" s="33"/>
      <c r="Q48" s="60"/>
      <c r="R48" s="21"/>
      <c r="S48" s="21"/>
      <c r="T48" s="21"/>
      <c r="U48" s="21"/>
      <c r="V48" s="21"/>
    </row>
    <row r="49">
      <c r="A49" s="21"/>
      <c r="B49" s="21"/>
      <c r="C49" s="21"/>
      <c r="D49" s="21"/>
      <c r="E49" s="136"/>
      <c r="F49" s="136"/>
      <c r="G49" s="21"/>
      <c r="H49" s="21"/>
      <c r="I49" s="21"/>
      <c r="J49" s="21"/>
      <c r="K49" s="21"/>
      <c r="L49" s="21"/>
      <c r="M49" s="21"/>
      <c r="N49" s="21"/>
      <c r="O49" s="21"/>
      <c r="P49" s="33"/>
      <c r="Q49" s="60"/>
      <c r="R49" s="21"/>
      <c r="S49" s="21"/>
      <c r="T49" s="21"/>
      <c r="U49" s="21"/>
      <c r="V49" s="21"/>
    </row>
    <row r="50">
      <c r="A50" s="21"/>
      <c r="B50" s="21"/>
      <c r="C50" s="21"/>
      <c r="D50" s="21"/>
      <c r="E50" s="136"/>
      <c r="F50" s="136"/>
      <c r="G50" s="21"/>
      <c r="H50" s="21"/>
      <c r="I50" s="21"/>
      <c r="J50" s="21"/>
      <c r="K50" s="21"/>
      <c r="L50" s="21"/>
      <c r="M50" s="21"/>
      <c r="N50" s="21"/>
      <c r="O50" s="21"/>
      <c r="P50" s="33"/>
      <c r="Q50" s="21"/>
      <c r="R50" s="21"/>
      <c r="S50" s="21"/>
      <c r="T50" s="21"/>
      <c r="U50" s="21"/>
      <c r="V50" s="21"/>
    </row>
    <row r="51">
      <c r="A51" s="21"/>
      <c r="B51" s="21"/>
      <c r="C51" s="21"/>
      <c r="D51" s="21"/>
      <c r="E51" s="136"/>
      <c r="F51" s="136"/>
      <c r="G51" s="21"/>
      <c r="H51" s="21"/>
      <c r="I51" s="21"/>
      <c r="J51" s="21"/>
      <c r="K51" s="21"/>
      <c r="L51" s="21"/>
      <c r="M51" s="21"/>
      <c r="N51" s="21"/>
      <c r="O51" s="21"/>
      <c r="P51" s="33"/>
      <c r="Q51" s="21"/>
      <c r="R51" s="21"/>
      <c r="S51" s="21"/>
      <c r="T51" s="21"/>
      <c r="U51" s="21"/>
      <c r="V51" s="21"/>
    </row>
    <row r="52">
      <c r="A52" s="21"/>
      <c r="B52" s="21"/>
      <c r="C52" s="21"/>
      <c r="D52" s="21"/>
      <c r="E52" s="136"/>
      <c r="F52" s="136"/>
      <c r="G52" s="21"/>
      <c r="H52" s="21"/>
      <c r="I52" s="21"/>
      <c r="J52" s="21"/>
      <c r="K52" s="21"/>
      <c r="L52" s="21"/>
      <c r="M52" s="21"/>
      <c r="N52" s="21"/>
      <c r="O52" s="21"/>
      <c r="P52" s="33"/>
      <c r="Q52" s="21"/>
      <c r="R52" s="21"/>
      <c r="S52" s="21"/>
      <c r="T52" s="21"/>
      <c r="U52" s="21"/>
      <c r="V52" s="21"/>
    </row>
    <row r="53">
      <c r="A53" s="21"/>
      <c r="B53" s="21"/>
      <c r="C53" s="21"/>
      <c r="D53" s="21"/>
      <c r="E53" s="136"/>
      <c r="F53" s="136"/>
      <c r="G53" s="21"/>
      <c r="H53" s="21"/>
      <c r="I53" s="21"/>
      <c r="J53" s="21"/>
      <c r="K53" s="21"/>
      <c r="L53" s="21"/>
      <c r="M53" s="21"/>
      <c r="N53" s="21"/>
      <c r="O53" s="21"/>
      <c r="P53" s="33"/>
      <c r="Q53" s="21"/>
      <c r="R53" s="21"/>
      <c r="S53" s="21"/>
      <c r="T53" s="21"/>
      <c r="U53" s="21"/>
      <c r="V53" s="21"/>
    </row>
    <row r="54">
      <c r="A54" s="21"/>
      <c r="B54" s="21"/>
      <c r="C54" s="21"/>
      <c r="D54" s="21"/>
      <c r="E54" s="136"/>
      <c r="F54" s="136"/>
      <c r="G54" s="21"/>
      <c r="H54" s="21"/>
      <c r="I54" s="21"/>
      <c r="J54" s="21"/>
      <c r="K54" s="21"/>
      <c r="L54" s="21"/>
      <c r="M54" s="21"/>
      <c r="N54" s="21"/>
      <c r="O54" s="21"/>
      <c r="P54" s="33"/>
      <c r="Q54" s="21"/>
      <c r="R54" s="21"/>
      <c r="S54" s="21"/>
      <c r="T54" s="21"/>
      <c r="U54" s="21"/>
      <c r="V54" s="21"/>
    </row>
    <row r="55">
      <c r="A55" s="21"/>
      <c r="B55" s="21"/>
      <c r="C55" s="21"/>
      <c r="D55" s="21"/>
      <c r="E55" s="136"/>
      <c r="F55" s="136"/>
      <c r="G55" s="21"/>
      <c r="H55" s="21"/>
      <c r="I55" s="21"/>
      <c r="J55" s="21"/>
      <c r="K55" s="21"/>
      <c r="L55" s="21"/>
      <c r="M55" s="21"/>
      <c r="N55" s="21"/>
      <c r="O55" s="21"/>
      <c r="P55" s="33"/>
      <c r="Q55" s="21"/>
      <c r="R55" s="21"/>
      <c r="S55" s="21"/>
      <c r="T55" s="21"/>
      <c r="U55" s="21"/>
      <c r="V55" s="21"/>
    </row>
    <row r="56">
      <c r="A56" s="21"/>
      <c r="B56" s="21"/>
      <c r="C56" s="21"/>
      <c r="D56" s="21"/>
      <c r="E56" s="136"/>
      <c r="F56" s="136"/>
      <c r="G56" s="21"/>
      <c r="H56" s="21"/>
      <c r="I56" s="21"/>
      <c r="J56" s="21"/>
      <c r="K56" s="21"/>
      <c r="L56" s="21"/>
      <c r="M56" s="21"/>
      <c r="N56" s="21"/>
      <c r="O56" s="21"/>
      <c r="P56" s="33"/>
      <c r="Q56" s="21"/>
      <c r="R56" s="21"/>
      <c r="S56" s="21"/>
      <c r="T56" s="21"/>
      <c r="U56" s="21"/>
      <c r="V56" s="21"/>
    </row>
    <row r="57">
      <c r="A57" s="21"/>
      <c r="B57" s="21"/>
      <c r="C57" s="21"/>
      <c r="D57" s="21"/>
      <c r="E57" s="136"/>
      <c r="F57" s="136"/>
      <c r="G57" s="21"/>
      <c r="H57" s="21"/>
      <c r="I57" s="21"/>
      <c r="J57" s="21"/>
      <c r="K57" s="21"/>
      <c r="L57" s="21"/>
      <c r="M57" s="21"/>
      <c r="N57" s="21"/>
      <c r="O57" s="21"/>
      <c r="P57" s="33"/>
      <c r="Q57" s="21"/>
      <c r="R57" s="21"/>
      <c r="S57" s="21"/>
      <c r="T57" s="21"/>
      <c r="U57" s="21"/>
      <c r="V57" s="21"/>
    </row>
    <row r="58">
      <c r="A58" s="21"/>
      <c r="B58" s="21"/>
      <c r="C58" s="21"/>
      <c r="D58" s="21"/>
      <c r="E58" s="136"/>
      <c r="F58" s="136"/>
      <c r="G58" s="21"/>
      <c r="H58" s="21"/>
      <c r="I58" s="21"/>
      <c r="J58" s="21"/>
      <c r="K58" s="21"/>
      <c r="L58" s="21"/>
      <c r="M58" s="21"/>
      <c r="N58" s="21"/>
      <c r="O58" s="21"/>
      <c r="P58" s="33"/>
      <c r="Q58" s="21"/>
      <c r="R58" s="21"/>
      <c r="S58" s="21"/>
      <c r="T58" s="21"/>
      <c r="U58" s="21"/>
      <c r="V58" s="21"/>
    </row>
    <row r="59">
      <c r="A59" s="21"/>
      <c r="B59" s="21"/>
      <c r="C59" s="21"/>
      <c r="D59" s="21"/>
      <c r="E59" s="136"/>
      <c r="F59" s="136"/>
      <c r="G59" s="21"/>
      <c r="H59" s="21"/>
      <c r="I59" s="21"/>
      <c r="J59" s="21"/>
      <c r="K59" s="21"/>
      <c r="L59" s="21"/>
      <c r="M59" s="21"/>
      <c r="N59" s="21"/>
      <c r="O59" s="21"/>
      <c r="P59" s="33"/>
      <c r="Q59" s="21"/>
      <c r="R59" s="21"/>
      <c r="S59" s="21"/>
      <c r="T59" s="21"/>
      <c r="U59" s="21"/>
      <c r="V59" s="21"/>
    </row>
    <row r="60">
      <c r="A60" s="21"/>
      <c r="B60" s="21"/>
      <c r="C60" s="21"/>
      <c r="D60" s="21"/>
      <c r="E60" s="136"/>
      <c r="F60" s="136"/>
      <c r="G60" s="21"/>
      <c r="H60" s="21"/>
      <c r="I60" s="21"/>
      <c r="J60" s="21"/>
      <c r="K60" s="21"/>
      <c r="L60" s="21"/>
      <c r="M60" s="21"/>
      <c r="N60" s="21"/>
      <c r="O60" s="21"/>
      <c r="P60" s="33"/>
      <c r="Q60" s="21"/>
      <c r="R60" s="21"/>
      <c r="S60" s="21"/>
      <c r="T60" s="21"/>
      <c r="U60" s="21"/>
      <c r="V60" s="21"/>
    </row>
    <row r="61">
      <c r="A61" s="21"/>
      <c r="B61" s="21"/>
      <c r="C61" s="21"/>
      <c r="D61" s="21"/>
      <c r="E61" s="136"/>
      <c r="F61" s="136"/>
      <c r="G61" s="21"/>
      <c r="H61" s="21"/>
      <c r="I61" s="21"/>
      <c r="J61" s="21"/>
      <c r="K61" s="21"/>
      <c r="L61" s="21"/>
      <c r="M61" s="21"/>
      <c r="N61" s="21"/>
      <c r="O61" s="21"/>
      <c r="P61" s="33"/>
      <c r="Q61" s="21"/>
      <c r="R61" s="21"/>
      <c r="S61" s="21"/>
      <c r="T61" s="21"/>
      <c r="U61" s="21"/>
      <c r="V61" s="21"/>
    </row>
    <row r="62">
      <c r="A62" s="21"/>
      <c r="B62" s="21"/>
      <c r="C62" s="21"/>
      <c r="D62" s="21"/>
      <c r="E62" s="136"/>
      <c r="F62" s="136"/>
      <c r="G62" s="21"/>
      <c r="H62" s="21"/>
      <c r="I62" s="21"/>
      <c r="J62" s="21"/>
      <c r="K62" s="21"/>
      <c r="L62" s="21"/>
      <c r="M62" s="21"/>
      <c r="N62" s="21"/>
      <c r="O62" s="21"/>
      <c r="P62" s="33"/>
      <c r="Q62" s="21"/>
      <c r="R62" s="21"/>
      <c r="S62" s="21"/>
      <c r="T62" s="21"/>
      <c r="U62" s="21"/>
      <c r="V62" s="21"/>
    </row>
    <row r="63">
      <c r="A63" s="21"/>
      <c r="B63" s="21"/>
      <c r="C63" s="21"/>
      <c r="D63" s="21"/>
      <c r="E63" s="136"/>
      <c r="F63" s="136"/>
      <c r="G63" s="21"/>
      <c r="H63" s="21"/>
      <c r="I63" s="21"/>
      <c r="J63" s="21"/>
      <c r="K63" s="21"/>
      <c r="L63" s="21"/>
      <c r="M63" s="21"/>
      <c r="N63" s="21"/>
      <c r="O63" s="21"/>
      <c r="P63" s="33"/>
      <c r="Q63" s="21"/>
      <c r="R63" s="21"/>
      <c r="S63" s="21"/>
      <c r="T63" s="21"/>
      <c r="U63" s="21"/>
      <c r="V63" s="21"/>
    </row>
    <row r="64">
      <c r="A64" s="21"/>
      <c r="B64" s="21"/>
      <c r="C64" s="21"/>
      <c r="D64" s="21"/>
      <c r="E64" s="136"/>
      <c r="F64" s="136"/>
      <c r="G64" s="21"/>
      <c r="H64" s="21"/>
      <c r="I64" s="21"/>
      <c r="J64" s="21"/>
      <c r="K64" s="21"/>
      <c r="L64" s="21"/>
      <c r="M64" s="21"/>
      <c r="N64" s="21"/>
      <c r="O64" s="21"/>
      <c r="P64" s="33"/>
      <c r="Q64" s="21"/>
      <c r="R64" s="21"/>
      <c r="S64" s="21"/>
      <c r="T64" s="21"/>
      <c r="U64" s="21"/>
      <c r="V64" s="21"/>
    </row>
    <row r="65">
      <c r="A65" s="21"/>
      <c r="B65" s="21"/>
      <c r="C65" s="21"/>
      <c r="D65" s="21"/>
      <c r="E65" s="136"/>
      <c r="F65" s="136"/>
      <c r="G65" s="21"/>
      <c r="H65" s="21"/>
      <c r="I65" s="21"/>
      <c r="J65" s="21"/>
      <c r="K65" s="21"/>
      <c r="L65" s="21"/>
      <c r="M65" s="21"/>
      <c r="N65" s="21"/>
      <c r="O65" s="21"/>
      <c r="P65" s="33"/>
      <c r="Q65" s="21"/>
      <c r="R65" s="21"/>
      <c r="S65" s="21"/>
      <c r="T65" s="21"/>
      <c r="U65" s="21"/>
      <c r="V65" s="21"/>
    </row>
    <row r="66">
      <c r="A66" s="21"/>
      <c r="B66" s="21"/>
      <c r="C66" s="21"/>
      <c r="D66" s="21"/>
      <c r="E66" s="136"/>
      <c r="F66" s="136"/>
      <c r="G66" s="21"/>
      <c r="H66" s="21"/>
      <c r="I66" s="21"/>
      <c r="J66" s="21"/>
      <c r="K66" s="21"/>
      <c r="L66" s="21"/>
      <c r="M66" s="21"/>
      <c r="N66" s="21"/>
      <c r="O66" s="21"/>
      <c r="P66" s="33"/>
      <c r="Q66" s="21"/>
      <c r="R66" s="21"/>
      <c r="S66" s="21"/>
      <c r="T66" s="21"/>
      <c r="U66" s="21"/>
      <c r="V66" s="21"/>
    </row>
    <row r="67">
      <c r="A67" s="21"/>
      <c r="B67" s="21"/>
      <c r="C67" s="21"/>
      <c r="D67" s="21"/>
      <c r="E67" s="136"/>
      <c r="F67" s="136"/>
      <c r="G67" s="21"/>
      <c r="H67" s="21"/>
      <c r="I67" s="21"/>
      <c r="J67" s="21"/>
      <c r="K67" s="21"/>
      <c r="L67" s="21"/>
      <c r="M67" s="21"/>
      <c r="N67" s="21"/>
      <c r="O67" s="21"/>
      <c r="P67" s="33"/>
      <c r="Q67" s="21"/>
      <c r="R67" s="21"/>
      <c r="S67" s="21"/>
      <c r="T67" s="21"/>
      <c r="U67" s="21"/>
      <c r="V67" s="21"/>
    </row>
    <row r="68">
      <c r="A68" s="21"/>
      <c r="B68" s="21"/>
      <c r="C68" s="21"/>
      <c r="D68" s="21"/>
      <c r="E68" s="136"/>
      <c r="F68" s="136"/>
      <c r="G68" s="21"/>
      <c r="H68" s="21"/>
      <c r="I68" s="21"/>
      <c r="J68" s="21"/>
      <c r="K68" s="21"/>
      <c r="L68" s="21"/>
      <c r="M68" s="21"/>
      <c r="N68" s="21"/>
      <c r="O68" s="21"/>
      <c r="P68" s="33"/>
      <c r="Q68" s="21"/>
      <c r="R68" s="21"/>
      <c r="S68" s="21"/>
      <c r="T68" s="21"/>
      <c r="U68" s="21"/>
      <c r="V68" s="21"/>
    </row>
    <row r="69">
      <c r="A69" s="21"/>
      <c r="B69" s="21"/>
      <c r="C69" s="21"/>
      <c r="D69" s="21"/>
      <c r="E69" s="136"/>
      <c r="F69" s="136"/>
      <c r="G69" s="21"/>
      <c r="H69" s="21"/>
      <c r="I69" s="21"/>
      <c r="J69" s="21"/>
      <c r="K69" s="21"/>
      <c r="L69" s="21"/>
      <c r="M69" s="21"/>
      <c r="N69" s="21"/>
      <c r="O69" s="21"/>
      <c r="P69" s="33"/>
      <c r="Q69" s="21"/>
      <c r="R69" s="21"/>
      <c r="S69" s="21"/>
      <c r="T69" s="21"/>
      <c r="U69" s="21"/>
      <c r="V69" s="21"/>
    </row>
    <row r="70">
      <c r="A70" s="21"/>
      <c r="B70" s="21"/>
      <c r="C70" s="21"/>
      <c r="D70" s="21"/>
      <c r="E70" s="136"/>
      <c r="F70" s="136"/>
      <c r="G70" s="21"/>
      <c r="H70" s="21"/>
      <c r="I70" s="21"/>
      <c r="J70" s="21"/>
      <c r="K70" s="21"/>
      <c r="L70" s="21"/>
      <c r="M70" s="21"/>
      <c r="N70" s="21"/>
      <c r="O70" s="21"/>
      <c r="P70" s="33"/>
      <c r="Q70" s="21"/>
      <c r="R70" s="21"/>
      <c r="S70" s="21"/>
      <c r="T70" s="21"/>
      <c r="U70" s="21"/>
      <c r="V70" s="21"/>
    </row>
    <row r="71">
      <c r="A71" s="21"/>
      <c r="B71" s="21"/>
      <c r="C71" s="21"/>
      <c r="D71" s="21"/>
      <c r="E71" s="136"/>
      <c r="F71" s="136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</row>
    <row r="72">
      <c r="A72" s="21"/>
      <c r="B72" s="21"/>
      <c r="C72" s="21"/>
      <c r="D72" s="21"/>
      <c r="E72" s="136"/>
      <c r="F72" s="136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</row>
    <row r="73">
      <c r="A73" s="21"/>
      <c r="B73" s="21"/>
      <c r="C73" s="21"/>
      <c r="D73" s="21"/>
      <c r="E73" s="136"/>
      <c r="F73" s="136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</row>
    <row r="74">
      <c r="A74" s="21"/>
      <c r="B74" s="21"/>
      <c r="C74" s="21"/>
      <c r="D74" s="21"/>
      <c r="E74" s="136"/>
      <c r="F74" s="136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</row>
    <row r="75">
      <c r="A75" s="21"/>
      <c r="B75" s="21"/>
      <c r="C75" s="21"/>
      <c r="D75" s="21"/>
      <c r="E75" s="136"/>
      <c r="F75" s="136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</row>
    <row r="76">
      <c r="A76" s="21"/>
      <c r="B76" s="21"/>
      <c r="C76" s="21"/>
      <c r="D76" s="21"/>
      <c r="E76" s="136"/>
      <c r="F76" s="136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</row>
    <row r="77">
      <c r="A77" s="21"/>
      <c r="B77" s="21"/>
      <c r="C77" s="21"/>
      <c r="D77" s="21"/>
      <c r="E77" s="136"/>
      <c r="F77" s="136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</row>
    <row r="78">
      <c r="A78" s="21"/>
      <c r="B78" s="21"/>
      <c r="C78" s="21"/>
      <c r="D78" s="21"/>
      <c r="E78" s="136"/>
      <c r="F78" s="136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</row>
    <row r="79">
      <c r="A79" s="21"/>
      <c r="B79" s="21"/>
      <c r="C79" s="21"/>
      <c r="D79" s="21"/>
      <c r="E79" s="136"/>
      <c r="F79" s="136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</row>
    <row r="80">
      <c r="A80" s="21"/>
      <c r="B80" s="21"/>
      <c r="C80" s="21"/>
      <c r="D80" s="21"/>
      <c r="E80" s="136"/>
      <c r="F80" s="136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</row>
    <row r="81">
      <c r="A81" s="21"/>
      <c r="B81" s="21"/>
      <c r="C81" s="21"/>
      <c r="D81" s="21"/>
      <c r="E81" s="136"/>
      <c r="F81" s="136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</row>
    <row r="82">
      <c r="A82" s="21"/>
      <c r="B82" s="21"/>
      <c r="C82" s="21"/>
      <c r="D82" s="21"/>
      <c r="E82" s="136"/>
      <c r="F82" s="136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</row>
    <row r="83">
      <c r="A83" s="21"/>
      <c r="B83" s="21"/>
      <c r="C83" s="21"/>
      <c r="D83" s="21"/>
      <c r="E83" s="136"/>
      <c r="F83" s="136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</row>
    <row r="84">
      <c r="A84" s="21"/>
      <c r="B84" s="21"/>
      <c r="C84" s="21"/>
      <c r="D84" s="21"/>
      <c r="E84" s="136"/>
      <c r="F84" s="136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</row>
    <row r="85">
      <c r="A85" s="21"/>
      <c r="B85" s="21"/>
      <c r="C85" s="21"/>
      <c r="D85" s="21"/>
      <c r="E85" s="136"/>
      <c r="F85" s="136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</row>
    <row r="86">
      <c r="A86" s="21"/>
      <c r="B86" s="21"/>
      <c r="C86" s="21"/>
      <c r="D86" s="21"/>
      <c r="E86" s="136"/>
      <c r="F86" s="136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</row>
    <row r="87">
      <c r="A87" s="21"/>
      <c r="B87" s="21"/>
      <c r="C87" s="21"/>
      <c r="D87" s="21"/>
      <c r="E87" s="136"/>
      <c r="F87" s="136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</row>
    <row r="88">
      <c r="A88" s="21"/>
      <c r="B88" s="21"/>
      <c r="C88" s="21"/>
      <c r="D88" s="21"/>
      <c r="E88" s="136"/>
      <c r="F88" s="136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</row>
    <row r="89">
      <c r="A89" s="21"/>
      <c r="B89" s="21"/>
      <c r="C89" s="21"/>
      <c r="D89" s="21"/>
      <c r="E89" s="136"/>
      <c r="F89" s="136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</row>
    <row r="90">
      <c r="A90" s="21"/>
      <c r="B90" s="21"/>
      <c r="C90" s="21"/>
      <c r="D90" s="21"/>
      <c r="E90" s="136"/>
      <c r="F90" s="136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>
      <c r="A91" s="21"/>
      <c r="B91" s="21"/>
      <c r="C91" s="21"/>
      <c r="D91" s="21"/>
      <c r="E91" s="136"/>
      <c r="F91" s="136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</row>
    <row r="92">
      <c r="A92" s="21"/>
      <c r="B92" s="21"/>
      <c r="C92" s="21"/>
      <c r="D92" s="21"/>
      <c r="E92" s="136"/>
      <c r="F92" s="136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</row>
    <row r="93">
      <c r="A93" s="21"/>
      <c r="B93" s="21"/>
      <c r="C93" s="21"/>
      <c r="D93" s="21"/>
      <c r="E93" s="136"/>
      <c r="F93" s="136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</row>
    <row r="94">
      <c r="A94" s="21"/>
      <c r="B94" s="21"/>
      <c r="C94" s="21"/>
      <c r="D94" s="21"/>
      <c r="E94" s="136"/>
      <c r="F94" s="136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>
      <c r="A95" s="21"/>
      <c r="B95" s="21"/>
      <c r="C95" s="21"/>
      <c r="D95" s="21"/>
      <c r="E95" s="136"/>
      <c r="F95" s="136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>
      <c r="A96" s="21"/>
      <c r="B96" s="21"/>
      <c r="C96" s="21"/>
      <c r="D96" s="21"/>
      <c r="E96" s="136"/>
      <c r="F96" s="136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>
      <c r="A97" s="21"/>
      <c r="B97" s="21"/>
      <c r="C97" s="21"/>
      <c r="D97" s="21"/>
      <c r="E97" s="136"/>
      <c r="F97" s="136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>
      <c r="A98" s="21"/>
      <c r="B98" s="21"/>
      <c r="C98" s="21"/>
      <c r="D98" s="21"/>
      <c r="E98" s="136"/>
      <c r="F98" s="136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>
      <c r="A99" s="21"/>
      <c r="B99" s="21"/>
      <c r="C99" s="21"/>
      <c r="D99" s="21"/>
      <c r="E99" s="136"/>
      <c r="F99" s="136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>
      <c r="A100" s="21"/>
      <c r="B100" s="21"/>
      <c r="C100" s="21"/>
      <c r="D100" s="21"/>
      <c r="E100" s="136"/>
      <c r="F100" s="136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>
      <c r="A101" s="21"/>
      <c r="B101" s="21"/>
      <c r="C101" s="21"/>
      <c r="D101" s="21"/>
      <c r="E101" s="136"/>
      <c r="F101" s="136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>
      <c r="A102" s="21"/>
      <c r="B102" s="21"/>
      <c r="C102" s="21"/>
      <c r="D102" s="21"/>
      <c r="E102" s="136"/>
      <c r="F102" s="136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  <row r="103">
      <c r="A103" s="21"/>
      <c r="B103" s="21"/>
      <c r="C103" s="21"/>
      <c r="D103" s="21"/>
      <c r="E103" s="136"/>
      <c r="F103" s="136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</row>
    <row r="104">
      <c r="A104" s="21"/>
      <c r="B104" s="21"/>
      <c r="C104" s="21"/>
      <c r="D104" s="21"/>
      <c r="E104" s="136"/>
      <c r="F104" s="136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</row>
    <row r="105">
      <c r="A105" s="21"/>
      <c r="B105" s="21"/>
      <c r="C105" s="21"/>
      <c r="D105" s="21"/>
      <c r="E105" s="136"/>
      <c r="F105" s="136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</row>
    <row r="106">
      <c r="A106" s="21"/>
      <c r="B106" s="21"/>
      <c r="C106" s="21"/>
      <c r="D106" s="21"/>
      <c r="E106" s="136"/>
      <c r="F106" s="136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</row>
    <row r="107">
      <c r="A107" s="21"/>
      <c r="B107" s="21"/>
      <c r="C107" s="21"/>
      <c r="D107" s="21"/>
      <c r="E107" s="136"/>
      <c r="F107" s="136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</row>
    <row r="108">
      <c r="A108" s="21"/>
      <c r="B108" s="21"/>
      <c r="C108" s="21"/>
      <c r="D108" s="21"/>
      <c r="E108" s="136"/>
      <c r="F108" s="136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</row>
    <row r="109">
      <c r="A109" s="21"/>
      <c r="B109" s="21"/>
      <c r="C109" s="21"/>
      <c r="D109" s="21"/>
      <c r="E109" s="136"/>
      <c r="F109" s="136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</row>
    <row r="110">
      <c r="A110" s="21"/>
      <c r="B110" s="21"/>
      <c r="C110" s="21"/>
      <c r="D110" s="21"/>
      <c r="E110" s="136"/>
      <c r="F110" s="136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</row>
    <row r="111">
      <c r="A111" s="21"/>
      <c r="B111" s="21"/>
      <c r="C111" s="21"/>
      <c r="D111" s="21"/>
      <c r="E111" s="136"/>
      <c r="F111" s="136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</row>
    <row r="112">
      <c r="A112" s="21"/>
      <c r="B112" s="21"/>
      <c r="C112" s="21"/>
      <c r="D112" s="21"/>
      <c r="E112" s="136"/>
      <c r="F112" s="136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</row>
    <row r="113">
      <c r="A113" s="21"/>
      <c r="B113" s="21"/>
      <c r="C113" s="21"/>
      <c r="D113" s="21"/>
      <c r="E113" s="136"/>
      <c r="F113" s="136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</row>
    <row r="114">
      <c r="A114" s="21"/>
      <c r="B114" s="21"/>
      <c r="C114" s="21"/>
      <c r="D114" s="21"/>
      <c r="E114" s="136"/>
      <c r="F114" s="136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</row>
    <row r="115">
      <c r="A115" s="21"/>
      <c r="B115" s="21"/>
      <c r="C115" s="21"/>
      <c r="D115" s="21"/>
      <c r="E115" s="136"/>
      <c r="F115" s="136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</row>
    <row r="116">
      <c r="A116" s="21"/>
      <c r="B116" s="21"/>
      <c r="C116" s="21"/>
      <c r="D116" s="21"/>
      <c r="E116" s="136"/>
      <c r="F116" s="136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</row>
    <row r="117">
      <c r="A117" s="21"/>
      <c r="B117" s="21"/>
      <c r="C117" s="21"/>
      <c r="D117" s="21"/>
      <c r="E117" s="136"/>
      <c r="F117" s="136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</row>
    <row r="118">
      <c r="A118" s="21"/>
      <c r="B118" s="21"/>
      <c r="C118" s="21"/>
      <c r="D118" s="21"/>
      <c r="E118" s="136"/>
      <c r="F118" s="136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</row>
    <row r="119">
      <c r="A119" s="21"/>
      <c r="B119" s="21"/>
      <c r="C119" s="21"/>
      <c r="D119" s="21"/>
      <c r="E119" s="136"/>
      <c r="F119" s="136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</row>
    <row r="120">
      <c r="A120" s="21"/>
      <c r="B120" s="21"/>
      <c r="C120" s="21"/>
      <c r="D120" s="21"/>
      <c r="E120" s="136"/>
      <c r="F120" s="136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</row>
    <row r="121">
      <c r="A121" s="21"/>
      <c r="B121" s="21"/>
      <c r="C121" s="21"/>
      <c r="D121" s="21"/>
      <c r="E121" s="136"/>
      <c r="F121" s="136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</row>
    <row r="122">
      <c r="A122" s="21"/>
      <c r="B122" s="21"/>
      <c r="C122" s="21"/>
      <c r="D122" s="21"/>
      <c r="E122" s="136"/>
      <c r="F122" s="136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</row>
    <row r="123">
      <c r="A123" s="21"/>
      <c r="B123" s="21"/>
      <c r="C123" s="21"/>
      <c r="D123" s="21"/>
      <c r="E123" s="136"/>
      <c r="F123" s="136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</row>
    <row r="124">
      <c r="A124" s="21"/>
      <c r="B124" s="21"/>
      <c r="C124" s="21"/>
      <c r="D124" s="21"/>
      <c r="E124" s="136"/>
      <c r="F124" s="136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</row>
    <row r="125">
      <c r="A125" s="21"/>
      <c r="B125" s="21"/>
      <c r="C125" s="21"/>
      <c r="D125" s="21"/>
      <c r="E125" s="136"/>
      <c r="F125" s="136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</row>
    <row r="126">
      <c r="A126" s="21"/>
      <c r="B126" s="21"/>
      <c r="C126" s="21"/>
      <c r="D126" s="21"/>
      <c r="E126" s="136"/>
      <c r="F126" s="136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</row>
    <row r="127">
      <c r="A127" s="21"/>
      <c r="B127" s="21"/>
      <c r="C127" s="21"/>
      <c r="D127" s="21"/>
      <c r="E127" s="136"/>
      <c r="F127" s="136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</row>
    <row r="128">
      <c r="A128" s="21"/>
      <c r="B128" s="21"/>
      <c r="C128" s="21"/>
      <c r="D128" s="21"/>
      <c r="E128" s="136"/>
      <c r="F128" s="136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</row>
    <row r="129">
      <c r="A129" s="21"/>
      <c r="B129" s="21"/>
      <c r="C129" s="21"/>
      <c r="D129" s="21"/>
      <c r="E129" s="136"/>
      <c r="F129" s="136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</row>
    <row r="130">
      <c r="A130" s="21"/>
      <c r="B130" s="21"/>
      <c r="C130" s="21"/>
      <c r="D130" s="21"/>
      <c r="E130" s="136"/>
      <c r="F130" s="136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</row>
    <row r="131">
      <c r="A131" s="21"/>
      <c r="B131" s="21"/>
      <c r="C131" s="21"/>
      <c r="D131" s="21"/>
      <c r="E131" s="136"/>
      <c r="F131" s="136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</row>
    <row r="132">
      <c r="A132" s="21"/>
      <c r="B132" s="21"/>
      <c r="C132" s="21"/>
      <c r="D132" s="21"/>
      <c r="E132" s="136"/>
      <c r="F132" s="136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</row>
    <row r="133">
      <c r="A133" s="21"/>
      <c r="B133" s="21"/>
      <c r="C133" s="21"/>
      <c r="D133" s="21"/>
      <c r="E133" s="136"/>
      <c r="F133" s="136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</row>
    <row r="134">
      <c r="A134" s="21"/>
      <c r="B134" s="21"/>
      <c r="C134" s="21"/>
      <c r="D134" s="21"/>
      <c r="E134" s="136"/>
      <c r="F134" s="136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</row>
    <row r="135">
      <c r="A135" s="21"/>
      <c r="B135" s="21"/>
      <c r="C135" s="21"/>
      <c r="D135" s="21"/>
      <c r="E135" s="136"/>
      <c r="F135" s="136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</row>
    <row r="136">
      <c r="A136" s="21"/>
      <c r="B136" s="21"/>
      <c r="C136" s="21"/>
      <c r="D136" s="21"/>
      <c r="E136" s="136"/>
      <c r="F136" s="136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</row>
    <row r="137">
      <c r="A137" s="21"/>
      <c r="B137" s="21"/>
      <c r="C137" s="21"/>
      <c r="D137" s="21"/>
      <c r="E137" s="136"/>
      <c r="F137" s="136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</row>
    <row r="138">
      <c r="A138" s="21"/>
      <c r="B138" s="21"/>
      <c r="C138" s="21"/>
      <c r="D138" s="21"/>
      <c r="E138" s="136"/>
      <c r="F138" s="136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</row>
    <row r="139">
      <c r="A139" s="21"/>
      <c r="B139" s="21"/>
      <c r="C139" s="21"/>
      <c r="D139" s="21"/>
      <c r="E139" s="136"/>
      <c r="F139" s="136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</row>
    <row r="140">
      <c r="A140" s="21"/>
      <c r="B140" s="21"/>
      <c r="C140" s="21"/>
      <c r="D140" s="21"/>
      <c r="E140" s="136"/>
      <c r="F140" s="136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</row>
    <row r="141">
      <c r="A141" s="21"/>
      <c r="B141" s="21"/>
      <c r="C141" s="21"/>
      <c r="D141" s="21"/>
      <c r="E141" s="136"/>
      <c r="F141" s="136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</row>
    <row r="142">
      <c r="A142" s="21"/>
      <c r="B142" s="21"/>
      <c r="C142" s="21"/>
      <c r="D142" s="21"/>
      <c r="E142" s="136"/>
      <c r="F142" s="136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</row>
    <row r="143">
      <c r="A143" s="21"/>
      <c r="B143" s="21"/>
      <c r="C143" s="21"/>
      <c r="D143" s="21"/>
      <c r="E143" s="136"/>
      <c r="F143" s="136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</row>
    <row r="144">
      <c r="A144" s="21"/>
      <c r="B144" s="21"/>
      <c r="C144" s="21"/>
      <c r="D144" s="21"/>
      <c r="E144" s="136"/>
      <c r="F144" s="136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</row>
    <row r="145">
      <c r="A145" s="21"/>
      <c r="B145" s="21"/>
      <c r="C145" s="21"/>
      <c r="D145" s="21"/>
      <c r="E145" s="136"/>
      <c r="F145" s="136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</row>
    <row r="146">
      <c r="A146" s="21"/>
      <c r="B146" s="21"/>
      <c r="C146" s="21"/>
      <c r="D146" s="21"/>
      <c r="E146" s="136"/>
      <c r="F146" s="136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</row>
    <row r="147">
      <c r="A147" s="21"/>
      <c r="B147" s="21"/>
      <c r="C147" s="21"/>
      <c r="D147" s="21"/>
      <c r="E147" s="136"/>
      <c r="F147" s="136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</row>
    <row r="148">
      <c r="A148" s="21"/>
      <c r="B148" s="21"/>
      <c r="C148" s="21"/>
      <c r="D148" s="21"/>
      <c r="E148" s="136"/>
      <c r="F148" s="136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</row>
    <row r="149">
      <c r="A149" s="21"/>
      <c r="B149" s="21"/>
      <c r="C149" s="21"/>
      <c r="D149" s="21"/>
      <c r="E149" s="136"/>
      <c r="F149" s="136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</row>
    <row r="150">
      <c r="A150" s="21"/>
      <c r="B150" s="21"/>
      <c r="C150" s="21"/>
      <c r="D150" s="21"/>
      <c r="E150" s="136"/>
      <c r="F150" s="136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</row>
    <row r="151">
      <c r="A151" s="21"/>
      <c r="B151" s="21"/>
      <c r="C151" s="21"/>
      <c r="D151" s="21"/>
      <c r="E151" s="136"/>
      <c r="F151" s="136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</row>
    <row r="152">
      <c r="A152" s="21"/>
      <c r="B152" s="21"/>
      <c r="C152" s="21"/>
      <c r="D152" s="21"/>
      <c r="E152" s="136"/>
      <c r="F152" s="136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</row>
    <row r="153">
      <c r="A153" s="21"/>
      <c r="B153" s="21"/>
      <c r="C153" s="21"/>
      <c r="D153" s="21"/>
      <c r="E153" s="136"/>
      <c r="F153" s="136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</row>
    <row r="154">
      <c r="A154" s="21"/>
      <c r="B154" s="21"/>
      <c r="C154" s="21"/>
      <c r="D154" s="21"/>
      <c r="E154" s="136"/>
      <c r="F154" s="136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</row>
    <row r="155">
      <c r="A155" s="21"/>
      <c r="B155" s="21"/>
      <c r="C155" s="21"/>
      <c r="D155" s="21"/>
      <c r="E155" s="136"/>
      <c r="F155" s="136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</row>
    <row r="156">
      <c r="A156" s="21"/>
      <c r="B156" s="21"/>
      <c r="C156" s="21"/>
      <c r="D156" s="21"/>
      <c r="E156" s="136"/>
      <c r="F156" s="136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</row>
    <row r="157">
      <c r="A157" s="21"/>
      <c r="B157" s="21"/>
      <c r="C157" s="21"/>
      <c r="D157" s="21"/>
      <c r="E157" s="136"/>
      <c r="F157" s="136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</row>
    <row r="158">
      <c r="A158" s="21"/>
      <c r="B158" s="21"/>
      <c r="C158" s="21"/>
      <c r="D158" s="21"/>
      <c r="E158" s="136"/>
      <c r="F158" s="136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</row>
    <row r="159">
      <c r="A159" s="21"/>
      <c r="B159" s="21"/>
      <c r="C159" s="21"/>
      <c r="D159" s="21"/>
      <c r="E159" s="136"/>
      <c r="F159" s="136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</row>
    <row r="160">
      <c r="A160" s="21"/>
      <c r="B160" s="21"/>
      <c r="C160" s="21"/>
      <c r="D160" s="21"/>
      <c r="E160" s="136"/>
      <c r="F160" s="136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</row>
    <row r="161">
      <c r="A161" s="21"/>
      <c r="B161" s="21"/>
      <c r="C161" s="21"/>
      <c r="D161" s="21"/>
      <c r="E161" s="136"/>
      <c r="F161" s="136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</row>
    <row r="162">
      <c r="A162" s="21"/>
      <c r="B162" s="21"/>
      <c r="C162" s="21"/>
      <c r="D162" s="21"/>
      <c r="E162" s="136"/>
      <c r="F162" s="136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</row>
    <row r="163">
      <c r="A163" s="21"/>
      <c r="B163" s="21"/>
      <c r="C163" s="21"/>
      <c r="D163" s="21"/>
      <c r="E163" s="136"/>
      <c r="F163" s="136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</row>
    <row r="164">
      <c r="A164" s="21"/>
      <c r="B164" s="21"/>
      <c r="C164" s="21"/>
      <c r="D164" s="21"/>
      <c r="E164" s="136"/>
      <c r="F164" s="136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</row>
    <row r="165">
      <c r="A165" s="21"/>
      <c r="B165" s="21"/>
      <c r="C165" s="21"/>
      <c r="D165" s="21"/>
      <c r="E165" s="136"/>
      <c r="F165" s="136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</row>
    <row r="166">
      <c r="A166" s="21"/>
      <c r="B166" s="21"/>
      <c r="C166" s="21"/>
      <c r="D166" s="21"/>
      <c r="E166" s="136"/>
      <c r="F166" s="136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</row>
    <row r="167">
      <c r="A167" s="21"/>
      <c r="B167" s="21"/>
      <c r="C167" s="21"/>
      <c r="D167" s="21"/>
      <c r="E167" s="136"/>
      <c r="F167" s="136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</row>
    <row r="168">
      <c r="A168" s="21"/>
      <c r="B168" s="21"/>
      <c r="C168" s="21"/>
      <c r="D168" s="21"/>
      <c r="E168" s="136"/>
      <c r="F168" s="136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</row>
    <row r="169">
      <c r="A169" s="21"/>
      <c r="B169" s="21"/>
      <c r="C169" s="21"/>
      <c r="D169" s="21"/>
      <c r="E169" s="136"/>
      <c r="F169" s="136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</row>
    <row r="170">
      <c r="A170" s="21"/>
      <c r="B170" s="21"/>
      <c r="C170" s="21"/>
      <c r="D170" s="21"/>
      <c r="E170" s="136"/>
      <c r="F170" s="136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</row>
    <row r="171">
      <c r="A171" s="21"/>
      <c r="B171" s="21"/>
      <c r="C171" s="21"/>
      <c r="D171" s="21"/>
      <c r="E171" s="136"/>
      <c r="F171" s="136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</row>
    <row r="172">
      <c r="A172" s="21"/>
      <c r="B172" s="21"/>
      <c r="C172" s="21"/>
      <c r="D172" s="21"/>
      <c r="E172" s="136"/>
      <c r="F172" s="136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</row>
    <row r="173">
      <c r="A173" s="21"/>
      <c r="B173" s="21"/>
      <c r="C173" s="21"/>
      <c r="D173" s="21"/>
      <c r="E173" s="136"/>
      <c r="F173" s="136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</row>
    <row r="174">
      <c r="A174" s="21"/>
      <c r="B174" s="21"/>
      <c r="C174" s="21"/>
      <c r="D174" s="21"/>
      <c r="E174" s="136"/>
      <c r="F174" s="136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</row>
    <row r="175">
      <c r="A175" s="21"/>
      <c r="B175" s="21"/>
      <c r="C175" s="21"/>
      <c r="D175" s="21"/>
      <c r="E175" s="136"/>
      <c r="F175" s="136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</row>
    <row r="176">
      <c r="A176" s="21"/>
      <c r="B176" s="21"/>
      <c r="C176" s="21"/>
      <c r="D176" s="21"/>
      <c r="E176" s="136"/>
      <c r="F176" s="136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</row>
    <row r="177">
      <c r="A177" s="21"/>
      <c r="B177" s="21"/>
      <c r="C177" s="21"/>
      <c r="D177" s="21"/>
      <c r="E177" s="136"/>
      <c r="F177" s="136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</row>
    <row r="178">
      <c r="A178" s="21"/>
      <c r="B178" s="21"/>
      <c r="C178" s="21"/>
      <c r="D178" s="21"/>
      <c r="E178" s="136"/>
      <c r="F178" s="136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</row>
    <row r="179">
      <c r="A179" s="21"/>
      <c r="B179" s="21"/>
      <c r="C179" s="21"/>
      <c r="D179" s="21"/>
      <c r="E179" s="136"/>
      <c r="F179" s="136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</row>
    <row r="180">
      <c r="A180" s="21"/>
      <c r="B180" s="21"/>
      <c r="C180" s="21"/>
      <c r="D180" s="21"/>
      <c r="E180" s="136"/>
      <c r="F180" s="136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</row>
    <row r="181">
      <c r="A181" s="21"/>
      <c r="B181" s="21"/>
      <c r="C181" s="21"/>
      <c r="D181" s="21"/>
      <c r="E181" s="136"/>
      <c r="F181" s="136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</row>
    <row r="182">
      <c r="A182" s="21"/>
      <c r="B182" s="21"/>
      <c r="C182" s="21"/>
      <c r="D182" s="21"/>
      <c r="E182" s="136"/>
      <c r="F182" s="136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</row>
    <row r="183">
      <c r="A183" s="21"/>
      <c r="B183" s="21"/>
      <c r="C183" s="21"/>
      <c r="D183" s="21"/>
      <c r="E183" s="136"/>
      <c r="F183" s="136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</row>
    <row r="184">
      <c r="A184" s="21"/>
      <c r="B184" s="21"/>
      <c r="C184" s="21"/>
      <c r="D184" s="21"/>
      <c r="E184" s="136"/>
      <c r="F184" s="136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</row>
    <row r="185">
      <c r="A185" s="21"/>
      <c r="B185" s="21"/>
      <c r="C185" s="21"/>
      <c r="D185" s="21"/>
      <c r="E185" s="136"/>
      <c r="F185" s="136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</row>
    <row r="186">
      <c r="A186" s="21"/>
      <c r="B186" s="21"/>
      <c r="C186" s="21"/>
      <c r="D186" s="21"/>
      <c r="E186" s="136"/>
      <c r="F186" s="136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</row>
    <row r="187">
      <c r="A187" s="21"/>
      <c r="B187" s="21"/>
      <c r="C187" s="21"/>
      <c r="D187" s="21"/>
      <c r="E187" s="136"/>
      <c r="F187" s="136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</row>
    <row r="188">
      <c r="A188" s="21"/>
      <c r="B188" s="21"/>
      <c r="C188" s="21"/>
      <c r="D188" s="21"/>
      <c r="E188" s="136"/>
      <c r="F188" s="136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</row>
    <row r="189">
      <c r="A189" s="21"/>
      <c r="B189" s="21"/>
      <c r="C189" s="21"/>
      <c r="D189" s="21"/>
      <c r="E189" s="136"/>
      <c r="F189" s="136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</row>
    <row r="190">
      <c r="A190" s="21"/>
      <c r="B190" s="21"/>
      <c r="C190" s="21"/>
      <c r="D190" s="21"/>
      <c r="E190" s="136"/>
      <c r="F190" s="136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</row>
    <row r="191">
      <c r="A191" s="21"/>
      <c r="B191" s="21"/>
      <c r="C191" s="21"/>
      <c r="D191" s="21"/>
      <c r="E191" s="136"/>
      <c r="F191" s="136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</row>
    <row r="192">
      <c r="A192" s="21"/>
      <c r="B192" s="21"/>
      <c r="C192" s="21"/>
      <c r="D192" s="21"/>
      <c r="E192" s="136"/>
      <c r="F192" s="136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</row>
    <row r="193">
      <c r="A193" s="21"/>
      <c r="B193" s="21"/>
      <c r="C193" s="21"/>
      <c r="D193" s="21"/>
      <c r="E193" s="136"/>
      <c r="F193" s="136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</row>
    <row r="194">
      <c r="A194" s="21"/>
      <c r="B194" s="21"/>
      <c r="C194" s="21"/>
      <c r="D194" s="21"/>
      <c r="E194" s="136"/>
      <c r="F194" s="136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</row>
    <row r="195">
      <c r="A195" s="21"/>
      <c r="B195" s="21"/>
      <c r="C195" s="21"/>
      <c r="D195" s="21"/>
      <c r="E195" s="136"/>
      <c r="F195" s="136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</row>
    <row r="196">
      <c r="A196" s="21"/>
      <c r="B196" s="21"/>
      <c r="C196" s="21"/>
      <c r="D196" s="21"/>
      <c r="E196" s="136"/>
      <c r="F196" s="136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</row>
    <row r="197">
      <c r="A197" s="21"/>
      <c r="B197" s="21"/>
      <c r="C197" s="21"/>
      <c r="D197" s="21"/>
      <c r="E197" s="136"/>
      <c r="F197" s="136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</row>
    <row r="198">
      <c r="A198" s="21"/>
      <c r="B198" s="21"/>
      <c r="C198" s="21"/>
      <c r="D198" s="21"/>
      <c r="E198" s="136"/>
      <c r="F198" s="136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</row>
    <row r="199">
      <c r="A199" s="21"/>
      <c r="B199" s="21"/>
      <c r="C199" s="21"/>
      <c r="D199" s="21"/>
      <c r="E199" s="136"/>
      <c r="F199" s="136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</row>
    <row r="200">
      <c r="A200" s="21"/>
      <c r="B200" s="21"/>
      <c r="C200" s="21"/>
      <c r="D200" s="21"/>
      <c r="E200" s="136"/>
      <c r="F200" s="136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</row>
    <row r="201">
      <c r="A201" s="21"/>
      <c r="B201" s="21"/>
      <c r="C201" s="21"/>
      <c r="D201" s="21"/>
      <c r="E201" s="136"/>
      <c r="F201" s="136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</row>
    <row r="202">
      <c r="A202" s="21"/>
      <c r="B202" s="21"/>
      <c r="C202" s="21"/>
      <c r="D202" s="21"/>
      <c r="E202" s="136"/>
      <c r="F202" s="136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</row>
    <row r="203">
      <c r="A203" s="21"/>
      <c r="B203" s="21"/>
      <c r="C203" s="21"/>
      <c r="D203" s="21"/>
      <c r="E203" s="136"/>
      <c r="F203" s="136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</row>
    <row r="204">
      <c r="A204" s="21"/>
      <c r="B204" s="21"/>
      <c r="C204" s="21"/>
      <c r="D204" s="21"/>
      <c r="E204" s="136"/>
      <c r="F204" s="136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</row>
    <row r="205">
      <c r="A205" s="21"/>
      <c r="B205" s="21"/>
      <c r="C205" s="21"/>
      <c r="D205" s="21"/>
      <c r="E205" s="136"/>
      <c r="F205" s="136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</row>
    <row r="206">
      <c r="A206" s="21"/>
      <c r="B206" s="21"/>
      <c r="C206" s="21"/>
      <c r="D206" s="21"/>
      <c r="E206" s="136"/>
      <c r="F206" s="136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</row>
    <row r="207">
      <c r="A207" s="21"/>
      <c r="B207" s="21"/>
      <c r="C207" s="21"/>
      <c r="D207" s="21"/>
      <c r="E207" s="136"/>
      <c r="F207" s="136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</row>
    <row r="208">
      <c r="A208" s="21"/>
      <c r="B208" s="21"/>
      <c r="C208" s="21"/>
      <c r="D208" s="21"/>
      <c r="E208" s="136"/>
      <c r="F208" s="136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</row>
    <row r="209">
      <c r="A209" s="21"/>
      <c r="B209" s="21"/>
      <c r="C209" s="21"/>
      <c r="D209" s="21"/>
      <c r="E209" s="136"/>
      <c r="F209" s="136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</row>
    <row r="210">
      <c r="A210" s="21"/>
      <c r="B210" s="21"/>
      <c r="C210" s="21"/>
      <c r="D210" s="21"/>
      <c r="E210" s="136"/>
      <c r="F210" s="136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</row>
    <row r="211">
      <c r="A211" s="21"/>
      <c r="B211" s="21"/>
      <c r="C211" s="21"/>
      <c r="D211" s="21"/>
      <c r="E211" s="136"/>
      <c r="F211" s="136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</row>
    <row r="212">
      <c r="A212" s="21"/>
      <c r="B212" s="21"/>
      <c r="C212" s="21"/>
      <c r="D212" s="21"/>
      <c r="E212" s="136"/>
      <c r="F212" s="136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</row>
    <row r="213">
      <c r="A213" s="21"/>
      <c r="B213" s="21"/>
      <c r="C213" s="21"/>
      <c r="D213" s="21"/>
      <c r="E213" s="136"/>
      <c r="F213" s="136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</row>
    <row r="214">
      <c r="A214" s="21"/>
      <c r="B214" s="21"/>
      <c r="C214" s="21"/>
      <c r="D214" s="21"/>
      <c r="E214" s="136"/>
      <c r="F214" s="136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</row>
    <row r="215">
      <c r="A215" s="21"/>
      <c r="B215" s="21"/>
      <c r="C215" s="21"/>
      <c r="D215" s="21"/>
      <c r="E215" s="136"/>
      <c r="F215" s="136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</row>
    <row r="216">
      <c r="A216" s="21"/>
      <c r="B216" s="21"/>
      <c r="C216" s="21"/>
      <c r="D216" s="21"/>
      <c r="E216" s="136"/>
      <c r="F216" s="136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</row>
    <row r="217">
      <c r="A217" s="21"/>
      <c r="B217" s="21"/>
      <c r="C217" s="21"/>
      <c r="D217" s="21"/>
      <c r="E217" s="136"/>
      <c r="F217" s="136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</row>
    <row r="218">
      <c r="A218" s="21"/>
      <c r="B218" s="21"/>
      <c r="C218" s="21"/>
      <c r="D218" s="21"/>
      <c r="E218" s="136"/>
      <c r="F218" s="136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</row>
    <row r="219">
      <c r="A219" s="21"/>
      <c r="B219" s="21"/>
      <c r="C219" s="21"/>
      <c r="D219" s="21"/>
      <c r="E219" s="136"/>
      <c r="F219" s="136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</row>
    <row r="220">
      <c r="A220" s="21"/>
      <c r="B220" s="21"/>
      <c r="C220" s="21"/>
      <c r="D220" s="21"/>
      <c r="E220" s="136"/>
      <c r="F220" s="136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</row>
    <row r="221">
      <c r="A221" s="21"/>
      <c r="B221" s="21"/>
      <c r="C221" s="21"/>
      <c r="D221" s="21"/>
      <c r="E221" s="136"/>
      <c r="F221" s="136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</row>
    <row r="222">
      <c r="A222" s="21"/>
      <c r="B222" s="21"/>
      <c r="C222" s="21"/>
      <c r="D222" s="21"/>
      <c r="E222" s="136"/>
      <c r="F222" s="136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</row>
    <row r="223">
      <c r="A223" s="21"/>
      <c r="B223" s="21"/>
      <c r="C223" s="21"/>
      <c r="D223" s="21"/>
      <c r="E223" s="136"/>
      <c r="F223" s="136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</row>
    <row r="224">
      <c r="A224" s="21"/>
      <c r="B224" s="21"/>
      <c r="C224" s="21"/>
      <c r="D224" s="21"/>
      <c r="E224" s="136"/>
      <c r="F224" s="136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</row>
    <row r="225">
      <c r="A225" s="21"/>
      <c r="B225" s="21"/>
      <c r="C225" s="21"/>
      <c r="D225" s="21"/>
      <c r="E225" s="136"/>
      <c r="F225" s="136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</row>
    <row r="226">
      <c r="A226" s="21"/>
      <c r="B226" s="21"/>
      <c r="C226" s="21"/>
      <c r="D226" s="21"/>
      <c r="E226" s="136"/>
      <c r="F226" s="136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</row>
    <row r="227">
      <c r="A227" s="21"/>
      <c r="B227" s="21"/>
      <c r="C227" s="21"/>
      <c r="D227" s="21"/>
      <c r="E227" s="136"/>
      <c r="F227" s="136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</row>
    <row r="228">
      <c r="A228" s="21"/>
      <c r="B228" s="21"/>
      <c r="C228" s="21"/>
      <c r="D228" s="21"/>
      <c r="E228" s="136"/>
      <c r="F228" s="136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</row>
    <row r="229">
      <c r="A229" s="21"/>
      <c r="B229" s="21"/>
      <c r="C229" s="21"/>
      <c r="D229" s="21"/>
      <c r="E229" s="136"/>
      <c r="F229" s="136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</row>
    <row r="230">
      <c r="A230" s="21"/>
      <c r="B230" s="21"/>
      <c r="C230" s="21"/>
      <c r="D230" s="21"/>
      <c r="E230" s="136"/>
      <c r="F230" s="136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</row>
    <row r="231">
      <c r="A231" s="21"/>
      <c r="B231" s="21"/>
      <c r="C231" s="21"/>
      <c r="D231" s="21"/>
      <c r="E231" s="136"/>
      <c r="F231" s="136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</row>
    <row r="232">
      <c r="A232" s="21"/>
      <c r="B232" s="21"/>
      <c r="C232" s="21"/>
      <c r="D232" s="21"/>
      <c r="E232" s="136"/>
      <c r="F232" s="136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</row>
    <row r="233">
      <c r="A233" s="21"/>
      <c r="B233" s="21"/>
      <c r="C233" s="21"/>
      <c r="D233" s="21"/>
      <c r="E233" s="136"/>
      <c r="F233" s="136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</row>
    <row r="234">
      <c r="A234" s="21"/>
      <c r="B234" s="21"/>
      <c r="C234" s="21"/>
      <c r="D234" s="21"/>
      <c r="E234" s="136"/>
      <c r="F234" s="136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</row>
    <row r="235">
      <c r="A235" s="21"/>
      <c r="B235" s="21"/>
      <c r="C235" s="21"/>
      <c r="D235" s="21"/>
      <c r="E235" s="136"/>
      <c r="F235" s="136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</row>
    <row r="236">
      <c r="A236" s="21"/>
      <c r="B236" s="21"/>
      <c r="C236" s="21"/>
      <c r="D236" s="21"/>
      <c r="E236" s="136"/>
      <c r="F236" s="136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</row>
    <row r="237">
      <c r="A237" s="21"/>
      <c r="B237" s="21"/>
      <c r="C237" s="21"/>
      <c r="D237" s="21"/>
      <c r="E237" s="136"/>
      <c r="F237" s="136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</row>
    <row r="238">
      <c r="A238" s="21"/>
      <c r="B238" s="21"/>
      <c r="C238" s="21"/>
      <c r="D238" s="21"/>
      <c r="E238" s="136"/>
      <c r="F238" s="136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</row>
    <row r="239">
      <c r="A239" s="21"/>
      <c r="B239" s="21"/>
      <c r="C239" s="21"/>
      <c r="D239" s="21"/>
      <c r="E239" s="136"/>
      <c r="F239" s="136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</row>
    <row r="240">
      <c r="A240" s="21"/>
      <c r="B240" s="21"/>
      <c r="C240" s="21"/>
      <c r="D240" s="21"/>
      <c r="E240" s="136"/>
      <c r="F240" s="136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</row>
    <row r="241">
      <c r="A241" s="21"/>
      <c r="B241" s="21"/>
      <c r="C241" s="21"/>
      <c r="D241" s="21"/>
      <c r="E241" s="136"/>
      <c r="F241" s="136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</row>
    <row r="242">
      <c r="A242" s="21"/>
      <c r="B242" s="21"/>
      <c r="C242" s="21"/>
      <c r="D242" s="21"/>
      <c r="E242" s="136"/>
      <c r="F242" s="136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</row>
    <row r="243">
      <c r="A243" s="21"/>
      <c r="B243" s="21"/>
      <c r="C243" s="21"/>
      <c r="D243" s="21"/>
      <c r="E243" s="136"/>
      <c r="F243" s="136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</row>
    <row r="244">
      <c r="A244" s="21"/>
      <c r="B244" s="21"/>
      <c r="C244" s="21"/>
      <c r="D244" s="21"/>
      <c r="E244" s="136"/>
      <c r="F244" s="136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</row>
    <row r="245">
      <c r="A245" s="21"/>
      <c r="B245" s="21"/>
      <c r="C245" s="21"/>
      <c r="D245" s="21"/>
      <c r="E245" s="136"/>
      <c r="F245" s="136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</row>
    <row r="246">
      <c r="A246" s="21"/>
      <c r="B246" s="21"/>
      <c r="C246" s="21"/>
      <c r="D246" s="21"/>
      <c r="E246" s="136"/>
      <c r="F246" s="136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</row>
    <row r="247">
      <c r="A247" s="21"/>
      <c r="B247" s="21"/>
      <c r="C247" s="21"/>
      <c r="D247" s="21"/>
      <c r="E247" s="136"/>
      <c r="F247" s="136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</row>
    <row r="248">
      <c r="A248" s="21"/>
      <c r="B248" s="21"/>
      <c r="C248" s="21"/>
      <c r="D248" s="21"/>
      <c r="E248" s="136"/>
      <c r="F248" s="136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</row>
    <row r="249">
      <c r="A249" s="21"/>
      <c r="B249" s="21"/>
      <c r="C249" s="21"/>
      <c r="D249" s="21"/>
      <c r="E249" s="136"/>
      <c r="F249" s="136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</row>
    <row r="250">
      <c r="A250" s="21"/>
      <c r="B250" s="21"/>
      <c r="C250" s="21"/>
      <c r="D250" s="21"/>
      <c r="E250" s="136"/>
      <c r="F250" s="136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</row>
    <row r="251">
      <c r="A251" s="21"/>
      <c r="B251" s="21"/>
      <c r="C251" s="21"/>
      <c r="D251" s="21"/>
      <c r="E251" s="136"/>
      <c r="F251" s="136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</row>
    <row r="252">
      <c r="A252" s="21"/>
      <c r="B252" s="21"/>
      <c r="C252" s="21"/>
      <c r="D252" s="21"/>
      <c r="E252" s="136"/>
      <c r="F252" s="136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</row>
    <row r="253">
      <c r="A253" s="21"/>
      <c r="B253" s="21"/>
      <c r="C253" s="21"/>
      <c r="D253" s="21"/>
      <c r="E253" s="136"/>
      <c r="F253" s="136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</row>
    <row r="254">
      <c r="A254" s="21"/>
      <c r="B254" s="21"/>
      <c r="C254" s="21"/>
      <c r="D254" s="21"/>
      <c r="E254" s="136"/>
      <c r="F254" s="136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</row>
    <row r="255">
      <c r="A255" s="21"/>
      <c r="B255" s="21"/>
      <c r="C255" s="21"/>
      <c r="D255" s="21"/>
      <c r="E255" s="136"/>
      <c r="F255" s="136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</row>
    <row r="256">
      <c r="A256" s="21"/>
      <c r="B256" s="21"/>
      <c r="C256" s="21"/>
      <c r="D256" s="21"/>
      <c r="E256" s="136"/>
      <c r="F256" s="136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</row>
    <row r="257">
      <c r="A257" s="21"/>
      <c r="B257" s="21"/>
      <c r="C257" s="21"/>
      <c r="D257" s="21"/>
      <c r="E257" s="136"/>
      <c r="F257" s="136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</row>
    <row r="258">
      <c r="A258" s="21"/>
      <c r="B258" s="21"/>
      <c r="C258" s="21"/>
      <c r="D258" s="21"/>
      <c r="E258" s="136"/>
      <c r="F258" s="136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</row>
    <row r="259">
      <c r="A259" s="21"/>
      <c r="B259" s="21"/>
      <c r="C259" s="21"/>
      <c r="D259" s="21"/>
      <c r="E259" s="136"/>
      <c r="F259" s="136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</row>
    <row r="260">
      <c r="A260" s="21"/>
      <c r="B260" s="21"/>
      <c r="C260" s="21"/>
      <c r="D260" s="21"/>
      <c r="E260" s="136"/>
      <c r="F260" s="136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</row>
    <row r="261">
      <c r="A261" s="21"/>
      <c r="B261" s="21"/>
      <c r="C261" s="21"/>
      <c r="D261" s="21"/>
      <c r="E261" s="136"/>
      <c r="F261" s="136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</row>
    <row r="262">
      <c r="A262" s="21"/>
      <c r="B262" s="21"/>
      <c r="C262" s="21"/>
      <c r="D262" s="21"/>
      <c r="E262" s="136"/>
      <c r="F262" s="136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</row>
    <row r="263">
      <c r="A263" s="21"/>
      <c r="B263" s="21"/>
      <c r="C263" s="21"/>
      <c r="D263" s="21"/>
      <c r="E263" s="136"/>
      <c r="F263" s="136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</row>
    <row r="264">
      <c r="A264" s="21"/>
      <c r="B264" s="21"/>
      <c r="C264" s="21"/>
      <c r="D264" s="21"/>
      <c r="E264" s="136"/>
      <c r="F264" s="136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</row>
    <row r="265">
      <c r="A265" s="21"/>
      <c r="B265" s="21"/>
      <c r="C265" s="21"/>
      <c r="D265" s="21"/>
      <c r="E265" s="136"/>
      <c r="F265" s="136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</row>
    <row r="266">
      <c r="A266" s="21"/>
      <c r="B266" s="21"/>
      <c r="C266" s="21"/>
      <c r="D266" s="21"/>
      <c r="E266" s="136"/>
      <c r="F266" s="136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</row>
    <row r="267">
      <c r="A267" s="21"/>
      <c r="B267" s="21"/>
      <c r="C267" s="21"/>
      <c r="D267" s="21"/>
      <c r="E267" s="136"/>
      <c r="F267" s="136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</row>
    <row r="268">
      <c r="A268" s="21"/>
      <c r="B268" s="21"/>
      <c r="C268" s="21"/>
      <c r="D268" s="21"/>
      <c r="E268" s="136"/>
      <c r="F268" s="136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</row>
    <row r="269">
      <c r="A269" s="21"/>
      <c r="B269" s="21"/>
      <c r="C269" s="21"/>
      <c r="D269" s="21"/>
      <c r="E269" s="136"/>
      <c r="F269" s="136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</row>
    <row r="270">
      <c r="A270" s="21"/>
      <c r="B270" s="21"/>
      <c r="C270" s="21"/>
      <c r="D270" s="21"/>
      <c r="E270" s="136"/>
      <c r="F270" s="136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</row>
    <row r="271">
      <c r="A271" s="21"/>
      <c r="B271" s="21"/>
      <c r="C271" s="21"/>
      <c r="D271" s="21"/>
      <c r="E271" s="136"/>
      <c r="F271" s="136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</row>
    <row r="272">
      <c r="A272" s="21"/>
      <c r="B272" s="21"/>
      <c r="C272" s="21"/>
      <c r="D272" s="21"/>
      <c r="E272" s="136"/>
      <c r="F272" s="136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</row>
    <row r="273">
      <c r="A273" s="21"/>
      <c r="B273" s="21"/>
      <c r="C273" s="21"/>
      <c r="D273" s="21"/>
      <c r="E273" s="136"/>
      <c r="F273" s="136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</row>
    <row r="274">
      <c r="A274" s="21"/>
      <c r="B274" s="21"/>
      <c r="C274" s="21"/>
      <c r="D274" s="21"/>
      <c r="E274" s="136"/>
      <c r="F274" s="136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</row>
    <row r="275">
      <c r="A275" s="21"/>
      <c r="B275" s="21"/>
      <c r="C275" s="21"/>
      <c r="D275" s="21"/>
      <c r="E275" s="136"/>
      <c r="F275" s="136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</row>
    <row r="276">
      <c r="A276" s="21"/>
      <c r="B276" s="21"/>
      <c r="C276" s="21"/>
      <c r="D276" s="21"/>
      <c r="E276" s="136"/>
      <c r="F276" s="136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</row>
    <row r="277">
      <c r="A277" s="21"/>
      <c r="B277" s="21"/>
      <c r="C277" s="21"/>
      <c r="D277" s="21"/>
      <c r="E277" s="136"/>
      <c r="F277" s="136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</row>
    <row r="278">
      <c r="A278" s="21"/>
      <c r="B278" s="21"/>
      <c r="C278" s="21"/>
      <c r="D278" s="21"/>
      <c r="E278" s="136"/>
      <c r="F278" s="136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</row>
    <row r="279">
      <c r="A279" s="21"/>
      <c r="B279" s="21"/>
      <c r="C279" s="21"/>
      <c r="D279" s="21"/>
      <c r="E279" s="136"/>
      <c r="F279" s="136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</row>
    <row r="280">
      <c r="A280" s="21"/>
      <c r="B280" s="21"/>
      <c r="C280" s="21"/>
      <c r="D280" s="21"/>
      <c r="E280" s="136"/>
      <c r="F280" s="136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</row>
    <row r="281">
      <c r="A281" s="21"/>
      <c r="B281" s="21"/>
      <c r="C281" s="21"/>
      <c r="D281" s="21"/>
      <c r="E281" s="136"/>
      <c r="F281" s="136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</row>
    <row r="282">
      <c r="A282" s="21"/>
      <c r="B282" s="21"/>
      <c r="C282" s="21"/>
      <c r="D282" s="21"/>
      <c r="E282" s="136"/>
      <c r="F282" s="136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</row>
    <row r="283">
      <c r="A283" s="21"/>
      <c r="B283" s="21"/>
      <c r="C283" s="21"/>
      <c r="D283" s="21"/>
      <c r="E283" s="136"/>
      <c r="F283" s="136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</row>
    <row r="284">
      <c r="A284" s="21"/>
      <c r="B284" s="21"/>
      <c r="C284" s="21"/>
      <c r="D284" s="21"/>
      <c r="E284" s="136"/>
      <c r="F284" s="136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</row>
    <row r="285">
      <c r="A285" s="21"/>
      <c r="B285" s="21"/>
      <c r="C285" s="21"/>
      <c r="D285" s="21"/>
      <c r="E285" s="136"/>
      <c r="F285" s="136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</row>
    <row r="286">
      <c r="A286" s="21"/>
      <c r="B286" s="21"/>
      <c r="C286" s="21"/>
      <c r="D286" s="21"/>
      <c r="E286" s="136"/>
      <c r="F286" s="136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</row>
    <row r="287">
      <c r="A287" s="21"/>
      <c r="B287" s="21"/>
      <c r="C287" s="21"/>
      <c r="D287" s="21"/>
      <c r="E287" s="136"/>
      <c r="F287" s="136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</row>
    <row r="288">
      <c r="A288" s="21"/>
      <c r="B288" s="21"/>
      <c r="C288" s="21"/>
      <c r="D288" s="21"/>
      <c r="E288" s="136"/>
      <c r="F288" s="136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</row>
    <row r="289">
      <c r="A289" s="21"/>
      <c r="B289" s="21"/>
      <c r="C289" s="21"/>
      <c r="D289" s="21"/>
      <c r="E289" s="136"/>
      <c r="F289" s="136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</row>
    <row r="290">
      <c r="A290" s="21"/>
      <c r="B290" s="21"/>
      <c r="C290" s="21"/>
      <c r="D290" s="21"/>
      <c r="E290" s="136"/>
      <c r="F290" s="136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</row>
    <row r="291">
      <c r="A291" s="21"/>
      <c r="B291" s="21"/>
      <c r="C291" s="21"/>
      <c r="D291" s="21"/>
      <c r="E291" s="136"/>
      <c r="F291" s="136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</row>
    <row r="292">
      <c r="A292" s="21"/>
      <c r="B292" s="21"/>
      <c r="C292" s="21"/>
      <c r="D292" s="21"/>
      <c r="E292" s="136"/>
      <c r="F292" s="136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</row>
    <row r="293">
      <c r="A293" s="21"/>
      <c r="B293" s="21"/>
      <c r="C293" s="21"/>
      <c r="D293" s="21"/>
      <c r="E293" s="136"/>
      <c r="F293" s="136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</row>
    <row r="294">
      <c r="A294" s="21"/>
      <c r="B294" s="21"/>
      <c r="C294" s="21"/>
      <c r="D294" s="21"/>
      <c r="E294" s="136"/>
      <c r="F294" s="136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</row>
    <row r="295">
      <c r="A295" s="21"/>
      <c r="B295" s="21"/>
      <c r="C295" s="21"/>
      <c r="D295" s="21"/>
      <c r="E295" s="136"/>
      <c r="F295" s="136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</row>
    <row r="296">
      <c r="A296" s="21"/>
      <c r="B296" s="21"/>
      <c r="C296" s="21"/>
      <c r="D296" s="21"/>
      <c r="E296" s="136"/>
      <c r="F296" s="136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</row>
    <row r="297">
      <c r="A297" s="21"/>
      <c r="B297" s="21"/>
      <c r="C297" s="21"/>
      <c r="D297" s="21"/>
      <c r="E297" s="136"/>
      <c r="F297" s="136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</row>
    <row r="298">
      <c r="A298" s="21"/>
      <c r="B298" s="21"/>
      <c r="C298" s="21"/>
      <c r="D298" s="21"/>
      <c r="E298" s="136"/>
      <c r="F298" s="136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</row>
    <row r="299">
      <c r="A299" s="21"/>
      <c r="B299" s="21"/>
      <c r="C299" s="21"/>
      <c r="D299" s="21"/>
      <c r="E299" s="136"/>
      <c r="F299" s="136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</row>
    <row r="300">
      <c r="A300" s="21"/>
      <c r="B300" s="21"/>
      <c r="C300" s="21"/>
      <c r="D300" s="21"/>
      <c r="E300" s="136"/>
      <c r="F300" s="136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</row>
    <row r="301">
      <c r="A301" s="21"/>
      <c r="B301" s="21"/>
      <c r="C301" s="21"/>
      <c r="D301" s="21"/>
      <c r="E301" s="136"/>
      <c r="F301" s="136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</row>
    <row r="302">
      <c r="A302" s="21"/>
      <c r="B302" s="21"/>
      <c r="C302" s="21"/>
      <c r="D302" s="21"/>
      <c r="E302" s="136"/>
      <c r="F302" s="136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</row>
    <row r="303">
      <c r="A303" s="21"/>
      <c r="B303" s="21"/>
      <c r="C303" s="21"/>
      <c r="D303" s="21"/>
      <c r="E303" s="136"/>
      <c r="F303" s="136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</row>
    <row r="304">
      <c r="A304" s="21"/>
      <c r="B304" s="21"/>
      <c r="C304" s="21"/>
      <c r="D304" s="21"/>
      <c r="E304" s="136"/>
      <c r="F304" s="136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</row>
    <row r="305">
      <c r="A305" s="21"/>
      <c r="B305" s="21"/>
      <c r="C305" s="21"/>
      <c r="D305" s="21"/>
      <c r="E305" s="136"/>
      <c r="F305" s="136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</row>
    <row r="306">
      <c r="A306" s="21"/>
      <c r="B306" s="21"/>
      <c r="C306" s="21"/>
      <c r="D306" s="21"/>
      <c r="E306" s="136"/>
      <c r="F306" s="136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</row>
    <row r="307">
      <c r="A307" s="21"/>
      <c r="B307" s="21"/>
      <c r="C307" s="21"/>
      <c r="D307" s="21"/>
      <c r="E307" s="136"/>
      <c r="F307" s="136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</row>
    <row r="308">
      <c r="A308" s="21"/>
      <c r="B308" s="21"/>
      <c r="C308" s="21"/>
      <c r="D308" s="21"/>
      <c r="E308" s="136"/>
      <c r="F308" s="136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</row>
    <row r="309">
      <c r="A309" s="21"/>
      <c r="B309" s="21"/>
      <c r="C309" s="21"/>
      <c r="D309" s="21"/>
      <c r="E309" s="136"/>
      <c r="F309" s="136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</row>
    <row r="310">
      <c r="A310" s="21"/>
      <c r="B310" s="21"/>
      <c r="C310" s="21"/>
      <c r="D310" s="21"/>
      <c r="E310" s="136"/>
      <c r="F310" s="136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</row>
    <row r="311">
      <c r="A311" s="21"/>
      <c r="B311" s="21"/>
      <c r="C311" s="21"/>
      <c r="D311" s="21"/>
      <c r="E311" s="136"/>
      <c r="F311" s="136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</row>
    <row r="312">
      <c r="A312" s="21"/>
      <c r="B312" s="21"/>
      <c r="C312" s="21"/>
      <c r="D312" s="21"/>
      <c r="E312" s="136"/>
      <c r="F312" s="136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</row>
    <row r="313">
      <c r="A313" s="21"/>
      <c r="B313" s="21"/>
      <c r="C313" s="21"/>
      <c r="D313" s="21"/>
      <c r="E313" s="136"/>
      <c r="F313" s="136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</row>
    <row r="314">
      <c r="A314" s="21"/>
      <c r="B314" s="21"/>
      <c r="C314" s="21"/>
      <c r="D314" s="21"/>
      <c r="E314" s="136"/>
      <c r="F314" s="136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</row>
    <row r="315">
      <c r="A315" s="21"/>
      <c r="B315" s="21"/>
      <c r="C315" s="21"/>
      <c r="D315" s="21"/>
      <c r="E315" s="136"/>
      <c r="F315" s="136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</row>
    <row r="316">
      <c r="A316" s="21"/>
      <c r="B316" s="21"/>
      <c r="C316" s="21"/>
      <c r="D316" s="21"/>
      <c r="E316" s="136"/>
      <c r="F316" s="136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</row>
    <row r="317">
      <c r="A317" s="21"/>
      <c r="B317" s="21"/>
      <c r="C317" s="21"/>
      <c r="D317" s="21"/>
      <c r="E317" s="136"/>
      <c r="F317" s="136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</row>
    <row r="318">
      <c r="A318" s="21"/>
      <c r="B318" s="21"/>
      <c r="C318" s="21"/>
      <c r="D318" s="21"/>
      <c r="E318" s="136"/>
      <c r="F318" s="136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</row>
    <row r="319">
      <c r="A319" s="21"/>
      <c r="B319" s="21"/>
      <c r="C319" s="21"/>
      <c r="D319" s="21"/>
      <c r="E319" s="136"/>
      <c r="F319" s="136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</row>
    <row r="320">
      <c r="A320" s="21"/>
      <c r="B320" s="21"/>
      <c r="C320" s="21"/>
      <c r="D320" s="21"/>
      <c r="E320" s="136"/>
      <c r="F320" s="136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</row>
    <row r="321">
      <c r="A321" s="21"/>
      <c r="B321" s="21"/>
      <c r="C321" s="21"/>
      <c r="D321" s="21"/>
      <c r="E321" s="136"/>
      <c r="F321" s="136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</row>
    <row r="322">
      <c r="A322" s="21"/>
      <c r="B322" s="21"/>
      <c r="C322" s="21"/>
      <c r="D322" s="21"/>
      <c r="E322" s="136"/>
      <c r="F322" s="136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</row>
    <row r="323">
      <c r="A323" s="21"/>
      <c r="B323" s="21"/>
      <c r="C323" s="21"/>
      <c r="D323" s="21"/>
      <c r="E323" s="136"/>
      <c r="F323" s="136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</row>
    <row r="324">
      <c r="A324" s="21"/>
      <c r="B324" s="21"/>
      <c r="C324" s="21"/>
      <c r="D324" s="21"/>
      <c r="E324" s="136"/>
      <c r="F324" s="136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</row>
    <row r="325">
      <c r="A325" s="21"/>
      <c r="B325" s="21"/>
      <c r="C325" s="21"/>
      <c r="D325" s="21"/>
      <c r="E325" s="136"/>
      <c r="F325" s="136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</row>
    <row r="326">
      <c r="A326" s="21"/>
      <c r="B326" s="21"/>
      <c r="C326" s="21"/>
      <c r="D326" s="21"/>
      <c r="E326" s="136"/>
      <c r="F326" s="136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</row>
    <row r="327">
      <c r="A327" s="21"/>
      <c r="B327" s="21"/>
      <c r="C327" s="21"/>
      <c r="D327" s="21"/>
      <c r="E327" s="136"/>
      <c r="F327" s="136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</row>
    <row r="328">
      <c r="A328" s="21"/>
      <c r="B328" s="21"/>
      <c r="C328" s="21"/>
      <c r="D328" s="21"/>
      <c r="E328" s="136"/>
      <c r="F328" s="136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</row>
    <row r="329">
      <c r="A329" s="21"/>
      <c r="B329" s="21"/>
      <c r="C329" s="21"/>
      <c r="D329" s="21"/>
      <c r="E329" s="136"/>
      <c r="F329" s="136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</row>
    <row r="330">
      <c r="A330" s="21"/>
      <c r="B330" s="21"/>
      <c r="C330" s="21"/>
      <c r="D330" s="21"/>
      <c r="E330" s="136"/>
      <c r="F330" s="136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</row>
    <row r="331">
      <c r="A331" s="21"/>
      <c r="B331" s="21"/>
      <c r="C331" s="21"/>
      <c r="D331" s="21"/>
      <c r="E331" s="136"/>
      <c r="F331" s="136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</row>
    <row r="332">
      <c r="A332" s="21"/>
      <c r="B332" s="21"/>
      <c r="C332" s="21"/>
      <c r="D332" s="21"/>
      <c r="E332" s="136"/>
      <c r="F332" s="136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</row>
    <row r="333">
      <c r="A333" s="21"/>
      <c r="B333" s="21"/>
      <c r="C333" s="21"/>
      <c r="D333" s="21"/>
      <c r="E333" s="136"/>
      <c r="F333" s="136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</row>
    <row r="334">
      <c r="A334" s="21"/>
      <c r="B334" s="21"/>
      <c r="C334" s="21"/>
      <c r="D334" s="21"/>
      <c r="E334" s="136"/>
      <c r="F334" s="136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</row>
    <row r="335">
      <c r="A335" s="21"/>
      <c r="B335" s="21"/>
      <c r="C335" s="21"/>
      <c r="D335" s="21"/>
      <c r="E335" s="136"/>
      <c r="F335" s="136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</row>
    <row r="336">
      <c r="A336" s="21"/>
      <c r="B336" s="21"/>
      <c r="C336" s="21"/>
      <c r="D336" s="21"/>
      <c r="E336" s="136"/>
      <c r="F336" s="136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</row>
    <row r="337">
      <c r="A337" s="21"/>
      <c r="B337" s="21"/>
      <c r="C337" s="21"/>
      <c r="D337" s="21"/>
      <c r="E337" s="136"/>
      <c r="F337" s="136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</row>
    <row r="338">
      <c r="A338" s="21"/>
      <c r="B338" s="21"/>
      <c r="C338" s="21"/>
      <c r="D338" s="21"/>
      <c r="E338" s="136"/>
      <c r="F338" s="136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</row>
    <row r="339">
      <c r="A339" s="21"/>
      <c r="B339" s="21"/>
      <c r="C339" s="21"/>
      <c r="D339" s="21"/>
      <c r="E339" s="136"/>
      <c r="F339" s="136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</row>
    <row r="340">
      <c r="A340" s="21"/>
      <c r="B340" s="21"/>
      <c r="C340" s="21"/>
      <c r="D340" s="21"/>
      <c r="E340" s="136"/>
      <c r="F340" s="136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</row>
    <row r="341">
      <c r="A341" s="21"/>
      <c r="B341" s="21"/>
      <c r="C341" s="21"/>
      <c r="D341" s="21"/>
      <c r="E341" s="136"/>
      <c r="F341" s="136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</row>
    <row r="342">
      <c r="A342" s="21"/>
      <c r="B342" s="21"/>
      <c r="C342" s="21"/>
      <c r="D342" s="21"/>
      <c r="E342" s="136"/>
      <c r="F342" s="136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</row>
    <row r="343">
      <c r="A343" s="21"/>
      <c r="B343" s="21"/>
      <c r="C343" s="21"/>
      <c r="D343" s="21"/>
      <c r="E343" s="136"/>
      <c r="F343" s="136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</row>
    <row r="344">
      <c r="A344" s="21"/>
      <c r="B344" s="21"/>
      <c r="C344" s="21"/>
      <c r="D344" s="21"/>
      <c r="E344" s="136"/>
      <c r="F344" s="136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</row>
    <row r="345">
      <c r="A345" s="21"/>
      <c r="B345" s="21"/>
      <c r="C345" s="21"/>
      <c r="D345" s="21"/>
      <c r="E345" s="136"/>
      <c r="F345" s="136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</row>
    <row r="346">
      <c r="A346" s="21"/>
      <c r="B346" s="21"/>
      <c r="C346" s="21"/>
      <c r="D346" s="21"/>
      <c r="E346" s="136"/>
      <c r="F346" s="136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</row>
    <row r="347">
      <c r="A347" s="21"/>
      <c r="B347" s="21"/>
      <c r="C347" s="21"/>
      <c r="D347" s="21"/>
      <c r="E347" s="136"/>
      <c r="F347" s="136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</row>
    <row r="348">
      <c r="A348" s="21"/>
      <c r="B348" s="21"/>
      <c r="C348" s="21"/>
      <c r="D348" s="21"/>
      <c r="E348" s="136"/>
      <c r="F348" s="136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</row>
    <row r="349">
      <c r="A349" s="21"/>
      <c r="B349" s="21"/>
      <c r="C349" s="21"/>
      <c r="D349" s="21"/>
      <c r="E349" s="136"/>
      <c r="F349" s="136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</row>
    <row r="350">
      <c r="A350" s="21"/>
      <c r="B350" s="21"/>
      <c r="C350" s="21"/>
      <c r="D350" s="21"/>
      <c r="E350" s="136"/>
      <c r="F350" s="136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</row>
    <row r="351">
      <c r="A351" s="21"/>
      <c r="B351" s="21"/>
      <c r="C351" s="21"/>
      <c r="D351" s="21"/>
      <c r="E351" s="136"/>
      <c r="F351" s="136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</row>
    <row r="352">
      <c r="A352" s="21"/>
      <c r="B352" s="21"/>
      <c r="C352" s="21"/>
      <c r="D352" s="21"/>
      <c r="E352" s="136"/>
      <c r="F352" s="136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</row>
    <row r="353">
      <c r="A353" s="21"/>
      <c r="B353" s="21"/>
      <c r="C353" s="21"/>
      <c r="D353" s="21"/>
      <c r="E353" s="136"/>
      <c r="F353" s="136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</row>
    <row r="354">
      <c r="A354" s="21"/>
      <c r="B354" s="21"/>
      <c r="C354" s="21"/>
      <c r="D354" s="21"/>
      <c r="E354" s="136"/>
      <c r="F354" s="136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</row>
    <row r="355">
      <c r="A355" s="21"/>
      <c r="B355" s="21"/>
      <c r="C355" s="21"/>
      <c r="D355" s="21"/>
      <c r="E355" s="136"/>
      <c r="F355" s="136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</row>
    <row r="356">
      <c r="A356" s="21"/>
      <c r="B356" s="21"/>
      <c r="C356" s="21"/>
      <c r="D356" s="21"/>
      <c r="E356" s="136"/>
      <c r="F356" s="136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</row>
    <row r="357">
      <c r="A357" s="21"/>
      <c r="B357" s="21"/>
      <c r="C357" s="21"/>
      <c r="D357" s="21"/>
      <c r="E357" s="136"/>
      <c r="F357" s="136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</row>
    <row r="358">
      <c r="A358" s="21"/>
      <c r="B358" s="21"/>
      <c r="C358" s="21"/>
      <c r="D358" s="21"/>
      <c r="E358" s="136"/>
      <c r="F358" s="136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</row>
    <row r="359">
      <c r="A359" s="21"/>
      <c r="B359" s="21"/>
      <c r="C359" s="21"/>
      <c r="D359" s="21"/>
      <c r="E359" s="136"/>
      <c r="F359" s="136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</row>
    <row r="360">
      <c r="A360" s="21"/>
      <c r="B360" s="21"/>
      <c r="C360" s="21"/>
      <c r="D360" s="21"/>
      <c r="E360" s="136"/>
      <c r="F360" s="136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</row>
    <row r="361">
      <c r="A361" s="21"/>
      <c r="B361" s="21"/>
      <c r="C361" s="21"/>
      <c r="D361" s="21"/>
      <c r="E361" s="136"/>
      <c r="F361" s="136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</row>
    <row r="362">
      <c r="A362" s="21"/>
      <c r="B362" s="21"/>
      <c r="C362" s="21"/>
      <c r="D362" s="21"/>
      <c r="E362" s="136"/>
      <c r="F362" s="136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</row>
    <row r="363">
      <c r="A363" s="21"/>
      <c r="B363" s="21"/>
      <c r="C363" s="21"/>
      <c r="D363" s="21"/>
      <c r="E363" s="136"/>
      <c r="F363" s="136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</row>
    <row r="364">
      <c r="A364" s="21"/>
      <c r="B364" s="21"/>
      <c r="C364" s="21"/>
      <c r="D364" s="21"/>
      <c r="E364" s="136"/>
      <c r="F364" s="136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</row>
    <row r="365">
      <c r="A365" s="21"/>
      <c r="B365" s="21"/>
      <c r="C365" s="21"/>
      <c r="D365" s="21"/>
      <c r="E365" s="136"/>
      <c r="F365" s="136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</row>
    <row r="366">
      <c r="A366" s="21"/>
      <c r="B366" s="21"/>
      <c r="C366" s="21"/>
      <c r="D366" s="21"/>
      <c r="E366" s="136"/>
      <c r="F366" s="136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</row>
    <row r="367">
      <c r="A367" s="21"/>
      <c r="B367" s="21"/>
      <c r="C367" s="21"/>
      <c r="D367" s="21"/>
      <c r="E367" s="136"/>
      <c r="F367" s="136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</row>
    <row r="368">
      <c r="A368" s="21"/>
      <c r="B368" s="21"/>
      <c r="C368" s="21"/>
      <c r="D368" s="21"/>
      <c r="E368" s="136"/>
      <c r="F368" s="136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</row>
    <row r="369">
      <c r="A369" s="21"/>
      <c r="B369" s="21"/>
      <c r="C369" s="21"/>
      <c r="D369" s="21"/>
      <c r="E369" s="136"/>
      <c r="F369" s="136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</row>
    <row r="370">
      <c r="A370" s="21"/>
      <c r="B370" s="21"/>
      <c r="C370" s="21"/>
      <c r="D370" s="21"/>
      <c r="E370" s="136"/>
      <c r="F370" s="136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</row>
    <row r="371">
      <c r="A371" s="21"/>
      <c r="B371" s="21"/>
      <c r="C371" s="21"/>
      <c r="D371" s="21"/>
      <c r="E371" s="136"/>
      <c r="F371" s="136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</row>
    <row r="372">
      <c r="A372" s="21"/>
      <c r="B372" s="21"/>
      <c r="C372" s="21"/>
      <c r="D372" s="21"/>
      <c r="E372" s="136"/>
      <c r="F372" s="136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</row>
    <row r="373">
      <c r="A373" s="21"/>
      <c r="B373" s="21"/>
      <c r="C373" s="21"/>
      <c r="D373" s="21"/>
      <c r="E373" s="136"/>
      <c r="F373" s="136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</row>
    <row r="374">
      <c r="A374" s="21"/>
      <c r="B374" s="21"/>
      <c r="C374" s="21"/>
      <c r="D374" s="21"/>
      <c r="E374" s="136"/>
      <c r="F374" s="136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</row>
    <row r="375">
      <c r="A375" s="21"/>
      <c r="B375" s="21"/>
      <c r="C375" s="21"/>
      <c r="D375" s="21"/>
      <c r="E375" s="136"/>
      <c r="F375" s="136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</row>
    <row r="376">
      <c r="A376" s="21"/>
      <c r="B376" s="21"/>
      <c r="C376" s="21"/>
      <c r="D376" s="21"/>
      <c r="E376" s="136"/>
      <c r="F376" s="136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</row>
    <row r="377">
      <c r="A377" s="21"/>
      <c r="B377" s="21"/>
      <c r="C377" s="21"/>
      <c r="D377" s="21"/>
      <c r="E377" s="136"/>
      <c r="F377" s="136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</row>
    <row r="378">
      <c r="A378" s="21"/>
      <c r="B378" s="21"/>
      <c r="C378" s="21"/>
      <c r="D378" s="21"/>
      <c r="E378" s="136"/>
      <c r="F378" s="136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</row>
    <row r="379">
      <c r="A379" s="21"/>
      <c r="B379" s="21"/>
      <c r="C379" s="21"/>
      <c r="D379" s="21"/>
      <c r="E379" s="136"/>
      <c r="F379" s="136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</row>
    <row r="380">
      <c r="A380" s="21"/>
      <c r="B380" s="21"/>
      <c r="C380" s="21"/>
      <c r="D380" s="21"/>
      <c r="E380" s="136"/>
      <c r="F380" s="136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</row>
    <row r="381">
      <c r="A381" s="21"/>
      <c r="B381" s="21"/>
      <c r="C381" s="21"/>
      <c r="D381" s="21"/>
      <c r="E381" s="136"/>
      <c r="F381" s="136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</row>
    <row r="382">
      <c r="A382" s="21"/>
      <c r="B382" s="21"/>
      <c r="C382" s="21"/>
      <c r="D382" s="21"/>
      <c r="E382" s="136"/>
      <c r="F382" s="136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</row>
    <row r="383">
      <c r="A383" s="21"/>
      <c r="B383" s="21"/>
      <c r="C383" s="21"/>
      <c r="D383" s="21"/>
      <c r="E383" s="136"/>
      <c r="F383" s="136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</row>
    <row r="384">
      <c r="A384" s="21"/>
      <c r="B384" s="21"/>
      <c r="C384" s="21"/>
      <c r="D384" s="21"/>
      <c r="E384" s="136"/>
      <c r="F384" s="136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</row>
    <row r="385">
      <c r="A385" s="21"/>
      <c r="B385" s="21"/>
      <c r="C385" s="21"/>
      <c r="D385" s="21"/>
      <c r="E385" s="136"/>
      <c r="F385" s="136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</row>
    <row r="386">
      <c r="A386" s="21"/>
      <c r="B386" s="21"/>
      <c r="C386" s="21"/>
      <c r="D386" s="21"/>
      <c r="E386" s="136"/>
      <c r="F386" s="136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</row>
    <row r="387">
      <c r="A387" s="21"/>
      <c r="B387" s="21"/>
      <c r="C387" s="21"/>
      <c r="D387" s="21"/>
      <c r="E387" s="136"/>
      <c r="F387" s="136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</row>
    <row r="388">
      <c r="A388" s="21"/>
      <c r="B388" s="21"/>
      <c r="C388" s="21"/>
      <c r="D388" s="21"/>
      <c r="E388" s="136"/>
      <c r="F388" s="136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</row>
    <row r="389">
      <c r="A389" s="21"/>
      <c r="B389" s="21"/>
      <c r="C389" s="21"/>
      <c r="D389" s="21"/>
      <c r="E389" s="136"/>
      <c r="F389" s="136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</row>
    <row r="390">
      <c r="A390" s="21"/>
      <c r="B390" s="21"/>
      <c r="C390" s="21"/>
      <c r="D390" s="21"/>
      <c r="E390" s="136"/>
      <c r="F390" s="136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</row>
    <row r="391">
      <c r="A391" s="21"/>
      <c r="B391" s="21"/>
      <c r="C391" s="21"/>
      <c r="D391" s="21"/>
      <c r="E391" s="136"/>
      <c r="F391" s="136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</row>
    <row r="392">
      <c r="A392" s="21"/>
      <c r="B392" s="21"/>
      <c r="C392" s="21"/>
      <c r="D392" s="21"/>
      <c r="E392" s="136"/>
      <c r="F392" s="136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</row>
    <row r="393">
      <c r="A393" s="21"/>
      <c r="B393" s="21"/>
      <c r="C393" s="21"/>
      <c r="D393" s="21"/>
      <c r="E393" s="136"/>
      <c r="F393" s="136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</row>
    <row r="394">
      <c r="A394" s="21"/>
      <c r="B394" s="21"/>
      <c r="C394" s="21"/>
      <c r="D394" s="21"/>
      <c r="E394" s="136"/>
      <c r="F394" s="136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</row>
    <row r="395">
      <c r="A395" s="21"/>
      <c r="B395" s="21"/>
      <c r="C395" s="21"/>
      <c r="D395" s="21"/>
      <c r="E395" s="136"/>
      <c r="F395" s="136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</row>
    <row r="396">
      <c r="A396" s="21"/>
      <c r="B396" s="21"/>
      <c r="C396" s="21"/>
      <c r="D396" s="21"/>
      <c r="E396" s="136"/>
      <c r="F396" s="136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</row>
    <row r="397">
      <c r="A397" s="21"/>
      <c r="B397" s="21"/>
      <c r="C397" s="21"/>
      <c r="D397" s="21"/>
      <c r="E397" s="136"/>
      <c r="F397" s="136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</row>
    <row r="398">
      <c r="A398" s="21"/>
      <c r="B398" s="21"/>
      <c r="C398" s="21"/>
      <c r="D398" s="21"/>
      <c r="E398" s="136"/>
      <c r="F398" s="136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</row>
    <row r="399">
      <c r="A399" s="21"/>
      <c r="B399" s="21"/>
      <c r="C399" s="21"/>
      <c r="D399" s="21"/>
      <c r="E399" s="136"/>
      <c r="F399" s="136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</row>
    <row r="400">
      <c r="A400" s="21"/>
      <c r="B400" s="21"/>
      <c r="C400" s="21"/>
      <c r="D400" s="21"/>
      <c r="E400" s="136"/>
      <c r="F400" s="136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</row>
    <row r="401">
      <c r="A401" s="21"/>
      <c r="B401" s="21"/>
      <c r="C401" s="21"/>
      <c r="D401" s="21"/>
      <c r="E401" s="136"/>
      <c r="F401" s="136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</row>
    <row r="402">
      <c r="A402" s="21"/>
      <c r="B402" s="21"/>
      <c r="C402" s="21"/>
      <c r="D402" s="21"/>
      <c r="E402" s="136"/>
      <c r="F402" s="136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</row>
    <row r="403">
      <c r="A403" s="21"/>
      <c r="B403" s="21"/>
      <c r="C403" s="21"/>
      <c r="D403" s="21"/>
      <c r="E403" s="136"/>
      <c r="F403" s="136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</row>
    <row r="404">
      <c r="A404" s="21"/>
      <c r="B404" s="21"/>
      <c r="C404" s="21"/>
      <c r="D404" s="21"/>
      <c r="E404" s="136"/>
      <c r="F404" s="136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</row>
    <row r="405">
      <c r="A405" s="21"/>
      <c r="B405" s="21"/>
      <c r="C405" s="21"/>
      <c r="D405" s="21"/>
      <c r="E405" s="136"/>
      <c r="F405" s="136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</row>
    <row r="406">
      <c r="A406" s="21"/>
      <c r="B406" s="21"/>
      <c r="C406" s="21"/>
      <c r="D406" s="21"/>
      <c r="E406" s="136"/>
      <c r="F406" s="136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</row>
    <row r="407">
      <c r="A407" s="21"/>
      <c r="B407" s="21"/>
      <c r="C407" s="21"/>
      <c r="D407" s="21"/>
      <c r="E407" s="136"/>
      <c r="F407" s="136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</row>
    <row r="408">
      <c r="A408" s="21"/>
      <c r="B408" s="21"/>
      <c r="C408" s="21"/>
      <c r="D408" s="21"/>
      <c r="E408" s="136"/>
      <c r="F408" s="136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</row>
    <row r="409">
      <c r="A409" s="21"/>
      <c r="B409" s="21"/>
      <c r="C409" s="21"/>
      <c r="D409" s="21"/>
      <c r="E409" s="136"/>
      <c r="F409" s="136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</row>
    <row r="410">
      <c r="A410" s="21"/>
      <c r="B410" s="21"/>
      <c r="C410" s="21"/>
      <c r="D410" s="21"/>
      <c r="E410" s="136"/>
      <c r="F410" s="136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</row>
    <row r="411">
      <c r="A411" s="21"/>
      <c r="B411" s="21"/>
      <c r="C411" s="21"/>
      <c r="D411" s="21"/>
      <c r="E411" s="136"/>
      <c r="F411" s="136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</row>
    <row r="412">
      <c r="A412" s="21"/>
      <c r="B412" s="21"/>
      <c r="C412" s="21"/>
      <c r="D412" s="21"/>
      <c r="E412" s="136"/>
      <c r="F412" s="136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</row>
    <row r="413">
      <c r="A413" s="21"/>
      <c r="B413" s="21"/>
      <c r="C413" s="21"/>
      <c r="D413" s="21"/>
      <c r="E413" s="136"/>
      <c r="F413" s="136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</row>
    <row r="414">
      <c r="A414" s="21"/>
      <c r="B414" s="21"/>
      <c r="C414" s="21"/>
      <c r="D414" s="21"/>
      <c r="E414" s="136"/>
      <c r="F414" s="136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</row>
    <row r="415">
      <c r="A415" s="21"/>
      <c r="B415" s="21"/>
      <c r="C415" s="21"/>
      <c r="D415" s="21"/>
      <c r="E415" s="136"/>
      <c r="F415" s="136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</row>
    <row r="416">
      <c r="A416" s="21"/>
      <c r="B416" s="21"/>
      <c r="C416" s="21"/>
      <c r="D416" s="21"/>
      <c r="E416" s="136"/>
      <c r="F416" s="136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</row>
    <row r="417">
      <c r="A417" s="21"/>
      <c r="B417" s="21"/>
      <c r="C417" s="21"/>
      <c r="D417" s="21"/>
      <c r="E417" s="136"/>
      <c r="F417" s="136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</row>
    <row r="418">
      <c r="A418" s="21"/>
      <c r="B418" s="21"/>
      <c r="C418" s="21"/>
      <c r="D418" s="21"/>
      <c r="E418" s="136"/>
      <c r="F418" s="136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</row>
    <row r="419">
      <c r="A419" s="21"/>
      <c r="B419" s="21"/>
      <c r="C419" s="21"/>
      <c r="D419" s="21"/>
      <c r="E419" s="136"/>
      <c r="F419" s="136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</row>
    <row r="420">
      <c r="A420" s="21"/>
      <c r="B420" s="21"/>
      <c r="C420" s="21"/>
      <c r="D420" s="21"/>
      <c r="E420" s="136"/>
      <c r="F420" s="136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</row>
    <row r="421">
      <c r="A421" s="21"/>
      <c r="B421" s="21"/>
      <c r="C421" s="21"/>
      <c r="D421" s="21"/>
      <c r="E421" s="136"/>
      <c r="F421" s="136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</row>
    <row r="422">
      <c r="A422" s="21"/>
      <c r="B422" s="21"/>
      <c r="C422" s="21"/>
      <c r="D422" s="21"/>
      <c r="E422" s="136"/>
      <c r="F422" s="136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</row>
    <row r="423">
      <c r="A423" s="21"/>
      <c r="B423" s="21"/>
      <c r="C423" s="21"/>
      <c r="D423" s="21"/>
      <c r="E423" s="136"/>
      <c r="F423" s="136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</row>
    <row r="424">
      <c r="A424" s="21"/>
      <c r="B424" s="21"/>
      <c r="C424" s="21"/>
      <c r="D424" s="21"/>
      <c r="E424" s="136"/>
      <c r="F424" s="136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</row>
    <row r="425">
      <c r="A425" s="21"/>
      <c r="B425" s="21"/>
      <c r="C425" s="21"/>
      <c r="D425" s="21"/>
      <c r="E425" s="136"/>
      <c r="F425" s="136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</row>
    <row r="426">
      <c r="A426" s="21"/>
      <c r="B426" s="21"/>
      <c r="C426" s="21"/>
      <c r="D426" s="21"/>
      <c r="E426" s="136"/>
      <c r="F426" s="136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</row>
    <row r="427">
      <c r="A427" s="21"/>
      <c r="B427" s="21"/>
      <c r="C427" s="21"/>
      <c r="D427" s="21"/>
      <c r="E427" s="136"/>
      <c r="F427" s="136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</row>
    <row r="428">
      <c r="A428" s="21"/>
      <c r="B428" s="21"/>
      <c r="C428" s="21"/>
      <c r="D428" s="21"/>
      <c r="E428" s="136"/>
      <c r="F428" s="136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</row>
    <row r="429">
      <c r="A429" s="21"/>
      <c r="B429" s="21"/>
      <c r="C429" s="21"/>
      <c r="D429" s="21"/>
      <c r="E429" s="136"/>
      <c r="F429" s="136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</row>
    <row r="430">
      <c r="A430" s="21"/>
      <c r="B430" s="21"/>
      <c r="C430" s="21"/>
      <c r="D430" s="21"/>
      <c r="E430" s="136"/>
      <c r="F430" s="136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</row>
    <row r="431">
      <c r="A431" s="21"/>
      <c r="B431" s="21"/>
      <c r="C431" s="21"/>
      <c r="D431" s="21"/>
      <c r="E431" s="136"/>
      <c r="F431" s="136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</row>
    <row r="432">
      <c r="A432" s="21"/>
      <c r="B432" s="21"/>
      <c r="C432" s="21"/>
      <c r="D432" s="21"/>
      <c r="E432" s="136"/>
      <c r="F432" s="136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</row>
    <row r="433">
      <c r="A433" s="21"/>
      <c r="B433" s="21"/>
      <c r="C433" s="21"/>
      <c r="D433" s="21"/>
      <c r="E433" s="136"/>
      <c r="F433" s="136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</row>
    <row r="434">
      <c r="A434" s="21"/>
      <c r="B434" s="21"/>
      <c r="C434" s="21"/>
      <c r="D434" s="21"/>
      <c r="E434" s="136"/>
      <c r="F434" s="136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</row>
    <row r="435">
      <c r="A435" s="21"/>
      <c r="B435" s="21"/>
      <c r="C435" s="21"/>
      <c r="D435" s="21"/>
      <c r="E435" s="136"/>
      <c r="F435" s="136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</row>
    <row r="436">
      <c r="A436" s="21"/>
      <c r="B436" s="21"/>
      <c r="C436" s="21"/>
      <c r="D436" s="21"/>
      <c r="E436" s="136"/>
      <c r="F436" s="136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</row>
    <row r="437">
      <c r="A437" s="21"/>
      <c r="B437" s="21"/>
      <c r="C437" s="21"/>
      <c r="D437" s="21"/>
      <c r="E437" s="136"/>
      <c r="F437" s="136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</row>
    <row r="438">
      <c r="A438" s="21"/>
      <c r="B438" s="21"/>
      <c r="C438" s="21"/>
      <c r="D438" s="21"/>
      <c r="E438" s="136"/>
      <c r="F438" s="136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</row>
    <row r="439">
      <c r="A439" s="21"/>
      <c r="B439" s="21"/>
      <c r="C439" s="21"/>
      <c r="D439" s="21"/>
      <c r="E439" s="136"/>
      <c r="F439" s="136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</row>
    <row r="440">
      <c r="A440" s="21"/>
      <c r="B440" s="21"/>
      <c r="C440" s="21"/>
      <c r="D440" s="21"/>
      <c r="E440" s="136"/>
      <c r="F440" s="136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</row>
    <row r="441">
      <c r="A441" s="21"/>
      <c r="B441" s="21"/>
      <c r="C441" s="21"/>
      <c r="D441" s="21"/>
      <c r="E441" s="136"/>
      <c r="F441" s="136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</row>
    <row r="442">
      <c r="A442" s="21"/>
      <c r="B442" s="21"/>
      <c r="C442" s="21"/>
      <c r="D442" s="21"/>
      <c r="E442" s="136"/>
      <c r="F442" s="136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</row>
    <row r="443">
      <c r="A443" s="21"/>
      <c r="B443" s="21"/>
      <c r="C443" s="21"/>
      <c r="D443" s="21"/>
      <c r="E443" s="136"/>
      <c r="F443" s="136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</row>
    <row r="444">
      <c r="A444" s="21"/>
      <c r="B444" s="21"/>
      <c r="C444" s="21"/>
      <c r="D444" s="21"/>
      <c r="E444" s="136"/>
      <c r="F444" s="136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</row>
    <row r="445">
      <c r="A445" s="21"/>
      <c r="B445" s="21"/>
      <c r="C445" s="21"/>
      <c r="D445" s="21"/>
      <c r="E445" s="136"/>
      <c r="F445" s="136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</row>
    <row r="446">
      <c r="A446" s="21"/>
      <c r="B446" s="21"/>
      <c r="C446" s="21"/>
      <c r="D446" s="21"/>
      <c r="E446" s="136"/>
      <c r="F446" s="136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</row>
    <row r="447">
      <c r="A447" s="21"/>
      <c r="B447" s="21"/>
      <c r="C447" s="21"/>
      <c r="D447" s="21"/>
      <c r="E447" s="136"/>
      <c r="F447" s="136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</row>
    <row r="448">
      <c r="A448" s="21"/>
      <c r="B448" s="21"/>
      <c r="C448" s="21"/>
      <c r="D448" s="21"/>
      <c r="E448" s="136"/>
      <c r="F448" s="136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</row>
    <row r="449">
      <c r="A449" s="21"/>
      <c r="B449" s="21"/>
      <c r="C449" s="21"/>
      <c r="D449" s="21"/>
      <c r="E449" s="136"/>
      <c r="F449" s="136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</row>
    <row r="450">
      <c r="A450" s="21"/>
      <c r="B450" s="21"/>
      <c r="C450" s="21"/>
      <c r="D450" s="21"/>
      <c r="E450" s="136"/>
      <c r="F450" s="136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</row>
    <row r="451">
      <c r="A451" s="21"/>
      <c r="B451" s="21"/>
      <c r="C451" s="21"/>
      <c r="D451" s="21"/>
      <c r="E451" s="136"/>
      <c r="F451" s="136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</row>
    <row r="452">
      <c r="A452" s="21"/>
      <c r="B452" s="21"/>
      <c r="C452" s="21"/>
      <c r="D452" s="21"/>
      <c r="E452" s="136"/>
      <c r="F452" s="136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</row>
    <row r="453">
      <c r="A453" s="21"/>
      <c r="B453" s="21"/>
      <c r="C453" s="21"/>
      <c r="D453" s="21"/>
      <c r="E453" s="136"/>
      <c r="F453" s="136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</row>
    <row r="454">
      <c r="A454" s="21"/>
      <c r="B454" s="21"/>
      <c r="C454" s="21"/>
      <c r="D454" s="21"/>
      <c r="E454" s="136"/>
      <c r="F454" s="136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</row>
    <row r="455">
      <c r="A455" s="21"/>
      <c r="B455" s="21"/>
      <c r="C455" s="21"/>
      <c r="D455" s="21"/>
      <c r="E455" s="136"/>
      <c r="F455" s="136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</row>
    <row r="456">
      <c r="A456" s="21"/>
      <c r="B456" s="21"/>
      <c r="C456" s="21"/>
      <c r="D456" s="21"/>
      <c r="E456" s="136"/>
      <c r="F456" s="136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</row>
    <row r="457">
      <c r="A457" s="21"/>
      <c r="B457" s="21"/>
      <c r="C457" s="21"/>
      <c r="D457" s="21"/>
      <c r="E457" s="136"/>
      <c r="F457" s="136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</row>
    <row r="458">
      <c r="A458" s="21"/>
      <c r="B458" s="21"/>
      <c r="C458" s="21"/>
      <c r="D458" s="21"/>
      <c r="E458" s="136"/>
      <c r="F458" s="136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</row>
    <row r="459">
      <c r="A459" s="21"/>
      <c r="B459" s="21"/>
      <c r="C459" s="21"/>
      <c r="D459" s="21"/>
      <c r="E459" s="136"/>
      <c r="F459" s="136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</row>
    <row r="460">
      <c r="A460" s="21"/>
      <c r="B460" s="21"/>
      <c r="C460" s="21"/>
      <c r="D460" s="21"/>
      <c r="E460" s="136"/>
      <c r="F460" s="136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</row>
    <row r="461">
      <c r="A461" s="21"/>
      <c r="B461" s="21"/>
      <c r="C461" s="21"/>
      <c r="D461" s="21"/>
      <c r="E461" s="136"/>
      <c r="F461" s="136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</row>
    <row r="462">
      <c r="A462" s="21"/>
      <c r="B462" s="21"/>
      <c r="C462" s="21"/>
      <c r="D462" s="21"/>
      <c r="E462" s="136"/>
      <c r="F462" s="136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</row>
    <row r="463">
      <c r="A463" s="21"/>
      <c r="B463" s="21"/>
      <c r="C463" s="21"/>
      <c r="D463" s="21"/>
      <c r="E463" s="136"/>
      <c r="F463" s="136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</row>
    <row r="464">
      <c r="A464" s="21"/>
      <c r="B464" s="21"/>
      <c r="C464" s="21"/>
      <c r="D464" s="21"/>
      <c r="E464" s="136"/>
      <c r="F464" s="136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</row>
    <row r="465">
      <c r="A465" s="21"/>
      <c r="B465" s="21"/>
      <c r="C465" s="21"/>
      <c r="D465" s="21"/>
      <c r="E465" s="136"/>
      <c r="F465" s="136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</row>
    <row r="466">
      <c r="A466" s="21"/>
      <c r="B466" s="21"/>
      <c r="C466" s="21"/>
      <c r="D466" s="21"/>
      <c r="E466" s="136"/>
      <c r="F466" s="136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</row>
    <row r="467">
      <c r="A467" s="21"/>
      <c r="B467" s="21"/>
      <c r="C467" s="21"/>
      <c r="D467" s="21"/>
      <c r="E467" s="136"/>
      <c r="F467" s="136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</row>
    <row r="468">
      <c r="A468" s="21"/>
      <c r="B468" s="21"/>
      <c r="C468" s="21"/>
      <c r="D468" s="21"/>
      <c r="E468" s="136"/>
      <c r="F468" s="136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</row>
    <row r="469">
      <c r="A469" s="21"/>
      <c r="B469" s="21"/>
      <c r="C469" s="21"/>
      <c r="D469" s="21"/>
      <c r="E469" s="136"/>
      <c r="F469" s="136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</row>
    <row r="470">
      <c r="A470" s="21"/>
      <c r="B470" s="21"/>
      <c r="C470" s="21"/>
      <c r="D470" s="21"/>
      <c r="E470" s="136"/>
      <c r="F470" s="136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</row>
    <row r="471">
      <c r="A471" s="21"/>
      <c r="B471" s="21"/>
      <c r="C471" s="21"/>
      <c r="D471" s="21"/>
      <c r="E471" s="136"/>
      <c r="F471" s="136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</row>
    <row r="472">
      <c r="A472" s="21"/>
      <c r="B472" s="21"/>
      <c r="C472" s="21"/>
      <c r="D472" s="21"/>
      <c r="E472" s="136"/>
      <c r="F472" s="136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</row>
    <row r="473">
      <c r="A473" s="21"/>
      <c r="B473" s="21"/>
      <c r="C473" s="21"/>
      <c r="D473" s="21"/>
      <c r="E473" s="136"/>
      <c r="F473" s="136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</row>
    <row r="474">
      <c r="A474" s="21"/>
      <c r="B474" s="21"/>
      <c r="C474" s="21"/>
      <c r="D474" s="21"/>
      <c r="E474" s="136"/>
      <c r="F474" s="136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</row>
    <row r="475">
      <c r="A475" s="21"/>
      <c r="B475" s="21"/>
      <c r="C475" s="21"/>
      <c r="D475" s="21"/>
      <c r="E475" s="136"/>
      <c r="F475" s="136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</row>
    <row r="476">
      <c r="A476" s="21"/>
      <c r="B476" s="21"/>
      <c r="C476" s="21"/>
      <c r="D476" s="21"/>
      <c r="E476" s="136"/>
      <c r="F476" s="136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</row>
    <row r="477">
      <c r="A477" s="21"/>
      <c r="B477" s="21"/>
      <c r="C477" s="21"/>
      <c r="D477" s="21"/>
      <c r="E477" s="136"/>
      <c r="F477" s="136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</row>
    <row r="478">
      <c r="A478" s="21"/>
      <c r="B478" s="21"/>
      <c r="C478" s="21"/>
      <c r="D478" s="21"/>
      <c r="E478" s="136"/>
      <c r="F478" s="136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</row>
    <row r="479">
      <c r="A479" s="21"/>
      <c r="B479" s="21"/>
      <c r="C479" s="21"/>
      <c r="D479" s="21"/>
      <c r="E479" s="136"/>
      <c r="F479" s="136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</row>
    <row r="480">
      <c r="A480" s="21"/>
      <c r="B480" s="21"/>
      <c r="C480" s="21"/>
      <c r="D480" s="21"/>
      <c r="E480" s="136"/>
      <c r="F480" s="136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</row>
    <row r="481">
      <c r="A481" s="21"/>
      <c r="B481" s="21"/>
      <c r="C481" s="21"/>
      <c r="D481" s="21"/>
      <c r="E481" s="136"/>
      <c r="F481" s="136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</row>
    <row r="482">
      <c r="A482" s="21"/>
      <c r="B482" s="21"/>
      <c r="C482" s="21"/>
      <c r="D482" s="21"/>
      <c r="E482" s="136"/>
      <c r="F482" s="136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</row>
    <row r="483">
      <c r="A483" s="21"/>
      <c r="B483" s="21"/>
      <c r="C483" s="21"/>
      <c r="D483" s="21"/>
      <c r="E483" s="136"/>
      <c r="F483" s="136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</row>
    <row r="484">
      <c r="A484" s="21"/>
      <c r="B484" s="21"/>
      <c r="C484" s="21"/>
      <c r="D484" s="21"/>
      <c r="E484" s="136"/>
      <c r="F484" s="136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</row>
    <row r="485">
      <c r="A485" s="21"/>
      <c r="B485" s="21"/>
      <c r="C485" s="21"/>
      <c r="D485" s="21"/>
      <c r="E485" s="136"/>
      <c r="F485" s="136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</row>
    <row r="486">
      <c r="A486" s="21"/>
      <c r="B486" s="21"/>
      <c r="C486" s="21"/>
      <c r="D486" s="21"/>
      <c r="E486" s="136"/>
      <c r="F486" s="136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</row>
    <row r="487">
      <c r="A487" s="21"/>
      <c r="B487" s="21"/>
      <c r="C487" s="21"/>
      <c r="D487" s="21"/>
      <c r="E487" s="136"/>
      <c r="F487" s="136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</row>
    <row r="488">
      <c r="A488" s="21"/>
      <c r="B488" s="21"/>
      <c r="C488" s="21"/>
      <c r="D488" s="21"/>
      <c r="E488" s="136"/>
      <c r="F488" s="136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</row>
    <row r="489">
      <c r="A489" s="21"/>
      <c r="B489" s="21"/>
      <c r="C489" s="21"/>
      <c r="D489" s="21"/>
      <c r="E489" s="136"/>
      <c r="F489" s="136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</row>
    <row r="490">
      <c r="A490" s="21"/>
      <c r="B490" s="21"/>
      <c r="C490" s="21"/>
      <c r="D490" s="21"/>
      <c r="E490" s="136"/>
      <c r="F490" s="136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</row>
    <row r="491">
      <c r="A491" s="21"/>
      <c r="B491" s="21"/>
      <c r="C491" s="21"/>
      <c r="D491" s="21"/>
      <c r="E491" s="136"/>
      <c r="F491" s="136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</row>
    <row r="492">
      <c r="A492" s="21"/>
      <c r="B492" s="21"/>
      <c r="C492" s="21"/>
      <c r="D492" s="21"/>
      <c r="E492" s="136"/>
      <c r="F492" s="136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</row>
    <row r="493">
      <c r="A493" s="21"/>
      <c r="B493" s="21"/>
      <c r="C493" s="21"/>
      <c r="D493" s="21"/>
      <c r="E493" s="136"/>
      <c r="F493" s="136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</row>
    <row r="494">
      <c r="A494" s="21"/>
      <c r="B494" s="21"/>
      <c r="C494" s="21"/>
      <c r="D494" s="21"/>
      <c r="E494" s="136"/>
      <c r="F494" s="136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</row>
    <row r="495">
      <c r="A495" s="21"/>
      <c r="B495" s="21"/>
      <c r="C495" s="21"/>
      <c r="D495" s="21"/>
      <c r="E495" s="136"/>
      <c r="F495" s="136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</row>
    <row r="496">
      <c r="A496" s="21"/>
      <c r="B496" s="21"/>
      <c r="C496" s="21"/>
      <c r="D496" s="21"/>
      <c r="E496" s="136"/>
      <c r="F496" s="136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</row>
    <row r="497">
      <c r="A497" s="21"/>
      <c r="B497" s="21"/>
      <c r="C497" s="21"/>
      <c r="D497" s="21"/>
      <c r="E497" s="136"/>
      <c r="F497" s="136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</row>
    <row r="498">
      <c r="A498" s="21"/>
      <c r="B498" s="21"/>
      <c r="C498" s="21"/>
      <c r="D498" s="21"/>
      <c r="E498" s="136"/>
      <c r="F498" s="136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</row>
    <row r="499">
      <c r="A499" s="21"/>
      <c r="B499" s="21"/>
      <c r="C499" s="21"/>
      <c r="D499" s="21"/>
      <c r="E499" s="136"/>
      <c r="F499" s="136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</row>
    <row r="500">
      <c r="A500" s="21"/>
      <c r="B500" s="21"/>
      <c r="C500" s="21"/>
      <c r="D500" s="21"/>
      <c r="E500" s="136"/>
      <c r="F500" s="136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</row>
    <row r="501">
      <c r="A501" s="21"/>
      <c r="B501" s="21"/>
      <c r="C501" s="21"/>
      <c r="D501" s="21"/>
      <c r="E501" s="136"/>
      <c r="F501" s="136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</row>
    <row r="502">
      <c r="A502" s="21"/>
      <c r="B502" s="21"/>
      <c r="C502" s="21"/>
      <c r="D502" s="21"/>
      <c r="E502" s="136"/>
      <c r="F502" s="136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</row>
    <row r="503">
      <c r="A503" s="21"/>
      <c r="B503" s="21"/>
      <c r="C503" s="21"/>
      <c r="D503" s="21"/>
      <c r="E503" s="136"/>
      <c r="F503" s="136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</row>
    <row r="504">
      <c r="A504" s="21"/>
      <c r="B504" s="21"/>
      <c r="C504" s="21"/>
      <c r="D504" s="21"/>
      <c r="E504" s="136"/>
      <c r="F504" s="136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</row>
    <row r="505">
      <c r="A505" s="21"/>
      <c r="B505" s="21"/>
      <c r="C505" s="21"/>
      <c r="D505" s="21"/>
      <c r="E505" s="136"/>
      <c r="F505" s="136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</row>
    <row r="506">
      <c r="A506" s="21"/>
      <c r="B506" s="21"/>
      <c r="C506" s="21"/>
      <c r="D506" s="21"/>
      <c r="E506" s="136"/>
      <c r="F506" s="136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</row>
    <row r="507">
      <c r="A507" s="21"/>
      <c r="B507" s="21"/>
      <c r="C507" s="21"/>
      <c r="D507" s="21"/>
      <c r="E507" s="136"/>
      <c r="F507" s="136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</row>
    <row r="508">
      <c r="A508" s="21"/>
      <c r="B508" s="21"/>
      <c r="C508" s="21"/>
      <c r="D508" s="21"/>
      <c r="E508" s="136"/>
      <c r="F508" s="136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</row>
    <row r="509">
      <c r="A509" s="21"/>
      <c r="B509" s="21"/>
      <c r="C509" s="21"/>
      <c r="D509" s="21"/>
      <c r="E509" s="136"/>
      <c r="F509" s="136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</row>
    <row r="510">
      <c r="A510" s="21"/>
      <c r="B510" s="21"/>
      <c r="C510" s="21"/>
      <c r="D510" s="21"/>
      <c r="E510" s="136"/>
      <c r="F510" s="136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</row>
    <row r="511">
      <c r="A511" s="21"/>
      <c r="B511" s="21"/>
      <c r="C511" s="21"/>
      <c r="D511" s="21"/>
      <c r="E511" s="136"/>
      <c r="F511" s="136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</row>
    <row r="512">
      <c r="A512" s="21"/>
      <c r="B512" s="21"/>
      <c r="C512" s="21"/>
      <c r="D512" s="21"/>
      <c r="E512" s="136"/>
      <c r="F512" s="136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</row>
    <row r="513">
      <c r="A513" s="21"/>
      <c r="B513" s="21"/>
      <c r="C513" s="21"/>
      <c r="D513" s="21"/>
      <c r="E513" s="136"/>
      <c r="F513" s="136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</row>
    <row r="514">
      <c r="A514" s="21"/>
      <c r="B514" s="21"/>
      <c r="C514" s="21"/>
      <c r="D514" s="21"/>
      <c r="E514" s="136"/>
      <c r="F514" s="136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</row>
    <row r="515">
      <c r="A515" s="21"/>
      <c r="B515" s="21"/>
      <c r="C515" s="21"/>
      <c r="D515" s="21"/>
      <c r="E515" s="136"/>
      <c r="F515" s="136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</row>
    <row r="516">
      <c r="A516" s="21"/>
      <c r="B516" s="21"/>
      <c r="C516" s="21"/>
      <c r="D516" s="21"/>
      <c r="E516" s="136"/>
      <c r="F516" s="136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</row>
    <row r="517">
      <c r="A517" s="21"/>
      <c r="B517" s="21"/>
      <c r="C517" s="21"/>
      <c r="D517" s="21"/>
      <c r="E517" s="136"/>
      <c r="F517" s="136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</row>
    <row r="518">
      <c r="A518" s="21"/>
      <c r="B518" s="21"/>
      <c r="C518" s="21"/>
      <c r="D518" s="21"/>
      <c r="E518" s="136"/>
      <c r="F518" s="136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</row>
    <row r="519">
      <c r="A519" s="21"/>
      <c r="B519" s="21"/>
      <c r="C519" s="21"/>
      <c r="D519" s="21"/>
      <c r="E519" s="136"/>
      <c r="F519" s="136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</row>
    <row r="520">
      <c r="A520" s="21"/>
      <c r="B520" s="21"/>
      <c r="C520" s="21"/>
      <c r="D520" s="21"/>
      <c r="E520" s="136"/>
      <c r="F520" s="136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</row>
    <row r="521">
      <c r="A521" s="21"/>
      <c r="B521" s="21"/>
      <c r="C521" s="21"/>
      <c r="D521" s="21"/>
      <c r="E521" s="136"/>
      <c r="F521" s="136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</row>
    <row r="522">
      <c r="A522" s="21"/>
      <c r="B522" s="21"/>
      <c r="C522" s="21"/>
      <c r="D522" s="21"/>
      <c r="E522" s="136"/>
      <c r="F522" s="136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</row>
    <row r="523">
      <c r="A523" s="21"/>
      <c r="B523" s="21"/>
      <c r="C523" s="21"/>
      <c r="D523" s="21"/>
      <c r="E523" s="136"/>
      <c r="F523" s="136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</row>
    <row r="524">
      <c r="A524" s="21"/>
      <c r="B524" s="21"/>
      <c r="C524" s="21"/>
      <c r="D524" s="21"/>
      <c r="E524" s="136"/>
      <c r="F524" s="136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</row>
    <row r="525">
      <c r="A525" s="21"/>
      <c r="B525" s="21"/>
      <c r="C525" s="21"/>
      <c r="D525" s="21"/>
      <c r="E525" s="136"/>
      <c r="F525" s="136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</row>
    <row r="526">
      <c r="A526" s="21"/>
      <c r="B526" s="21"/>
      <c r="C526" s="21"/>
      <c r="D526" s="21"/>
      <c r="E526" s="136"/>
      <c r="F526" s="136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</row>
    <row r="527">
      <c r="A527" s="21"/>
      <c r="B527" s="21"/>
      <c r="C527" s="21"/>
      <c r="D527" s="21"/>
      <c r="E527" s="136"/>
      <c r="F527" s="136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</row>
    <row r="528">
      <c r="A528" s="21"/>
      <c r="B528" s="21"/>
      <c r="C528" s="21"/>
      <c r="D528" s="21"/>
      <c r="E528" s="136"/>
      <c r="F528" s="136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</row>
    <row r="529">
      <c r="A529" s="21"/>
      <c r="B529" s="21"/>
      <c r="C529" s="21"/>
      <c r="D529" s="21"/>
      <c r="E529" s="136"/>
      <c r="F529" s="136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</row>
    <row r="530">
      <c r="A530" s="21"/>
      <c r="B530" s="21"/>
      <c r="C530" s="21"/>
      <c r="D530" s="21"/>
      <c r="E530" s="136"/>
      <c r="F530" s="136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</row>
    <row r="531">
      <c r="A531" s="21"/>
      <c r="B531" s="21"/>
      <c r="C531" s="21"/>
      <c r="D531" s="21"/>
      <c r="E531" s="136"/>
      <c r="F531" s="136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</row>
    <row r="532">
      <c r="A532" s="21"/>
      <c r="B532" s="21"/>
      <c r="C532" s="21"/>
      <c r="D532" s="21"/>
      <c r="E532" s="136"/>
      <c r="F532" s="136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</row>
    <row r="533">
      <c r="A533" s="21"/>
      <c r="B533" s="21"/>
      <c r="C533" s="21"/>
      <c r="D533" s="21"/>
      <c r="E533" s="136"/>
      <c r="F533" s="136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</row>
    <row r="534">
      <c r="A534" s="21"/>
      <c r="B534" s="21"/>
      <c r="C534" s="21"/>
      <c r="D534" s="21"/>
      <c r="E534" s="136"/>
      <c r="F534" s="136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</row>
    <row r="535">
      <c r="A535" s="21"/>
      <c r="B535" s="21"/>
      <c r="C535" s="21"/>
      <c r="D535" s="21"/>
      <c r="E535" s="136"/>
      <c r="F535" s="136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</row>
    <row r="536">
      <c r="A536" s="21"/>
      <c r="B536" s="21"/>
      <c r="C536" s="21"/>
      <c r="D536" s="21"/>
      <c r="E536" s="136"/>
      <c r="F536" s="136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</row>
    <row r="537">
      <c r="A537" s="21"/>
      <c r="B537" s="21"/>
      <c r="C537" s="21"/>
      <c r="D537" s="21"/>
      <c r="E537" s="136"/>
      <c r="F537" s="136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</row>
    <row r="538">
      <c r="A538" s="21"/>
      <c r="B538" s="21"/>
      <c r="C538" s="21"/>
      <c r="D538" s="21"/>
      <c r="E538" s="136"/>
      <c r="F538" s="136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</row>
    <row r="539">
      <c r="A539" s="21"/>
      <c r="B539" s="21"/>
      <c r="C539" s="21"/>
      <c r="D539" s="21"/>
      <c r="E539" s="136"/>
      <c r="F539" s="136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</row>
    <row r="540">
      <c r="A540" s="21"/>
      <c r="B540" s="21"/>
      <c r="C540" s="21"/>
      <c r="D540" s="21"/>
      <c r="E540" s="136"/>
      <c r="F540" s="136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</row>
    <row r="541">
      <c r="A541" s="21"/>
      <c r="B541" s="21"/>
      <c r="C541" s="21"/>
      <c r="D541" s="21"/>
      <c r="E541" s="136"/>
      <c r="F541" s="136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</row>
    <row r="542">
      <c r="A542" s="21"/>
      <c r="B542" s="21"/>
      <c r="C542" s="21"/>
      <c r="D542" s="21"/>
      <c r="E542" s="136"/>
      <c r="F542" s="136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</row>
    <row r="543">
      <c r="A543" s="21"/>
      <c r="B543" s="21"/>
      <c r="C543" s="21"/>
      <c r="D543" s="21"/>
      <c r="E543" s="136"/>
      <c r="F543" s="136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</row>
    <row r="544">
      <c r="A544" s="21"/>
      <c r="B544" s="21"/>
      <c r="C544" s="21"/>
      <c r="D544" s="21"/>
      <c r="E544" s="136"/>
      <c r="F544" s="136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</row>
    <row r="545">
      <c r="A545" s="21"/>
      <c r="B545" s="21"/>
      <c r="C545" s="21"/>
      <c r="D545" s="21"/>
      <c r="E545" s="136"/>
      <c r="F545" s="136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</row>
    <row r="546">
      <c r="A546" s="21"/>
      <c r="B546" s="21"/>
      <c r="C546" s="21"/>
      <c r="D546" s="21"/>
      <c r="E546" s="136"/>
      <c r="F546" s="136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</row>
    <row r="547">
      <c r="A547" s="21"/>
      <c r="B547" s="21"/>
      <c r="C547" s="21"/>
      <c r="D547" s="21"/>
      <c r="E547" s="136"/>
      <c r="F547" s="136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</row>
    <row r="548">
      <c r="A548" s="21"/>
      <c r="B548" s="21"/>
      <c r="C548" s="21"/>
      <c r="D548" s="21"/>
      <c r="E548" s="136"/>
      <c r="F548" s="136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</row>
    <row r="549">
      <c r="A549" s="21"/>
      <c r="B549" s="21"/>
      <c r="C549" s="21"/>
      <c r="D549" s="21"/>
      <c r="E549" s="136"/>
      <c r="F549" s="136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</row>
    <row r="550">
      <c r="A550" s="21"/>
      <c r="B550" s="21"/>
      <c r="C550" s="21"/>
      <c r="D550" s="21"/>
      <c r="E550" s="136"/>
      <c r="F550" s="136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</row>
    <row r="551">
      <c r="A551" s="21"/>
      <c r="B551" s="21"/>
      <c r="C551" s="21"/>
      <c r="D551" s="21"/>
      <c r="E551" s="136"/>
      <c r="F551" s="136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</row>
    <row r="552">
      <c r="A552" s="21"/>
      <c r="B552" s="21"/>
      <c r="C552" s="21"/>
      <c r="D552" s="21"/>
      <c r="E552" s="136"/>
      <c r="F552" s="136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</row>
    <row r="553">
      <c r="A553" s="21"/>
      <c r="B553" s="21"/>
      <c r="C553" s="21"/>
      <c r="D553" s="21"/>
      <c r="E553" s="136"/>
      <c r="F553" s="136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</row>
    <row r="554">
      <c r="A554" s="21"/>
      <c r="B554" s="21"/>
      <c r="C554" s="21"/>
      <c r="D554" s="21"/>
      <c r="E554" s="136"/>
      <c r="F554" s="136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</row>
    <row r="555">
      <c r="A555" s="21"/>
      <c r="B555" s="21"/>
      <c r="C555" s="21"/>
      <c r="D555" s="21"/>
      <c r="E555" s="136"/>
      <c r="F555" s="136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</row>
    <row r="556">
      <c r="A556" s="21"/>
      <c r="B556" s="21"/>
      <c r="C556" s="21"/>
      <c r="D556" s="21"/>
      <c r="E556" s="136"/>
      <c r="F556" s="136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</row>
    <row r="557">
      <c r="A557" s="21"/>
      <c r="B557" s="21"/>
      <c r="C557" s="21"/>
      <c r="D557" s="21"/>
      <c r="E557" s="136"/>
      <c r="F557" s="136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</row>
    <row r="558">
      <c r="A558" s="21"/>
      <c r="B558" s="21"/>
      <c r="C558" s="21"/>
      <c r="D558" s="21"/>
      <c r="E558" s="136"/>
      <c r="F558" s="136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</row>
    <row r="559">
      <c r="A559" s="21"/>
      <c r="B559" s="21"/>
      <c r="C559" s="21"/>
      <c r="D559" s="21"/>
      <c r="E559" s="136"/>
      <c r="F559" s="136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</row>
    <row r="560">
      <c r="A560" s="21"/>
      <c r="B560" s="21"/>
      <c r="C560" s="21"/>
      <c r="D560" s="21"/>
      <c r="E560" s="136"/>
      <c r="F560" s="136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</row>
    <row r="561">
      <c r="A561" s="21"/>
      <c r="B561" s="21"/>
      <c r="C561" s="21"/>
      <c r="D561" s="21"/>
      <c r="E561" s="136"/>
      <c r="F561" s="136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</row>
    <row r="562">
      <c r="A562" s="21"/>
      <c r="B562" s="21"/>
      <c r="C562" s="21"/>
      <c r="D562" s="21"/>
      <c r="E562" s="136"/>
      <c r="F562" s="136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</row>
    <row r="563">
      <c r="A563" s="21"/>
      <c r="B563" s="21"/>
      <c r="C563" s="21"/>
      <c r="D563" s="21"/>
      <c r="E563" s="136"/>
      <c r="F563" s="136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</row>
    <row r="564">
      <c r="A564" s="21"/>
      <c r="B564" s="21"/>
      <c r="C564" s="21"/>
      <c r="D564" s="21"/>
      <c r="E564" s="136"/>
      <c r="F564" s="136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</row>
    <row r="565">
      <c r="A565" s="21"/>
      <c r="B565" s="21"/>
      <c r="C565" s="21"/>
      <c r="D565" s="21"/>
      <c r="E565" s="136"/>
      <c r="F565" s="136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</row>
    <row r="566">
      <c r="A566" s="21"/>
      <c r="B566" s="21"/>
      <c r="C566" s="21"/>
      <c r="D566" s="21"/>
      <c r="E566" s="136"/>
      <c r="F566" s="136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</row>
    <row r="567">
      <c r="A567" s="21"/>
      <c r="B567" s="21"/>
      <c r="C567" s="21"/>
      <c r="D567" s="21"/>
      <c r="E567" s="136"/>
      <c r="F567" s="136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</row>
    <row r="568">
      <c r="A568" s="21"/>
      <c r="B568" s="21"/>
      <c r="C568" s="21"/>
      <c r="D568" s="21"/>
      <c r="E568" s="136"/>
      <c r="F568" s="136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</row>
    <row r="569">
      <c r="A569" s="21"/>
      <c r="B569" s="21"/>
      <c r="C569" s="21"/>
      <c r="D569" s="21"/>
      <c r="E569" s="136"/>
      <c r="F569" s="136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</row>
    <row r="570">
      <c r="A570" s="21"/>
      <c r="B570" s="21"/>
      <c r="C570" s="21"/>
      <c r="D570" s="21"/>
      <c r="E570" s="136"/>
      <c r="F570" s="136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</row>
    <row r="571">
      <c r="A571" s="21"/>
      <c r="B571" s="21"/>
      <c r="C571" s="21"/>
      <c r="D571" s="21"/>
      <c r="E571" s="136"/>
      <c r="F571" s="136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</row>
    <row r="572">
      <c r="A572" s="21"/>
      <c r="B572" s="21"/>
      <c r="C572" s="21"/>
      <c r="D572" s="21"/>
      <c r="E572" s="136"/>
      <c r="F572" s="136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</row>
    <row r="573">
      <c r="A573" s="21"/>
      <c r="B573" s="21"/>
      <c r="C573" s="21"/>
      <c r="D573" s="21"/>
      <c r="E573" s="136"/>
      <c r="F573" s="136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</row>
    <row r="574">
      <c r="A574" s="21"/>
      <c r="B574" s="21"/>
      <c r="C574" s="21"/>
      <c r="D574" s="21"/>
      <c r="E574" s="136"/>
      <c r="F574" s="136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</row>
    <row r="575">
      <c r="A575" s="21"/>
      <c r="B575" s="21"/>
      <c r="C575" s="21"/>
      <c r="D575" s="21"/>
      <c r="E575" s="136"/>
      <c r="F575" s="136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</row>
    <row r="576">
      <c r="A576" s="21"/>
      <c r="B576" s="21"/>
      <c r="C576" s="21"/>
      <c r="D576" s="21"/>
      <c r="E576" s="136"/>
      <c r="F576" s="136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</row>
    <row r="577">
      <c r="A577" s="21"/>
      <c r="B577" s="21"/>
      <c r="C577" s="21"/>
      <c r="D577" s="21"/>
      <c r="E577" s="136"/>
      <c r="F577" s="136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</row>
    <row r="578">
      <c r="A578" s="21"/>
      <c r="B578" s="21"/>
      <c r="C578" s="21"/>
      <c r="D578" s="21"/>
      <c r="E578" s="136"/>
      <c r="F578" s="136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</row>
    <row r="579">
      <c r="A579" s="21"/>
      <c r="B579" s="21"/>
      <c r="C579" s="21"/>
      <c r="D579" s="21"/>
      <c r="E579" s="136"/>
      <c r="F579" s="136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</row>
    <row r="580">
      <c r="A580" s="21"/>
      <c r="B580" s="21"/>
      <c r="C580" s="21"/>
      <c r="D580" s="21"/>
      <c r="E580" s="136"/>
      <c r="F580" s="136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</row>
    <row r="581">
      <c r="A581" s="21"/>
      <c r="B581" s="21"/>
      <c r="C581" s="21"/>
      <c r="D581" s="21"/>
      <c r="E581" s="136"/>
      <c r="F581" s="136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</row>
    <row r="582">
      <c r="A582" s="21"/>
      <c r="B582" s="21"/>
      <c r="C582" s="21"/>
      <c r="D582" s="21"/>
      <c r="E582" s="136"/>
      <c r="F582" s="136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</row>
    <row r="583">
      <c r="A583" s="21"/>
      <c r="B583" s="21"/>
      <c r="C583" s="21"/>
      <c r="D583" s="21"/>
      <c r="E583" s="136"/>
      <c r="F583" s="136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</row>
    <row r="584">
      <c r="A584" s="21"/>
      <c r="B584" s="21"/>
      <c r="C584" s="21"/>
      <c r="D584" s="21"/>
      <c r="E584" s="136"/>
      <c r="F584" s="136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</row>
    <row r="585">
      <c r="A585" s="21"/>
      <c r="B585" s="21"/>
      <c r="C585" s="21"/>
      <c r="D585" s="21"/>
      <c r="E585" s="136"/>
      <c r="F585" s="136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</row>
    <row r="586">
      <c r="A586" s="21"/>
      <c r="B586" s="21"/>
      <c r="C586" s="21"/>
      <c r="D586" s="21"/>
      <c r="E586" s="136"/>
      <c r="F586" s="136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</row>
    <row r="587">
      <c r="A587" s="21"/>
      <c r="B587" s="21"/>
      <c r="C587" s="21"/>
      <c r="D587" s="21"/>
      <c r="E587" s="136"/>
      <c r="F587" s="136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</row>
    <row r="588">
      <c r="A588" s="21"/>
      <c r="B588" s="21"/>
      <c r="C588" s="21"/>
      <c r="D588" s="21"/>
      <c r="E588" s="136"/>
      <c r="F588" s="136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</row>
    <row r="589">
      <c r="A589" s="21"/>
      <c r="B589" s="21"/>
      <c r="C589" s="21"/>
      <c r="D589" s="21"/>
      <c r="E589" s="136"/>
      <c r="F589" s="136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</row>
    <row r="590">
      <c r="A590" s="21"/>
      <c r="B590" s="21"/>
      <c r="C590" s="21"/>
      <c r="D590" s="21"/>
      <c r="E590" s="136"/>
      <c r="F590" s="136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</row>
    <row r="591">
      <c r="A591" s="21"/>
      <c r="B591" s="21"/>
      <c r="C591" s="21"/>
      <c r="D591" s="21"/>
      <c r="E591" s="136"/>
      <c r="F591" s="136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</row>
    <row r="592">
      <c r="A592" s="21"/>
      <c r="B592" s="21"/>
      <c r="C592" s="21"/>
      <c r="D592" s="21"/>
      <c r="E592" s="136"/>
      <c r="F592" s="136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</row>
    <row r="593">
      <c r="A593" s="21"/>
      <c r="B593" s="21"/>
      <c r="C593" s="21"/>
      <c r="D593" s="21"/>
      <c r="E593" s="136"/>
      <c r="F593" s="136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</row>
    <row r="594">
      <c r="A594" s="21"/>
      <c r="B594" s="21"/>
      <c r="C594" s="21"/>
      <c r="D594" s="21"/>
      <c r="E594" s="136"/>
      <c r="F594" s="136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</row>
    <row r="595">
      <c r="A595" s="21"/>
      <c r="B595" s="21"/>
      <c r="C595" s="21"/>
      <c r="D595" s="21"/>
      <c r="E595" s="136"/>
      <c r="F595" s="136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</row>
    <row r="596">
      <c r="A596" s="21"/>
      <c r="B596" s="21"/>
      <c r="C596" s="21"/>
      <c r="D596" s="21"/>
      <c r="E596" s="136"/>
      <c r="F596" s="136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</row>
    <row r="597">
      <c r="A597" s="21"/>
      <c r="B597" s="21"/>
      <c r="C597" s="21"/>
      <c r="D597" s="21"/>
      <c r="E597" s="136"/>
      <c r="F597" s="136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</row>
    <row r="598">
      <c r="A598" s="21"/>
      <c r="B598" s="21"/>
      <c r="C598" s="21"/>
      <c r="D598" s="21"/>
      <c r="E598" s="136"/>
      <c r="F598" s="136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</row>
    <row r="599">
      <c r="A599" s="21"/>
      <c r="B599" s="21"/>
      <c r="C599" s="21"/>
      <c r="D599" s="21"/>
      <c r="E599" s="136"/>
      <c r="F599" s="136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</row>
    <row r="600">
      <c r="A600" s="21"/>
      <c r="B600" s="21"/>
      <c r="C600" s="21"/>
      <c r="D600" s="21"/>
      <c r="E600" s="136"/>
      <c r="F600" s="136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</row>
    <row r="601">
      <c r="A601" s="21"/>
      <c r="B601" s="21"/>
      <c r="C601" s="21"/>
      <c r="D601" s="21"/>
      <c r="E601" s="136"/>
      <c r="F601" s="136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</row>
    <row r="602">
      <c r="A602" s="21"/>
      <c r="B602" s="21"/>
      <c r="C602" s="21"/>
      <c r="D602" s="21"/>
      <c r="E602" s="136"/>
      <c r="F602" s="136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</row>
    <row r="603">
      <c r="A603" s="21"/>
      <c r="B603" s="21"/>
      <c r="C603" s="21"/>
      <c r="D603" s="21"/>
      <c r="E603" s="136"/>
      <c r="F603" s="136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</row>
    <row r="604">
      <c r="A604" s="21"/>
      <c r="B604" s="21"/>
      <c r="C604" s="21"/>
      <c r="D604" s="21"/>
      <c r="E604" s="136"/>
      <c r="F604" s="136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</row>
    <row r="605">
      <c r="A605" s="21"/>
      <c r="B605" s="21"/>
      <c r="C605" s="21"/>
      <c r="D605" s="21"/>
      <c r="E605" s="136"/>
      <c r="F605" s="136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</row>
    <row r="606">
      <c r="A606" s="21"/>
      <c r="B606" s="21"/>
      <c r="C606" s="21"/>
      <c r="D606" s="21"/>
      <c r="E606" s="136"/>
      <c r="F606" s="136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</row>
    <row r="607">
      <c r="A607" s="21"/>
      <c r="B607" s="21"/>
      <c r="C607" s="21"/>
      <c r="D607" s="21"/>
      <c r="E607" s="136"/>
      <c r="F607" s="136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</row>
    <row r="608">
      <c r="A608" s="21"/>
      <c r="B608" s="21"/>
      <c r="C608" s="21"/>
      <c r="D608" s="21"/>
      <c r="E608" s="136"/>
      <c r="F608" s="136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</row>
    <row r="609">
      <c r="A609" s="21"/>
      <c r="B609" s="21"/>
      <c r="C609" s="21"/>
      <c r="D609" s="21"/>
      <c r="E609" s="136"/>
      <c r="F609" s="136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</row>
    <row r="610">
      <c r="A610" s="21"/>
      <c r="B610" s="21"/>
      <c r="C610" s="21"/>
      <c r="D610" s="21"/>
      <c r="E610" s="136"/>
      <c r="F610" s="136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</row>
    <row r="611">
      <c r="A611" s="21"/>
      <c r="B611" s="21"/>
      <c r="C611" s="21"/>
      <c r="D611" s="21"/>
      <c r="E611" s="136"/>
      <c r="F611" s="136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</row>
    <row r="612">
      <c r="A612" s="21"/>
      <c r="B612" s="21"/>
      <c r="C612" s="21"/>
      <c r="D612" s="21"/>
      <c r="E612" s="136"/>
      <c r="F612" s="136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</row>
    <row r="613">
      <c r="A613" s="21"/>
      <c r="B613" s="21"/>
      <c r="C613" s="21"/>
      <c r="D613" s="21"/>
      <c r="E613" s="136"/>
      <c r="F613" s="136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</row>
    <row r="614">
      <c r="A614" s="21"/>
      <c r="B614" s="21"/>
      <c r="C614" s="21"/>
      <c r="D614" s="21"/>
      <c r="E614" s="136"/>
      <c r="F614" s="136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</row>
    <row r="615">
      <c r="A615" s="21"/>
      <c r="B615" s="21"/>
      <c r="C615" s="21"/>
      <c r="D615" s="21"/>
      <c r="E615" s="136"/>
      <c r="F615" s="136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</row>
    <row r="616">
      <c r="A616" s="21"/>
      <c r="B616" s="21"/>
      <c r="C616" s="21"/>
      <c r="D616" s="21"/>
      <c r="E616" s="136"/>
      <c r="F616" s="136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</row>
    <row r="617">
      <c r="A617" s="21"/>
      <c r="B617" s="21"/>
      <c r="C617" s="21"/>
      <c r="D617" s="21"/>
      <c r="E617" s="136"/>
      <c r="F617" s="136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</row>
    <row r="618">
      <c r="A618" s="21"/>
      <c r="B618" s="21"/>
      <c r="C618" s="21"/>
      <c r="D618" s="21"/>
      <c r="E618" s="136"/>
      <c r="F618" s="136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</row>
    <row r="619">
      <c r="A619" s="21"/>
      <c r="B619" s="21"/>
      <c r="C619" s="21"/>
      <c r="D619" s="21"/>
      <c r="E619" s="136"/>
      <c r="F619" s="136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</row>
    <row r="620">
      <c r="A620" s="21"/>
      <c r="B620" s="21"/>
      <c r="C620" s="21"/>
      <c r="D620" s="21"/>
      <c r="E620" s="136"/>
      <c r="F620" s="136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</row>
    <row r="621">
      <c r="A621" s="21"/>
      <c r="B621" s="21"/>
      <c r="C621" s="21"/>
      <c r="D621" s="21"/>
      <c r="E621" s="136"/>
      <c r="F621" s="136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</row>
    <row r="622">
      <c r="A622" s="21"/>
      <c r="B622" s="21"/>
      <c r="C622" s="21"/>
      <c r="D622" s="21"/>
      <c r="E622" s="136"/>
      <c r="F622" s="136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</row>
    <row r="623">
      <c r="A623" s="21"/>
      <c r="B623" s="21"/>
      <c r="C623" s="21"/>
      <c r="D623" s="21"/>
      <c r="E623" s="136"/>
      <c r="F623" s="136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</row>
    <row r="624">
      <c r="A624" s="21"/>
      <c r="B624" s="21"/>
      <c r="C624" s="21"/>
      <c r="D624" s="21"/>
      <c r="E624" s="136"/>
      <c r="F624" s="136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</row>
    <row r="625">
      <c r="A625" s="21"/>
      <c r="B625" s="21"/>
      <c r="C625" s="21"/>
      <c r="D625" s="21"/>
      <c r="E625" s="136"/>
      <c r="F625" s="136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</row>
    <row r="626">
      <c r="A626" s="21"/>
      <c r="B626" s="21"/>
      <c r="C626" s="21"/>
      <c r="D626" s="21"/>
      <c r="E626" s="136"/>
      <c r="F626" s="136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</row>
    <row r="627">
      <c r="A627" s="21"/>
      <c r="B627" s="21"/>
      <c r="C627" s="21"/>
      <c r="D627" s="21"/>
      <c r="E627" s="136"/>
      <c r="F627" s="136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</row>
    <row r="628">
      <c r="A628" s="21"/>
      <c r="B628" s="21"/>
      <c r="C628" s="21"/>
      <c r="D628" s="21"/>
      <c r="E628" s="136"/>
      <c r="F628" s="136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</row>
    <row r="629">
      <c r="A629" s="21"/>
      <c r="B629" s="21"/>
      <c r="C629" s="21"/>
      <c r="D629" s="21"/>
      <c r="E629" s="136"/>
      <c r="F629" s="136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</row>
    <row r="630">
      <c r="A630" s="21"/>
      <c r="B630" s="21"/>
      <c r="C630" s="21"/>
      <c r="D630" s="21"/>
      <c r="E630" s="136"/>
      <c r="F630" s="136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</row>
    <row r="631">
      <c r="A631" s="21"/>
      <c r="B631" s="21"/>
      <c r="C631" s="21"/>
      <c r="D631" s="21"/>
      <c r="E631" s="136"/>
      <c r="F631" s="136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</row>
    <row r="632">
      <c r="A632" s="21"/>
      <c r="B632" s="21"/>
      <c r="C632" s="21"/>
      <c r="D632" s="21"/>
      <c r="E632" s="136"/>
      <c r="F632" s="136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</row>
    <row r="633">
      <c r="A633" s="21"/>
      <c r="B633" s="21"/>
      <c r="C633" s="21"/>
      <c r="D633" s="21"/>
      <c r="E633" s="136"/>
      <c r="F633" s="136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</row>
    <row r="634">
      <c r="A634" s="21"/>
      <c r="B634" s="21"/>
      <c r="C634" s="21"/>
      <c r="D634" s="21"/>
      <c r="E634" s="136"/>
      <c r="F634" s="136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</row>
    <row r="635">
      <c r="A635" s="21"/>
      <c r="B635" s="21"/>
      <c r="C635" s="21"/>
      <c r="D635" s="21"/>
      <c r="E635" s="136"/>
      <c r="F635" s="136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</row>
    <row r="636">
      <c r="A636" s="21"/>
      <c r="B636" s="21"/>
      <c r="C636" s="21"/>
      <c r="D636" s="21"/>
      <c r="E636" s="136"/>
      <c r="F636" s="136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</row>
    <row r="637">
      <c r="A637" s="21"/>
      <c r="B637" s="21"/>
      <c r="C637" s="21"/>
      <c r="D637" s="21"/>
      <c r="E637" s="136"/>
      <c r="F637" s="136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</row>
    <row r="638">
      <c r="A638" s="21"/>
      <c r="B638" s="21"/>
      <c r="C638" s="21"/>
      <c r="D638" s="21"/>
      <c r="E638" s="136"/>
      <c r="F638" s="136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</row>
    <row r="639">
      <c r="A639" s="21"/>
      <c r="B639" s="21"/>
      <c r="C639" s="21"/>
      <c r="D639" s="21"/>
      <c r="E639" s="136"/>
      <c r="F639" s="136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</row>
    <row r="640">
      <c r="A640" s="21"/>
      <c r="B640" s="21"/>
      <c r="C640" s="21"/>
      <c r="D640" s="21"/>
      <c r="E640" s="136"/>
      <c r="F640" s="136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</row>
    <row r="641">
      <c r="A641" s="21"/>
      <c r="B641" s="21"/>
      <c r="C641" s="21"/>
      <c r="D641" s="21"/>
      <c r="E641" s="136"/>
      <c r="F641" s="136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</row>
    <row r="642">
      <c r="A642" s="21"/>
      <c r="B642" s="21"/>
      <c r="C642" s="21"/>
      <c r="D642" s="21"/>
      <c r="E642" s="136"/>
      <c r="F642" s="136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</row>
    <row r="643">
      <c r="A643" s="21"/>
      <c r="B643" s="21"/>
      <c r="C643" s="21"/>
      <c r="D643" s="21"/>
      <c r="E643" s="136"/>
      <c r="F643" s="136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</row>
    <row r="644">
      <c r="A644" s="21"/>
      <c r="B644" s="21"/>
      <c r="C644" s="21"/>
      <c r="D644" s="21"/>
      <c r="E644" s="136"/>
      <c r="F644" s="136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</row>
    <row r="645">
      <c r="A645" s="21"/>
      <c r="B645" s="21"/>
      <c r="C645" s="21"/>
      <c r="D645" s="21"/>
      <c r="E645" s="136"/>
      <c r="F645" s="136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</row>
    <row r="646">
      <c r="A646" s="21"/>
      <c r="B646" s="21"/>
      <c r="C646" s="21"/>
      <c r="D646" s="21"/>
      <c r="E646" s="136"/>
      <c r="F646" s="136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</row>
    <row r="647">
      <c r="A647" s="21"/>
      <c r="B647" s="21"/>
      <c r="C647" s="21"/>
      <c r="D647" s="21"/>
      <c r="E647" s="136"/>
      <c r="F647" s="136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</row>
    <row r="648">
      <c r="A648" s="21"/>
      <c r="B648" s="21"/>
      <c r="C648" s="21"/>
      <c r="D648" s="21"/>
      <c r="E648" s="136"/>
      <c r="F648" s="136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</row>
    <row r="649">
      <c r="A649" s="21"/>
      <c r="B649" s="21"/>
      <c r="C649" s="21"/>
      <c r="D649" s="21"/>
      <c r="E649" s="136"/>
      <c r="F649" s="136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</row>
    <row r="650">
      <c r="A650" s="21"/>
      <c r="B650" s="21"/>
      <c r="C650" s="21"/>
      <c r="D650" s="21"/>
      <c r="E650" s="136"/>
      <c r="F650" s="136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</row>
    <row r="651">
      <c r="A651" s="21"/>
      <c r="B651" s="21"/>
      <c r="C651" s="21"/>
      <c r="D651" s="21"/>
      <c r="E651" s="136"/>
      <c r="F651" s="136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</row>
    <row r="652">
      <c r="A652" s="21"/>
      <c r="B652" s="21"/>
      <c r="C652" s="21"/>
      <c r="D652" s="21"/>
      <c r="E652" s="136"/>
      <c r="F652" s="136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</row>
    <row r="653">
      <c r="A653" s="21"/>
      <c r="B653" s="21"/>
      <c r="C653" s="21"/>
      <c r="D653" s="21"/>
      <c r="E653" s="136"/>
      <c r="F653" s="136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</row>
    <row r="654">
      <c r="A654" s="21"/>
      <c r="B654" s="21"/>
      <c r="C654" s="21"/>
      <c r="D654" s="21"/>
      <c r="E654" s="136"/>
      <c r="F654" s="136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</row>
    <row r="655">
      <c r="A655" s="21"/>
      <c r="B655" s="21"/>
      <c r="C655" s="21"/>
      <c r="D655" s="21"/>
      <c r="E655" s="136"/>
      <c r="F655" s="136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</row>
    <row r="656">
      <c r="A656" s="21"/>
      <c r="B656" s="21"/>
      <c r="C656" s="21"/>
      <c r="D656" s="21"/>
      <c r="E656" s="136"/>
      <c r="F656" s="136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</row>
    <row r="657">
      <c r="A657" s="21"/>
      <c r="B657" s="21"/>
      <c r="C657" s="21"/>
      <c r="D657" s="21"/>
      <c r="E657" s="136"/>
      <c r="F657" s="136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</row>
    <row r="658">
      <c r="A658" s="21"/>
      <c r="B658" s="21"/>
      <c r="C658" s="21"/>
      <c r="D658" s="21"/>
      <c r="E658" s="136"/>
      <c r="F658" s="136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</row>
    <row r="659">
      <c r="A659" s="21"/>
      <c r="B659" s="21"/>
      <c r="C659" s="21"/>
      <c r="D659" s="21"/>
      <c r="E659" s="136"/>
      <c r="F659" s="136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</row>
    <row r="660">
      <c r="A660" s="21"/>
      <c r="B660" s="21"/>
      <c r="C660" s="21"/>
      <c r="D660" s="21"/>
      <c r="E660" s="136"/>
      <c r="F660" s="136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</row>
    <row r="661">
      <c r="A661" s="21"/>
      <c r="B661" s="21"/>
      <c r="C661" s="21"/>
      <c r="D661" s="21"/>
      <c r="E661" s="136"/>
      <c r="F661" s="136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</row>
    <row r="662">
      <c r="A662" s="21"/>
      <c r="B662" s="21"/>
      <c r="C662" s="21"/>
      <c r="D662" s="21"/>
      <c r="E662" s="136"/>
      <c r="F662" s="136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</row>
    <row r="663">
      <c r="A663" s="21"/>
      <c r="B663" s="21"/>
      <c r="C663" s="21"/>
      <c r="D663" s="21"/>
      <c r="E663" s="136"/>
      <c r="F663" s="136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</row>
    <row r="664">
      <c r="A664" s="21"/>
      <c r="B664" s="21"/>
      <c r="C664" s="21"/>
      <c r="D664" s="21"/>
      <c r="E664" s="136"/>
      <c r="F664" s="136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</row>
    <row r="665">
      <c r="A665" s="21"/>
      <c r="B665" s="21"/>
      <c r="C665" s="21"/>
      <c r="D665" s="21"/>
      <c r="E665" s="136"/>
      <c r="F665" s="136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</row>
    <row r="666">
      <c r="A666" s="21"/>
      <c r="B666" s="21"/>
      <c r="C666" s="21"/>
      <c r="D666" s="21"/>
      <c r="E666" s="136"/>
      <c r="F666" s="136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</row>
    <row r="667">
      <c r="A667" s="21"/>
      <c r="B667" s="21"/>
      <c r="C667" s="21"/>
      <c r="D667" s="21"/>
      <c r="E667" s="136"/>
      <c r="F667" s="136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</row>
    <row r="668">
      <c r="A668" s="21"/>
      <c r="B668" s="21"/>
      <c r="C668" s="21"/>
      <c r="D668" s="21"/>
      <c r="E668" s="136"/>
      <c r="F668" s="136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</row>
    <row r="669">
      <c r="A669" s="21"/>
      <c r="B669" s="21"/>
      <c r="C669" s="21"/>
      <c r="D669" s="21"/>
      <c r="E669" s="136"/>
      <c r="F669" s="136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</row>
    <row r="670">
      <c r="A670" s="21"/>
      <c r="B670" s="21"/>
      <c r="C670" s="21"/>
      <c r="D670" s="21"/>
      <c r="E670" s="136"/>
      <c r="F670" s="136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</row>
    <row r="671">
      <c r="A671" s="21"/>
      <c r="B671" s="21"/>
      <c r="C671" s="21"/>
      <c r="D671" s="21"/>
      <c r="E671" s="136"/>
      <c r="F671" s="136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</row>
    <row r="672">
      <c r="A672" s="21"/>
      <c r="B672" s="21"/>
      <c r="C672" s="21"/>
      <c r="D672" s="21"/>
      <c r="E672" s="136"/>
      <c r="F672" s="136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</row>
    <row r="673">
      <c r="A673" s="21"/>
      <c r="B673" s="21"/>
      <c r="C673" s="21"/>
      <c r="D673" s="21"/>
      <c r="E673" s="136"/>
      <c r="F673" s="136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</row>
    <row r="674">
      <c r="A674" s="21"/>
      <c r="B674" s="21"/>
      <c r="C674" s="21"/>
      <c r="D674" s="21"/>
      <c r="E674" s="136"/>
      <c r="F674" s="136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</row>
    <row r="675">
      <c r="A675" s="21"/>
      <c r="B675" s="21"/>
      <c r="C675" s="21"/>
      <c r="D675" s="21"/>
      <c r="E675" s="136"/>
      <c r="F675" s="136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</row>
    <row r="676">
      <c r="A676" s="21"/>
      <c r="B676" s="21"/>
      <c r="C676" s="21"/>
      <c r="D676" s="21"/>
      <c r="E676" s="136"/>
      <c r="F676" s="136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</row>
    <row r="677">
      <c r="A677" s="21"/>
      <c r="B677" s="21"/>
      <c r="C677" s="21"/>
      <c r="D677" s="21"/>
      <c r="E677" s="136"/>
      <c r="F677" s="136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</row>
    <row r="678">
      <c r="A678" s="21"/>
      <c r="B678" s="21"/>
      <c r="C678" s="21"/>
      <c r="D678" s="21"/>
      <c r="E678" s="136"/>
      <c r="F678" s="136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</row>
    <row r="679">
      <c r="A679" s="21"/>
      <c r="B679" s="21"/>
      <c r="C679" s="21"/>
      <c r="D679" s="21"/>
      <c r="E679" s="136"/>
      <c r="F679" s="136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</row>
    <row r="680">
      <c r="A680" s="21"/>
      <c r="B680" s="21"/>
      <c r="C680" s="21"/>
      <c r="D680" s="21"/>
      <c r="E680" s="136"/>
      <c r="F680" s="136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</row>
    <row r="681">
      <c r="A681" s="21"/>
      <c r="B681" s="21"/>
      <c r="C681" s="21"/>
      <c r="D681" s="21"/>
      <c r="E681" s="136"/>
      <c r="F681" s="136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</row>
    <row r="682">
      <c r="A682" s="21"/>
      <c r="B682" s="21"/>
      <c r="C682" s="21"/>
      <c r="D682" s="21"/>
      <c r="E682" s="136"/>
      <c r="F682" s="136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</row>
    <row r="683">
      <c r="A683" s="21"/>
      <c r="B683" s="21"/>
      <c r="C683" s="21"/>
      <c r="D683" s="21"/>
      <c r="E683" s="136"/>
      <c r="F683" s="136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</row>
    <row r="684">
      <c r="A684" s="21"/>
      <c r="B684" s="21"/>
      <c r="C684" s="21"/>
      <c r="D684" s="21"/>
      <c r="E684" s="136"/>
      <c r="F684" s="136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</row>
    <row r="685">
      <c r="A685" s="21"/>
      <c r="B685" s="21"/>
      <c r="C685" s="21"/>
      <c r="D685" s="21"/>
      <c r="E685" s="136"/>
      <c r="F685" s="136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</row>
    <row r="686">
      <c r="A686" s="21"/>
      <c r="B686" s="21"/>
      <c r="C686" s="21"/>
      <c r="D686" s="21"/>
      <c r="E686" s="136"/>
      <c r="F686" s="136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</row>
    <row r="687">
      <c r="A687" s="21"/>
      <c r="B687" s="21"/>
      <c r="C687" s="21"/>
      <c r="D687" s="21"/>
      <c r="E687" s="136"/>
      <c r="F687" s="136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</row>
    <row r="688">
      <c r="A688" s="21"/>
      <c r="B688" s="21"/>
      <c r="C688" s="21"/>
      <c r="D688" s="21"/>
      <c r="E688" s="136"/>
      <c r="F688" s="136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</row>
    <row r="689">
      <c r="A689" s="21"/>
      <c r="B689" s="21"/>
      <c r="C689" s="21"/>
      <c r="D689" s="21"/>
      <c r="E689" s="136"/>
      <c r="F689" s="136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</row>
    <row r="690">
      <c r="A690" s="21"/>
      <c r="B690" s="21"/>
      <c r="C690" s="21"/>
      <c r="D690" s="21"/>
      <c r="E690" s="136"/>
      <c r="F690" s="136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</row>
    <row r="691">
      <c r="A691" s="21"/>
      <c r="B691" s="21"/>
      <c r="C691" s="21"/>
      <c r="D691" s="21"/>
      <c r="E691" s="136"/>
      <c r="F691" s="136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</row>
    <row r="692">
      <c r="A692" s="21"/>
      <c r="B692" s="21"/>
      <c r="C692" s="21"/>
      <c r="D692" s="21"/>
      <c r="E692" s="136"/>
      <c r="F692" s="136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</row>
    <row r="693">
      <c r="A693" s="21"/>
      <c r="B693" s="21"/>
      <c r="C693" s="21"/>
      <c r="D693" s="21"/>
      <c r="E693" s="136"/>
      <c r="F693" s="136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</row>
    <row r="694">
      <c r="A694" s="21"/>
      <c r="B694" s="21"/>
      <c r="C694" s="21"/>
      <c r="D694" s="21"/>
      <c r="E694" s="136"/>
      <c r="F694" s="136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</row>
    <row r="695">
      <c r="A695" s="21"/>
      <c r="B695" s="21"/>
      <c r="C695" s="21"/>
      <c r="D695" s="21"/>
      <c r="E695" s="136"/>
      <c r="F695" s="136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</row>
    <row r="696">
      <c r="A696" s="21"/>
      <c r="B696" s="21"/>
      <c r="C696" s="21"/>
      <c r="D696" s="21"/>
      <c r="E696" s="136"/>
      <c r="F696" s="136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</row>
    <row r="697">
      <c r="A697" s="21"/>
      <c r="B697" s="21"/>
      <c r="C697" s="21"/>
      <c r="D697" s="21"/>
      <c r="E697" s="136"/>
      <c r="F697" s="136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</row>
    <row r="698">
      <c r="A698" s="21"/>
      <c r="B698" s="21"/>
      <c r="C698" s="21"/>
      <c r="D698" s="21"/>
      <c r="E698" s="136"/>
      <c r="F698" s="136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</row>
    <row r="699">
      <c r="A699" s="21"/>
      <c r="B699" s="21"/>
      <c r="C699" s="21"/>
      <c r="D699" s="21"/>
      <c r="E699" s="136"/>
      <c r="F699" s="136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</row>
    <row r="700">
      <c r="A700" s="21"/>
      <c r="B700" s="21"/>
      <c r="C700" s="21"/>
      <c r="D700" s="21"/>
      <c r="E700" s="136"/>
      <c r="F700" s="136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</row>
    <row r="701">
      <c r="A701" s="21"/>
      <c r="B701" s="21"/>
      <c r="C701" s="21"/>
      <c r="D701" s="21"/>
      <c r="E701" s="136"/>
      <c r="F701" s="136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</row>
    <row r="702">
      <c r="A702" s="21"/>
      <c r="B702" s="21"/>
      <c r="C702" s="21"/>
      <c r="D702" s="21"/>
      <c r="E702" s="136"/>
      <c r="F702" s="136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</row>
    <row r="703">
      <c r="A703" s="21"/>
      <c r="B703" s="21"/>
      <c r="C703" s="21"/>
      <c r="D703" s="21"/>
      <c r="E703" s="136"/>
      <c r="F703" s="136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</row>
    <row r="704">
      <c r="A704" s="21"/>
      <c r="B704" s="21"/>
      <c r="C704" s="21"/>
      <c r="D704" s="21"/>
      <c r="E704" s="136"/>
      <c r="F704" s="136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</row>
    <row r="705">
      <c r="A705" s="21"/>
      <c r="B705" s="21"/>
      <c r="C705" s="21"/>
      <c r="D705" s="21"/>
      <c r="E705" s="136"/>
      <c r="F705" s="136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</row>
    <row r="706">
      <c r="A706" s="21"/>
      <c r="B706" s="21"/>
      <c r="C706" s="21"/>
      <c r="D706" s="21"/>
      <c r="E706" s="136"/>
      <c r="F706" s="136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</row>
    <row r="707">
      <c r="A707" s="21"/>
      <c r="B707" s="21"/>
      <c r="C707" s="21"/>
      <c r="D707" s="21"/>
      <c r="E707" s="136"/>
      <c r="F707" s="136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</row>
    <row r="708">
      <c r="A708" s="21"/>
      <c r="B708" s="21"/>
      <c r="C708" s="21"/>
      <c r="D708" s="21"/>
      <c r="E708" s="136"/>
      <c r="F708" s="136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</row>
    <row r="709">
      <c r="A709" s="21"/>
      <c r="B709" s="21"/>
      <c r="C709" s="21"/>
      <c r="D709" s="21"/>
      <c r="E709" s="136"/>
      <c r="F709" s="136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</row>
    <row r="710">
      <c r="A710" s="21"/>
      <c r="B710" s="21"/>
      <c r="C710" s="21"/>
      <c r="D710" s="21"/>
      <c r="E710" s="136"/>
      <c r="F710" s="136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</row>
    <row r="711">
      <c r="A711" s="21"/>
      <c r="B711" s="21"/>
      <c r="C711" s="21"/>
      <c r="D711" s="21"/>
      <c r="E711" s="136"/>
      <c r="F711" s="136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</row>
    <row r="712">
      <c r="A712" s="21"/>
      <c r="B712" s="21"/>
      <c r="C712" s="21"/>
      <c r="D712" s="21"/>
      <c r="E712" s="136"/>
      <c r="F712" s="136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</row>
    <row r="713">
      <c r="A713" s="21"/>
      <c r="B713" s="21"/>
      <c r="C713" s="21"/>
      <c r="D713" s="21"/>
      <c r="E713" s="136"/>
      <c r="F713" s="136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</row>
    <row r="714">
      <c r="A714" s="21"/>
      <c r="B714" s="21"/>
      <c r="C714" s="21"/>
      <c r="D714" s="21"/>
      <c r="E714" s="136"/>
      <c r="F714" s="136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</row>
    <row r="715">
      <c r="A715" s="21"/>
      <c r="B715" s="21"/>
      <c r="C715" s="21"/>
      <c r="D715" s="21"/>
      <c r="E715" s="136"/>
      <c r="F715" s="136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</row>
    <row r="716">
      <c r="A716" s="21"/>
      <c r="B716" s="21"/>
      <c r="C716" s="21"/>
      <c r="D716" s="21"/>
      <c r="E716" s="136"/>
      <c r="F716" s="136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</row>
    <row r="717">
      <c r="A717" s="21"/>
      <c r="B717" s="21"/>
      <c r="C717" s="21"/>
      <c r="D717" s="21"/>
      <c r="E717" s="136"/>
      <c r="F717" s="136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</row>
    <row r="718">
      <c r="A718" s="21"/>
      <c r="B718" s="21"/>
      <c r="C718" s="21"/>
      <c r="D718" s="21"/>
      <c r="E718" s="136"/>
      <c r="F718" s="136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</row>
    <row r="719">
      <c r="A719" s="21"/>
      <c r="B719" s="21"/>
      <c r="C719" s="21"/>
      <c r="D719" s="21"/>
      <c r="E719" s="136"/>
      <c r="F719" s="136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</row>
    <row r="720">
      <c r="A720" s="21"/>
      <c r="B720" s="21"/>
      <c r="C720" s="21"/>
      <c r="D720" s="21"/>
      <c r="E720" s="136"/>
      <c r="F720" s="136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</row>
    <row r="721">
      <c r="A721" s="21"/>
      <c r="B721" s="21"/>
      <c r="C721" s="21"/>
      <c r="D721" s="21"/>
      <c r="E721" s="136"/>
      <c r="F721" s="136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</row>
    <row r="722">
      <c r="A722" s="21"/>
      <c r="B722" s="21"/>
      <c r="C722" s="21"/>
      <c r="D722" s="21"/>
      <c r="E722" s="136"/>
      <c r="F722" s="136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</row>
    <row r="723">
      <c r="A723" s="21"/>
      <c r="B723" s="21"/>
      <c r="C723" s="21"/>
      <c r="D723" s="21"/>
      <c r="E723" s="136"/>
      <c r="F723" s="136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</row>
    <row r="724">
      <c r="A724" s="21"/>
      <c r="B724" s="21"/>
      <c r="C724" s="21"/>
      <c r="D724" s="21"/>
      <c r="E724" s="136"/>
      <c r="F724" s="136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</row>
    <row r="725">
      <c r="A725" s="21"/>
      <c r="B725" s="21"/>
      <c r="C725" s="21"/>
      <c r="D725" s="21"/>
      <c r="E725" s="136"/>
      <c r="F725" s="136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</row>
    <row r="726">
      <c r="A726" s="21"/>
      <c r="B726" s="21"/>
      <c r="C726" s="21"/>
      <c r="D726" s="21"/>
      <c r="E726" s="136"/>
      <c r="F726" s="136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</row>
    <row r="727">
      <c r="A727" s="21"/>
      <c r="B727" s="21"/>
      <c r="C727" s="21"/>
      <c r="D727" s="21"/>
      <c r="E727" s="136"/>
      <c r="F727" s="136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</row>
    <row r="728">
      <c r="A728" s="21"/>
      <c r="B728" s="21"/>
      <c r="C728" s="21"/>
      <c r="D728" s="21"/>
      <c r="E728" s="136"/>
      <c r="F728" s="136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</row>
    <row r="729">
      <c r="A729" s="21"/>
      <c r="B729" s="21"/>
      <c r="C729" s="21"/>
      <c r="D729" s="21"/>
      <c r="E729" s="136"/>
      <c r="F729" s="136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</row>
    <row r="730">
      <c r="A730" s="21"/>
      <c r="B730" s="21"/>
      <c r="C730" s="21"/>
      <c r="D730" s="21"/>
      <c r="E730" s="136"/>
      <c r="F730" s="136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</row>
    <row r="731">
      <c r="A731" s="21"/>
      <c r="B731" s="21"/>
      <c r="C731" s="21"/>
      <c r="D731" s="21"/>
      <c r="E731" s="136"/>
      <c r="F731" s="136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</row>
    <row r="732">
      <c r="A732" s="21"/>
      <c r="B732" s="21"/>
      <c r="C732" s="21"/>
      <c r="D732" s="21"/>
      <c r="E732" s="136"/>
      <c r="F732" s="136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</row>
    <row r="733">
      <c r="A733" s="21"/>
      <c r="B733" s="21"/>
      <c r="C733" s="21"/>
      <c r="D733" s="21"/>
      <c r="E733" s="136"/>
      <c r="F733" s="136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</row>
    <row r="734">
      <c r="A734" s="21"/>
      <c r="B734" s="21"/>
      <c r="C734" s="21"/>
      <c r="D734" s="21"/>
      <c r="E734" s="136"/>
      <c r="F734" s="136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</row>
    <row r="735">
      <c r="A735" s="21"/>
      <c r="B735" s="21"/>
      <c r="C735" s="21"/>
      <c r="D735" s="21"/>
      <c r="E735" s="136"/>
      <c r="F735" s="136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</row>
    <row r="736">
      <c r="A736" s="21"/>
      <c r="B736" s="21"/>
      <c r="C736" s="21"/>
      <c r="D736" s="21"/>
      <c r="E736" s="136"/>
      <c r="F736" s="136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</row>
    <row r="737">
      <c r="A737" s="21"/>
      <c r="B737" s="21"/>
      <c r="C737" s="21"/>
      <c r="D737" s="21"/>
      <c r="E737" s="136"/>
      <c r="F737" s="136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</row>
    <row r="738">
      <c r="A738" s="21"/>
      <c r="B738" s="21"/>
      <c r="C738" s="21"/>
      <c r="D738" s="21"/>
      <c r="E738" s="136"/>
      <c r="F738" s="136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</row>
    <row r="739">
      <c r="A739" s="21"/>
      <c r="B739" s="21"/>
      <c r="C739" s="21"/>
      <c r="D739" s="21"/>
      <c r="E739" s="136"/>
      <c r="F739" s="136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</row>
    <row r="740">
      <c r="A740" s="21"/>
      <c r="B740" s="21"/>
      <c r="C740" s="21"/>
      <c r="D740" s="21"/>
      <c r="E740" s="136"/>
      <c r="F740" s="136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</row>
    <row r="741">
      <c r="A741" s="21"/>
      <c r="B741" s="21"/>
      <c r="C741" s="21"/>
      <c r="D741" s="21"/>
      <c r="E741" s="136"/>
      <c r="F741" s="136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</row>
    <row r="742">
      <c r="A742" s="21"/>
      <c r="B742" s="21"/>
      <c r="C742" s="21"/>
      <c r="D742" s="21"/>
      <c r="E742" s="136"/>
      <c r="F742" s="136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</row>
    <row r="743">
      <c r="A743" s="21"/>
      <c r="B743" s="21"/>
      <c r="C743" s="21"/>
      <c r="D743" s="21"/>
      <c r="E743" s="136"/>
      <c r="F743" s="136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</row>
    <row r="744">
      <c r="A744" s="21"/>
      <c r="B744" s="21"/>
      <c r="C744" s="21"/>
      <c r="D744" s="21"/>
      <c r="E744" s="136"/>
      <c r="F744" s="136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</row>
    <row r="745">
      <c r="A745" s="21"/>
      <c r="B745" s="21"/>
      <c r="C745" s="21"/>
      <c r="D745" s="21"/>
      <c r="E745" s="136"/>
      <c r="F745" s="136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</row>
    <row r="746">
      <c r="A746" s="21"/>
      <c r="B746" s="21"/>
      <c r="C746" s="21"/>
      <c r="D746" s="21"/>
      <c r="E746" s="136"/>
      <c r="F746" s="136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</row>
    <row r="747">
      <c r="A747" s="21"/>
      <c r="B747" s="21"/>
      <c r="C747" s="21"/>
      <c r="D747" s="21"/>
      <c r="E747" s="136"/>
      <c r="F747" s="136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</row>
    <row r="748">
      <c r="A748" s="21"/>
      <c r="B748" s="21"/>
      <c r="C748" s="21"/>
      <c r="D748" s="21"/>
      <c r="E748" s="136"/>
      <c r="F748" s="136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</row>
    <row r="749">
      <c r="A749" s="21"/>
      <c r="B749" s="21"/>
      <c r="C749" s="21"/>
      <c r="D749" s="21"/>
      <c r="E749" s="136"/>
      <c r="F749" s="136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</row>
    <row r="750">
      <c r="A750" s="21"/>
      <c r="B750" s="21"/>
      <c r="C750" s="21"/>
      <c r="D750" s="21"/>
      <c r="E750" s="136"/>
      <c r="F750" s="136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</row>
    <row r="751">
      <c r="A751" s="21"/>
      <c r="B751" s="21"/>
      <c r="C751" s="21"/>
      <c r="D751" s="21"/>
      <c r="E751" s="136"/>
      <c r="F751" s="136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</row>
    <row r="752">
      <c r="A752" s="21"/>
      <c r="B752" s="21"/>
      <c r="C752" s="21"/>
      <c r="D752" s="21"/>
      <c r="E752" s="136"/>
      <c r="F752" s="136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</row>
    <row r="753">
      <c r="A753" s="21"/>
      <c r="B753" s="21"/>
      <c r="C753" s="21"/>
      <c r="D753" s="21"/>
      <c r="E753" s="136"/>
      <c r="F753" s="136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</row>
    <row r="754">
      <c r="A754" s="21"/>
      <c r="B754" s="21"/>
      <c r="C754" s="21"/>
      <c r="D754" s="21"/>
      <c r="E754" s="136"/>
      <c r="F754" s="136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</row>
    <row r="755">
      <c r="A755" s="21"/>
      <c r="B755" s="21"/>
      <c r="C755" s="21"/>
      <c r="D755" s="21"/>
      <c r="E755" s="136"/>
      <c r="F755" s="136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</row>
    <row r="756">
      <c r="A756" s="21"/>
      <c r="B756" s="21"/>
      <c r="C756" s="21"/>
      <c r="D756" s="21"/>
      <c r="E756" s="136"/>
      <c r="F756" s="136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</row>
    <row r="757">
      <c r="A757" s="21"/>
      <c r="B757" s="21"/>
      <c r="C757" s="21"/>
      <c r="D757" s="21"/>
      <c r="E757" s="136"/>
      <c r="F757" s="136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</row>
    <row r="758">
      <c r="A758" s="21"/>
      <c r="B758" s="21"/>
      <c r="C758" s="21"/>
      <c r="D758" s="21"/>
      <c r="E758" s="136"/>
      <c r="F758" s="136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</row>
    <row r="759">
      <c r="A759" s="21"/>
      <c r="B759" s="21"/>
      <c r="C759" s="21"/>
      <c r="D759" s="21"/>
      <c r="E759" s="136"/>
      <c r="F759" s="136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</row>
    <row r="760">
      <c r="A760" s="21"/>
      <c r="B760" s="21"/>
      <c r="C760" s="21"/>
      <c r="D760" s="21"/>
      <c r="E760" s="136"/>
      <c r="F760" s="136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</row>
    <row r="761">
      <c r="A761" s="21"/>
      <c r="B761" s="21"/>
      <c r="C761" s="21"/>
      <c r="D761" s="21"/>
      <c r="E761" s="136"/>
      <c r="F761" s="136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</row>
    <row r="762">
      <c r="A762" s="21"/>
      <c r="B762" s="21"/>
      <c r="C762" s="21"/>
      <c r="D762" s="21"/>
      <c r="E762" s="136"/>
      <c r="F762" s="136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</row>
    <row r="763">
      <c r="A763" s="21"/>
      <c r="B763" s="21"/>
      <c r="C763" s="21"/>
      <c r="D763" s="21"/>
      <c r="E763" s="136"/>
      <c r="F763" s="136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</row>
    <row r="764">
      <c r="A764" s="21"/>
      <c r="B764" s="21"/>
      <c r="C764" s="21"/>
      <c r="D764" s="21"/>
      <c r="E764" s="136"/>
      <c r="F764" s="136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</row>
    <row r="765">
      <c r="A765" s="21"/>
      <c r="B765" s="21"/>
      <c r="C765" s="21"/>
      <c r="D765" s="21"/>
      <c r="E765" s="136"/>
      <c r="F765" s="136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</row>
    <row r="766">
      <c r="A766" s="21"/>
      <c r="B766" s="21"/>
      <c r="C766" s="21"/>
      <c r="D766" s="21"/>
      <c r="E766" s="136"/>
      <c r="F766" s="136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</row>
    <row r="767">
      <c r="A767" s="21"/>
      <c r="B767" s="21"/>
      <c r="C767" s="21"/>
      <c r="D767" s="21"/>
      <c r="E767" s="136"/>
      <c r="F767" s="136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</row>
    <row r="768">
      <c r="A768" s="21"/>
      <c r="B768" s="21"/>
      <c r="C768" s="21"/>
      <c r="D768" s="21"/>
      <c r="E768" s="136"/>
      <c r="F768" s="136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</row>
    <row r="769">
      <c r="A769" s="21"/>
      <c r="B769" s="21"/>
      <c r="C769" s="21"/>
      <c r="D769" s="21"/>
      <c r="E769" s="136"/>
      <c r="F769" s="136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</row>
    <row r="770">
      <c r="A770" s="21"/>
      <c r="B770" s="21"/>
      <c r="C770" s="21"/>
      <c r="D770" s="21"/>
      <c r="E770" s="136"/>
      <c r="F770" s="136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</row>
    <row r="771">
      <c r="A771" s="21"/>
      <c r="B771" s="21"/>
      <c r="C771" s="21"/>
      <c r="D771" s="21"/>
      <c r="E771" s="136"/>
      <c r="F771" s="136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</row>
    <row r="772">
      <c r="A772" s="21"/>
      <c r="B772" s="21"/>
      <c r="C772" s="21"/>
      <c r="D772" s="21"/>
      <c r="E772" s="136"/>
      <c r="F772" s="136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</row>
    <row r="773">
      <c r="A773" s="21"/>
      <c r="B773" s="21"/>
      <c r="C773" s="21"/>
      <c r="D773" s="21"/>
      <c r="E773" s="136"/>
      <c r="F773" s="136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</row>
    <row r="774">
      <c r="A774" s="21"/>
      <c r="B774" s="21"/>
      <c r="C774" s="21"/>
      <c r="D774" s="21"/>
      <c r="E774" s="136"/>
      <c r="F774" s="136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</row>
    <row r="775">
      <c r="A775" s="21"/>
      <c r="B775" s="21"/>
      <c r="C775" s="21"/>
      <c r="D775" s="21"/>
      <c r="E775" s="136"/>
      <c r="F775" s="136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</row>
    <row r="776">
      <c r="A776" s="21"/>
      <c r="B776" s="21"/>
      <c r="C776" s="21"/>
      <c r="D776" s="21"/>
      <c r="E776" s="136"/>
      <c r="F776" s="136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</row>
    <row r="777">
      <c r="A777" s="21"/>
      <c r="B777" s="21"/>
      <c r="C777" s="21"/>
      <c r="D777" s="21"/>
      <c r="E777" s="136"/>
      <c r="F777" s="136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</row>
    <row r="778">
      <c r="A778" s="21"/>
      <c r="B778" s="21"/>
      <c r="C778" s="21"/>
      <c r="D778" s="21"/>
      <c r="E778" s="136"/>
      <c r="F778" s="136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</row>
    <row r="779">
      <c r="A779" s="21"/>
      <c r="B779" s="21"/>
      <c r="C779" s="21"/>
      <c r="D779" s="21"/>
      <c r="E779" s="136"/>
      <c r="F779" s="136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</row>
    <row r="780">
      <c r="A780" s="21"/>
      <c r="B780" s="21"/>
      <c r="C780" s="21"/>
      <c r="D780" s="21"/>
      <c r="E780" s="136"/>
      <c r="F780" s="136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</row>
    <row r="781">
      <c r="A781" s="21"/>
      <c r="B781" s="21"/>
      <c r="C781" s="21"/>
      <c r="D781" s="21"/>
      <c r="E781" s="136"/>
      <c r="F781" s="136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</row>
    <row r="782">
      <c r="A782" s="21"/>
      <c r="B782" s="21"/>
      <c r="C782" s="21"/>
      <c r="D782" s="21"/>
      <c r="E782" s="136"/>
      <c r="F782" s="136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</row>
    <row r="783">
      <c r="A783" s="21"/>
      <c r="B783" s="21"/>
      <c r="C783" s="21"/>
      <c r="D783" s="21"/>
      <c r="E783" s="136"/>
      <c r="F783" s="136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</row>
    <row r="784">
      <c r="A784" s="21"/>
      <c r="B784" s="21"/>
      <c r="C784" s="21"/>
      <c r="D784" s="21"/>
      <c r="E784" s="136"/>
      <c r="F784" s="136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</row>
    <row r="785">
      <c r="A785" s="21"/>
      <c r="B785" s="21"/>
      <c r="C785" s="21"/>
      <c r="D785" s="21"/>
      <c r="E785" s="136"/>
      <c r="F785" s="136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</row>
    <row r="786">
      <c r="A786" s="21"/>
      <c r="B786" s="21"/>
      <c r="C786" s="21"/>
      <c r="D786" s="21"/>
      <c r="E786" s="136"/>
      <c r="F786" s="136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</row>
    <row r="787">
      <c r="A787" s="21"/>
      <c r="B787" s="21"/>
      <c r="C787" s="21"/>
      <c r="D787" s="21"/>
      <c r="E787" s="136"/>
      <c r="F787" s="136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</row>
    <row r="788">
      <c r="A788" s="21"/>
      <c r="B788" s="21"/>
      <c r="C788" s="21"/>
      <c r="D788" s="21"/>
      <c r="E788" s="136"/>
      <c r="F788" s="136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</row>
    <row r="789">
      <c r="A789" s="21"/>
      <c r="B789" s="21"/>
      <c r="C789" s="21"/>
      <c r="D789" s="21"/>
      <c r="E789" s="136"/>
      <c r="F789" s="136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</row>
    <row r="790">
      <c r="A790" s="21"/>
      <c r="B790" s="21"/>
      <c r="C790" s="21"/>
      <c r="D790" s="21"/>
      <c r="E790" s="136"/>
      <c r="F790" s="136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</row>
    <row r="791">
      <c r="A791" s="21"/>
      <c r="B791" s="21"/>
      <c r="C791" s="21"/>
      <c r="D791" s="21"/>
      <c r="E791" s="136"/>
      <c r="F791" s="136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</row>
    <row r="792">
      <c r="A792" s="21"/>
      <c r="B792" s="21"/>
      <c r="C792" s="21"/>
      <c r="D792" s="21"/>
      <c r="E792" s="136"/>
      <c r="F792" s="136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</row>
    <row r="793">
      <c r="A793" s="21"/>
      <c r="B793" s="21"/>
      <c r="C793" s="21"/>
      <c r="D793" s="21"/>
      <c r="E793" s="136"/>
      <c r="F793" s="136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</row>
    <row r="794">
      <c r="A794" s="21"/>
      <c r="B794" s="21"/>
      <c r="C794" s="21"/>
      <c r="D794" s="21"/>
      <c r="E794" s="136"/>
      <c r="F794" s="136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</row>
    <row r="795">
      <c r="A795" s="21"/>
      <c r="B795" s="21"/>
      <c r="C795" s="21"/>
      <c r="D795" s="21"/>
      <c r="E795" s="136"/>
      <c r="F795" s="136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</row>
    <row r="796">
      <c r="A796" s="21"/>
      <c r="B796" s="21"/>
      <c r="C796" s="21"/>
      <c r="D796" s="21"/>
      <c r="E796" s="136"/>
      <c r="F796" s="136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</row>
    <row r="797">
      <c r="A797" s="21"/>
      <c r="B797" s="21"/>
      <c r="C797" s="21"/>
      <c r="D797" s="21"/>
      <c r="E797" s="136"/>
      <c r="F797" s="136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</row>
    <row r="798">
      <c r="A798" s="21"/>
      <c r="B798" s="21"/>
      <c r="C798" s="21"/>
      <c r="D798" s="21"/>
      <c r="E798" s="136"/>
      <c r="F798" s="136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</row>
    <row r="799">
      <c r="A799" s="21"/>
      <c r="B799" s="21"/>
      <c r="C799" s="21"/>
      <c r="D799" s="21"/>
      <c r="E799" s="136"/>
      <c r="F799" s="136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</row>
    <row r="800">
      <c r="A800" s="21"/>
      <c r="B800" s="21"/>
      <c r="C800" s="21"/>
      <c r="D800" s="21"/>
      <c r="E800" s="136"/>
      <c r="F800" s="136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</row>
    <row r="801">
      <c r="A801" s="21"/>
      <c r="B801" s="21"/>
      <c r="C801" s="21"/>
      <c r="D801" s="21"/>
      <c r="E801" s="136"/>
      <c r="F801" s="136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</row>
    <row r="802">
      <c r="A802" s="21"/>
      <c r="B802" s="21"/>
      <c r="C802" s="21"/>
      <c r="D802" s="21"/>
      <c r="E802" s="136"/>
      <c r="F802" s="136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</row>
    <row r="803">
      <c r="A803" s="21"/>
      <c r="B803" s="21"/>
      <c r="C803" s="21"/>
      <c r="D803" s="21"/>
      <c r="E803" s="136"/>
      <c r="F803" s="136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</row>
    <row r="804">
      <c r="A804" s="21"/>
      <c r="B804" s="21"/>
      <c r="C804" s="21"/>
      <c r="D804" s="21"/>
      <c r="E804" s="136"/>
      <c r="F804" s="136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</row>
    <row r="805">
      <c r="A805" s="21"/>
      <c r="B805" s="21"/>
      <c r="C805" s="21"/>
      <c r="D805" s="21"/>
      <c r="E805" s="136"/>
      <c r="F805" s="136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</row>
    <row r="806">
      <c r="A806" s="21"/>
      <c r="B806" s="21"/>
      <c r="C806" s="21"/>
      <c r="D806" s="21"/>
      <c r="E806" s="136"/>
      <c r="F806" s="136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</row>
    <row r="807">
      <c r="A807" s="21"/>
      <c r="B807" s="21"/>
      <c r="C807" s="21"/>
      <c r="D807" s="21"/>
      <c r="E807" s="136"/>
      <c r="F807" s="136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</row>
    <row r="808">
      <c r="A808" s="21"/>
      <c r="B808" s="21"/>
      <c r="C808" s="21"/>
      <c r="D808" s="21"/>
      <c r="E808" s="136"/>
      <c r="F808" s="136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</row>
    <row r="809">
      <c r="A809" s="21"/>
      <c r="B809" s="21"/>
      <c r="C809" s="21"/>
      <c r="D809" s="21"/>
      <c r="E809" s="136"/>
      <c r="F809" s="136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</row>
    <row r="810">
      <c r="A810" s="21"/>
      <c r="B810" s="21"/>
      <c r="C810" s="21"/>
      <c r="D810" s="21"/>
      <c r="E810" s="136"/>
      <c r="F810" s="136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</row>
    <row r="811">
      <c r="A811" s="21"/>
      <c r="B811" s="21"/>
      <c r="C811" s="21"/>
      <c r="D811" s="21"/>
      <c r="E811" s="136"/>
      <c r="F811" s="136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</row>
    <row r="812">
      <c r="A812" s="21"/>
      <c r="B812" s="21"/>
      <c r="C812" s="21"/>
      <c r="D812" s="21"/>
      <c r="E812" s="136"/>
      <c r="F812" s="136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</row>
    <row r="813">
      <c r="A813" s="21"/>
      <c r="B813" s="21"/>
      <c r="C813" s="21"/>
      <c r="D813" s="21"/>
      <c r="E813" s="136"/>
      <c r="F813" s="136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</row>
    <row r="814">
      <c r="A814" s="21"/>
      <c r="B814" s="21"/>
      <c r="C814" s="21"/>
      <c r="D814" s="21"/>
      <c r="E814" s="136"/>
      <c r="F814" s="136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</row>
    <row r="815">
      <c r="A815" s="21"/>
      <c r="B815" s="21"/>
      <c r="C815" s="21"/>
      <c r="D815" s="21"/>
      <c r="E815" s="136"/>
      <c r="F815" s="136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</row>
    <row r="816">
      <c r="A816" s="21"/>
      <c r="B816" s="21"/>
      <c r="C816" s="21"/>
      <c r="D816" s="21"/>
      <c r="E816" s="136"/>
      <c r="F816" s="136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</row>
    <row r="817">
      <c r="A817" s="21"/>
      <c r="B817" s="21"/>
      <c r="C817" s="21"/>
      <c r="D817" s="21"/>
      <c r="E817" s="136"/>
      <c r="F817" s="136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</row>
    <row r="818">
      <c r="A818" s="21"/>
      <c r="B818" s="21"/>
      <c r="C818" s="21"/>
      <c r="D818" s="21"/>
      <c r="E818" s="136"/>
      <c r="F818" s="136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</row>
    <row r="819">
      <c r="A819" s="21"/>
      <c r="B819" s="21"/>
      <c r="C819" s="21"/>
      <c r="D819" s="21"/>
      <c r="E819" s="136"/>
      <c r="F819" s="136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</row>
    <row r="820">
      <c r="A820" s="21"/>
      <c r="B820" s="21"/>
      <c r="C820" s="21"/>
      <c r="D820" s="21"/>
      <c r="E820" s="136"/>
      <c r="F820" s="136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</row>
    <row r="821">
      <c r="A821" s="21"/>
      <c r="B821" s="21"/>
      <c r="C821" s="21"/>
      <c r="D821" s="21"/>
      <c r="E821" s="136"/>
      <c r="F821" s="136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</row>
    <row r="822">
      <c r="A822" s="21"/>
      <c r="B822" s="21"/>
      <c r="C822" s="21"/>
      <c r="D822" s="21"/>
      <c r="E822" s="136"/>
      <c r="F822" s="136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</row>
    <row r="823">
      <c r="A823" s="21"/>
      <c r="B823" s="21"/>
      <c r="C823" s="21"/>
      <c r="D823" s="21"/>
      <c r="E823" s="136"/>
      <c r="F823" s="136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</row>
    <row r="824">
      <c r="A824" s="21"/>
      <c r="B824" s="21"/>
      <c r="C824" s="21"/>
      <c r="D824" s="21"/>
      <c r="E824" s="136"/>
      <c r="F824" s="136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</row>
    <row r="825">
      <c r="A825" s="21"/>
      <c r="B825" s="21"/>
      <c r="C825" s="21"/>
      <c r="D825" s="21"/>
      <c r="E825" s="136"/>
      <c r="F825" s="136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</row>
    <row r="826">
      <c r="A826" s="21"/>
      <c r="B826" s="21"/>
      <c r="C826" s="21"/>
      <c r="D826" s="21"/>
      <c r="E826" s="136"/>
      <c r="F826" s="136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</row>
    <row r="827">
      <c r="A827" s="21"/>
      <c r="B827" s="21"/>
      <c r="C827" s="21"/>
      <c r="D827" s="21"/>
      <c r="E827" s="136"/>
      <c r="F827" s="136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</row>
    <row r="828">
      <c r="A828" s="21"/>
      <c r="B828" s="21"/>
      <c r="C828" s="21"/>
      <c r="D828" s="21"/>
      <c r="E828" s="136"/>
      <c r="F828" s="136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</row>
    <row r="829">
      <c r="A829" s="21"/>
      <c r="B829" s="21"/>
      <c r="C829" s="21"/>
      <c r="D829" s="21"/>
      <c r="E829" s="136"/>
      <c r="F829" s="136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</row>
    <row r="830">
      <c r="A830" s="21"/>
      <c r="B830" s="21"/>
      <c r="C830" s="21"/>
      <c r="D830" s="21"/>
      <c r="E830" s="136"/>
      <c r="F830" s="136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</row>
    <row r="831">
      <c r="A831" s="21"/>
      <c r="B831" s="21"/>
      <c r="C831" s="21"/>
      <c r="D831" s="21"/>
      <c r="E831" s="136"/>
      <c r="F831" s="136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</row>
    <row r="832">
      <c r="A832" s="21"/>
      <c r="B832" s="21"/>
      <c r="C832" s="21"/>
      <c r="D832" s="21"/>
      <c r="E832" s="136"/>
      <c r="F832" s="136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</row>
    <row r="833">
      <c r="A833" s="21"/>
      <c r="B833" s="21"/>
      <c r="C833" s="21"/>
      <c r="D833" s="21"/>
      <c r="E833" s="136"/>
      <c r="F833" s="136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</row>
    <row r="834">
      <c r="A834" s="21"/>
      <c r="B834" s="21"/>
      <c r="C834" s="21"/>
      <c r="D834" s="21"/>
      <c r="E834" s="136"/>
      <c r="F834" s="136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</row>
    <row r="835">
      <c r="A835" s="21"/>
      <c r="B835" s="21"/>
      <c r="C835" s="21"/>
      <c r="D835" s="21"/>
      <c r="E835" s="136"/>
      <c r="F835" s="136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</row>
    <row r="836">
      <c r="A836" s="21"/>
      <c r="B836" s="21"/>
      <c r="C836" s="21"/>
      <c r="D836" s="21"/>
      <c r="E836" s="136"/>
      <c r="F836" s="136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</row>
    <row r="837">
      <c r="A837" s="21"/>
      <c r="B837" s="21"/>
      <c r="C837" s="21"/>
      <c r="D837" s="21"/>
      <c r="E837" s="136"/>
      <c r="F837" s="136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</row>
    <row r="838">
      <c r="A838" s="21"/>
      <c r="B838" s="21"/>
      <c r="C838" s="21"/>
      <c r="D838" s="21"/>
      <c r="E838" s="136"/>
      <c r="F838" s="136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</row>
    <row r="839">
      <c r="A839" s="21"/>
      <c r="B839" s="21"/>
      <c r="C839" s="21"/>
      <c r="D839" s="21"/>
      <c r="E839" s="136"/>
      <c r="F839" s="136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</row>
    <row r="840">
      <c r="A840" s="21"/>
      <c r="B840" s="21"/>
      <c r="C840" s="21"/>
      <c r="D840" s="21"/>
      <c r="E840" s="136"/>
      <c r="F840" s="136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</row>
    <row r="841">
      <c r="A841" s="21"/>
      <c r="B841" s="21"/>
      <c r="C841" s="21"/>
      <c r="D841" s="21"/>
      <c r="E841" s="136"/>
      <c r="F841" s="136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</row>
    <row r="842">
      <c r="A842" s="21"/>
      <c r="B842" s="21"/>
      <c r="C842" s="21"/>
      <c r="D842" s="21"/>
      <c r="E842" s="136"/>
      <c r="F842" s="136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</row>
    <row r="843">
      <c r="A843" s="21"/>
      <c r="B843" s="21"/>
      <c r="C843" s="21"/>
      <c r="D843" s="21"/>
      <c r="E843" s="136"/>
      <c r="F843" s="136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</row>
    <row r="844">
      <c r="A844" s="21"/>
      <c r="B844" s="21"/>
      <c r="C844" s="21"/>
      <c r="D844" s="21"/>
      <c r="E844" s="136"/>
      <c r="F844" s="136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</row>
    <row r="845">
      <c r="A845" s="21"/>
      <c r="B845" s="21"/>
      <c r="C845" s="21"/>
      <c r="D845" s="21"/>
      <c r="E845" s="136"/>
      <c r="F845" s="136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</row>
    <row r="846">
      <c r="A846" s="21"/>
      <c r="B846" s="21"/>
      <c r="C846" s="21"/>
      <c r="D846" s="21"/>
      <c r="E846" s="136"/>
      <c r="F846" s="136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</row>
    <row r="847">
      <c r="A847" s="21"/>
      <c r="B847" s="21"/>
      <c r="C847" s="21"/>
      <c r="D847" s="21"/>
      <c r="E847" s="136"/>
      <c r="F847" s="136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</row>
    <row r="848">
      <c r="A848" s="21"/>
      <c r="B848" s="21"/>
      <c r="C848" s="21"/>
      <c r="D848" s="21"/>
      <c r="E848" s="136"/>
      <c r="F848" s="136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</row>
    <row r="849">
      <c r="A849" s="21"/>
      <c r="B849" s="21"/>
      <c r="C849" s="21"/>
      <c r="D849" s="21"/>
      <c r="E849" s="136"/>
      <c r="F849" s="136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</row>
    <row r="850">
      <c r="A850" s="21"/>
      <c r="B850" s="21"/>
      <c r="C850" s="21"/>
      <c r="D850" s="21"/>
      <c r="E850" s="136"/>
      <c r="F850" s="136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</row>
    <row r="851">
      <c r="A851" s="21"/>
      <c r="B851" s="21"/>
      <c r="C851" s="21"/>
      <c r="D851" s="21"/>
      <c r="E851" s="136"/>
      <c r="F851" s="136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</row>
    <row r="852">
      <c r="A852" s="21"/>
      <c r="B852" s="21"/>
      <c r="C852" s="21"/>
      <c r="D852" s="21"/>
      <c r="E852" s="136"/>
      <c r="F852" s="136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</row>
    <row r="853">
      <c r="A853" s="21"/>
      <c r="B853" s="21"/>
      <c r="C853" s="21"/>
      <c r="D853" s="21"/>
      <c r="E853" s="136"/>
      <c r="F853" s="136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</row>
    <row r="854">
      <c r="A854" s="21"/>
      <c r="B854" s="21"/>
      <c r="C854" s="21"/>
      <c r="D854" s="21"/>
      <c r="E854" s="136"/>
      <c r="F854" s="136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</row>
    <row r="855">
      <c r="A855" s="21"/>
      <c r="B855" s="21"/>
      <c r="C855" s="21"/>
      <c r="D855" s="21"/>
      <c r="E855" s="136"/>
      <c r="F855" s="136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</row>
    <row r="856">
      <c r="A856" s="21"/>
      <c r="B856" s="21"/>
      <c r="C856" s="21"/>
      <c r="D856" s="21"/>
      <c r="E856" s="136"/>
      <c r="F856" s="136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</row>
    <row r="857">
      <c r="A857" s="21"/>
      <c r="B857" s="21"/>
      <c r="C857" s="21"/>
      <c r="D857" s="21"/>
      <c r="E857" s="136"/>
      <c r="F857" s="136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</row>
    <row r="858">
      <c r="A858" s="21"/>
      <c r="B858" s="21"/>
      <c r="C858" s="21"/>
      <c r="D858" s="21"/>
      <c r="E858" s="136"/>
      <c r="F858" s="136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</row>
    <row r="859">
      <c r="A859" s="21"/>
      <c r="B859" s="21"/>
      <c r="C859" s="21"/>
      <c r="D859" s="21"/>
      <c r="E859" s="136"/>
      <c r="F859" s="136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</row>
    <row r="860">
      <c r="A860" s="21"/>
      <c r="B860" s="21"/>
      <c r="C860" s="21"/>
      <c r="D860" s="21"/>
      <c r="E860" s="136"/>
      <c r="F860" s="136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</row>
    <row r="861">
      <c r="A861" s="21"/>
      <c r="B861" s="21"/>
      <c r="C861" s="21"/>
      <c r="D861" s="21"/>
      <c r="E861" s="136"/>
      <c r="F861" s="136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</row>
    <row r="862">
      <c r="A862" s="21"/>
      <c r="B862" s="21"/>
      <c r="C862" s="21"/>
      <c r="D862" s="21"/>
      <c r="E862" s="136"/>
      <c r="F862" s="136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</row>
    <row r="863">
      <c r="A863" s="21"/>
      <c r="B863" s="21"/>
      <c r="C863" s="21"/>
      <c r="D863" s="21"/>
      <c r="E863" s="136"/>
      <c r="F863" s="136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</row>
    <row r="864">
      <c r="A864" s="21"/>
      <c r="B864" s="21"/>
      <c r="C864" s="21"/>
      <c r="D864" s="21"/>
      <c r="E864" s="136"/>
      <c r="F864" s="136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</row>
    <row r="865">
      <c r="A865" s="21"/>
      <c r="B865" s="21"/>
      <c r="C865" s="21"/>
      <c r="D865" s="21"/>
      <c r="E865" s="136"/>
      <c r="F865" s="136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</row>
    <row r="866">
      <c r="A866" s="21"/>
      <c r="B866" s="21"/>
      <c r="C866" s="21"/>
      <c r="D866" s="21"/>
      <c r="E866" s="136"/>
      <c r="F866" s="136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</row>
    <row r="867">
      <c r="A867" s="21"/>
      <c r="B867" s="21"/>
      <c r="C867" s="21"/>
      <c r="D867" s="21"/>
      <c r="E867" s="136"/>
      <c r="F867" s="136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</row>
    <row r="868">
      <c r="A868" s="21"/>
      <c r="B868" s="21"/>
      <c r="C868" s="21"/>
      <c r="D868" s="21"/>
      <c r="E868" s="136"/>
      <c r="F868" s="136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</row>
    <row r="869">
      <c r="A869" s="21"/>
      <c r="B869" s="21"/>
      <c r="C869" s="21"/>
      <c r="D869" s="21"/>
      <c r="E869" s="136"/>
      <c r="F869" s="136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</row>
    <row r="870">
      <c r="A870" s="21"/>
      <c r="B870" s="21"/>
      <c r="C870" s="21"/>
      <c r="D870" s="21"/>
      <c r="E870" s="136"/>
      <c r="F870" s="136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</row>
    <row r="871">
      <c r="A871" s="21"/>
      <c r="B871" s="21"/>
      <c r="C871" s="21"/>
      <c r="D871" s="21"/>
      <c r="E871" s="136"/>
      <c r="F871" s="136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</row>
    <row r="872">
      <c r="A872" s="21"/>
      <c r="B872" s="21"/>
      <c r="C872" s="21"/>
      <c r="D872" s="21"/>
      <c r="E872" s="136"/>
      <c r="F872" s="136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</row>
    <row r="873">
      <c r="A873" s="21"/>
      <c r="B873" s="21"/>
      <c r="C873" s="21"/>
      <c r="D873" s="21"/>
      <c r="E873" s="136"/>
      <c r="F873" s="136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</row>
    <row r="874">
      <c r="A874" s="21"/>
      <c r="B874" s="21"/>
      <c r="C874" s="21"/>
      <c r="D874" s="21"/>
      <c r="E874" s="136"/>
      <c r="F874" s="136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</row>
    <row r="875">
      <c r="A875" s="21"/>
      <c r="B875" s="21"/>
      <c r="C875" s="21"/>
      <c r="D875" s="21"/>
      <c r="E875" s="136"/>
      <c r="F875" s="136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</row>
    <row r="876">
      <c r="A876" s="21"/>
      <c r="B876" s="21"/>
      <c r="C876" s="21"/>
      <c r="D876" s="21"/>
      <c r="E876" s="136"/>
      <c r="F876" s="136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</row>
    <row r="877">
      <c r="A877" s="21"/>
      <c r="B877" s="21"/>
      <c r="C877" s="21"/>
      <c r="D877" s="21"/>
      <c r="E877" s="136"/>
      <c r="F877" s="136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</row>
    <row r="878">
      <c r="A878" s="21"/>
      <c r="B878" s="21"/>
      <c r="C878" s="21"/>
      <c r="D878" s="21"/>
      <c r="E878" s="136"/>
      <c r="F878" s="136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</row>
    <row r="879">
      <c r="A879" s="21"/>
      <c r="B879" s="21"/>
      <c r="C879" s="21"/>
      <c r="D879" s="21"/>
      <c r="E879" s="136"/>
      <c r="F879" s="136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</row>
    <row r="880">
      <c r="A880" s="21"/>
      <c r="B880" s="21"/>
      <c r="C880" s="21"/>
      <c r="D880" s="21"/>
      <c r="E880" s="136"/>
      <c r="F880" s="136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</row>
    <row r="881">
      <c r="A881" s="21"/>
      <c r="B881" s="21"/>
      <c r="C881" s="21"/>
      <c r="D881" s="21"/>
      <c r="E881" s="136"/>
      <c r="F881" s="136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</row>
    <row r="882">
      <c r="A882" s="21"/>
      <c r="B882" s="21"/>
      <c r="C882" s="21"/>
      <c r="D882" s="21"/>
      <c r="E882" s="136"/>
      <c r="F882" s="136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</row>
    <row r="883">
      <c r="A883" s="21"/>
      <c r="B883" s="21"/>
      <c r="C883" s="21"/>
      <c r="D883" s="21"/>
      <c r="E883" s="136"/>
      <c r="F883" s="136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</row>
    <row r="884">
      <c r="A884" s="21"/>
      <c r="B884" s="21"/>
      <c r="C884" s="21"/>
      <c r="D884" s="21"/>
      <c r="E884" s="136"/>
      <c r="F884" s="136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</row>
    <row r="885">
      <c r="A885" s="21"/>
      <c r="B885" s="21"/>
      <c r="C885" s="21"/>
      <c r="D885" s="21"/>
      <c r="E885" s="136"/>
      <c r="F885" s="136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</row>
    <row r="886">
      <c r="A886" s="21"/>
      <c r="B886" s="21"/>
      <c r="C886" s="21"/>
      <c r="D886" s="21"/>
      <c r="E886" s="136"/>
      <c r="F886" s="136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</row>
    <row r="887">
      <c r="A887" s="21"/>
      <c r="B887" s="21"/>
      <c r="C887" s="21"/>
      <c r="D887" s="21"/>
      <c r="E887" s="136"/>
      <c r="F887" s="136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</row>
    <row r="888">
      <c r="A888" s="21"/>
      <c r="B888" s="21"/>
      <c r="C888" s="21"/>
      <c r="D888" s="21"/>
      <c r="E888" s="136"/>
      <c r="F888" s="136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</row>
    <row r="889">
      <c r="A889" s="21"/>
      <c r="B889" s="21"/>
      <c r="C889" s="21"/>
      <c r="D889" s="21"/>
      <c r="E889" s="136"/>
      <c r="F889" s="136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</row>
    <row r="890">
      <c r="A890" s="21"/>
      <c r="B890" s="21"/>
      <c r="C890" s="21"/>
      <c r="D890" s="21"/>
      <c r="E890" s="136"/>
      <c r="F890" s="136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</row>
    <row r="891">
      <c r="A891" s="21"/>
      <c r="B891" s="21"/>
      <c r="C891" s="21"/>
      <c r="D891" s="21"/>
      <c r="E891" s="136"/>
      <c r="F891" s="136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</row>
    <row r="892">
      <c r="A892" s="21"/>
      <c r="B892" s="21"/>
      <c r="C892" s="21"/>
      <c r="D892" s="21"/>
      <c r="E892" s="136"/>
      <c r="F892" s="136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</row>
    <row r="893">
      <c r="A893" s="21"/>
      <c r="B893" s="21"/>
      <c r="C893" s="21"/>
      <c r="D893" s="21"/>
      <c r="E893" s="136"/>
      <c r="F893" s="136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</row>
    <row r="894">
      <c r="A894" s="21"/>
      <c r="B894" s="21"/>
      <c r="C894" s="21"/>
      <c r="D894" s="21"/>
      <c r="E894" s="136"/>
      <c r="F894" s="136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</row>
    <row r="895">
      <c r="A895" s="21"/>
      <c r="B895" s="21"/>
      <c r="C895" s="21"/>
      <c r="D895" s="21"/>
      <c r="E895" s="136"/>
      <c r="F895" s="136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</row>
    <row r="896">
      <c r="A896" s="21"/>
      <c r="B896" s="21"/>
      <c r="C896" s="21"/>
      <c r="D896" s="21"/>
      <c r="E896" s="136"/>
      <c r="F896" s="136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</row>
    <row r="897">
      <c r="A897" s="21"/>
      <c r="B897" s="21"/>
      <c r="C897" s="21"/>
      <c r="D897" s="21"/>
      <c r="E897" s="136"/>
      <c r="F897" s="136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</row>
    <row r="898">
      <c r="A898" s="21"/>
      <c r="B898" s="21"/>
      <c r="C898" s="21"/>
      <c r="D898" s="21"/>
      <c r="E898" s="136"/>
      <c r="F898" s="136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</row>
    <row r="899">
      <c r="A899" s="21"/>
      <c r="B899" s="21"/>
      <c r="C899" s="21"/>
      <c r="D899" s="21"/>
      <c r="E899" s="136"/>
      <c r="F899" s="136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</row>
    <row r="900">
      <c r="A900" s="21"/>
      <c r="B900" s="21"/>
      <c r="C900" s="21"/>
      <c r="D900" s="21"/>
      <c r="E900" s="136"/>
      <c r="F900" s="136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</row>
    <row r="901">
      <c r="A901" s="21"/>
      <c r="B901" s="21"/>
      <c r="C901" s="21"/>
      <c r="D901" s="21"/>
      <c r="E901" s="136"/>
      <c r="F901" s="136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</row>
    <row r="902">
      <c r="A902" s="21"/>
      <c r="B902" s="21"/>
      <c r="C902" s="21"/>
      <c r="D902" s="21"/>
      <c r="E902" s="136"/>
      <c r="F902" s="136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</row>
    <row r="903">
      <c r="A903" s="21"/>
      <c r="B903" s="21"/>
      <c r="C903" s="21"/>
      <c r="D903" s="21"/>
      <c r="E903" s="136"/>
      <c r="F903" s="136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</row>
    <row r="904">
      <c r="A904" s="21"/>
      <c r="B904" s="21"/>
      <c r="C904" s="21"/>
      <c r="D904" s="21"/>
      <c r="E904" s="136"/>
      <c r="F904" s="136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</row>
    <row r="905">
      <c r="A905" s="21"/>
      <c r="B905" s="21"/>
      <c r="C905" s="21"/>
      <c r="D905" s="21"/>
      <c r="E905" s="136"/>
      <c r="F905" s="136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</row>
    <row r="906">
      <c r="A906" s="21"/>
      <c r="B906" s="21"/>
      <c r="C906" s="21"/>
      <c r="D906" s="21"/>
      <c r="E906" s="136"/>
      <c r="F906" s="136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</row>
    <row r="907">
      <c r="A907" s="21"/>
      <c r="B907" s="21"/>
      <c r="C907" s="21"/>
      <c r="D907" s="21"/>
      <c r="E907" s="136"/>
      <c r="F907" s="136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</row>
    <row r="908">
      <c r="A908" s="21"/>
      <c r="B908" s="21"/>
      <c r="C908" s="21"/>
      <c r="D908" s="21"/>
      <c r="E908" s="136"/>
      <c r="F908" s="136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</row>
    <row r="909">
      <c r="A909" s="21"/>
      <c r="B909" s="21"/>
      <c r="C909" s="21"/>
      <c r="D909" s="21"/>
      <c r="E909" s="136"/>
      <c r="F909" s="136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</row>
    <row r="910">
      <c r="A910" s="21"/>
      <c r="B910" s="21"/>
      <c r="C910" s="21"/>
      <c r="D910" s="21"/>
      <c r="E910" s="136"/>
      <c r="F910" s="136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</row>
    <row r="911">
      <c r="A911" s="21"/>
      <c r="B911" s="21"/>
      <c r="C911" s="21"/>
      <c r="D911" s="21"/>
      <c r="E911" s="136"/>
      <c r="F911" s="136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</row>
    <row r="912">
      <c r="A912" s="21"/>
      <c r="B912" s="21"/>
      <c r="C912" s="21"/>
      <c r="D912" s="21"/>
      <c r="E912" s="136"/>
      <c r="F912" s="136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</row>
    <row r="913">
      <c r="A913" s="21"/>
      <c r="B913" s="21"/>
      <c r="C913" s="21"/>
      <c r="D913" s="21"/>
      <c r="E913" s="136"/>
      <c r="F913" s="136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</row>
    <row r="914">
      <c r="A914" s="21"/>
      <c r="B914" s="21"/>
      <c r="C914" s="21"/>
      <c r="D914" s="21"/>
      <c r="E914" s="136"/>
      <c r="F914" s="136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</row>
    <row r="915">
      <c r="A915" s="21"/>
      <c r="B915" s="21"/>
      <c r="C915" s="21"/>
      <c r="D915" s="21"/>
      <c r="E915" s="136"/>
      <c r="F915" s="136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</row>
    <row r="916">
      <c r="A916" s="21"/>
      <c r="B916" s="21"/>
      <c r="C916" s="21"/>
      <c r="D916" s="21"/>
      <c r="E916" s="136"/>
      <c r="F916" s="136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</row>
    <row r="917">
      <c r="A917" s="21"/>
      <c r="B917" s="21"/>
      <c r="C917" s="21"/>
      <c r="D917" s="21"/>
      <c r="E917" s="136"/>
      <c r="F917" s="136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</row>
    <row r="918">
      <c r="A918" s="21"/>
      <c r="B918" s="21"/>
      <c r="C918" s="21"/>
      <c r="D918" s="21"/>
      <c r="E918" s="136"/>
      <c r="F918" s="136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</row>
    <row r="919">
      <c r="A919" s="21"/>
      <c r="B919" s="21"/>
      <c r="C919" s="21"/>
      <c r="D919" s="21"/>
      <c r="E919" s="136"/>
      <c r="F919" s="136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</row>
    <row r="920">
      <c r="A920" s="21"/>
      <c r="B920" s="21"/>
      <c r="C920" s="21"/>
      <c r="D920" s="21"/>
      <c r="E920" s="136"/>
      <c r="F920" s="136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</row>
    <row r="921">
      <c r="A921" s="21"/>
      <c r="B921" s="21"/>
      <c r="C921" s="21"/>
      <c r="D921" s="21"/>
      <c r="E921" s="136"/>
      <c r="F921" s="136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</row>
    <row r="922">
      <c r="A922" s="21"/>
      <c r="B922" s="21"/>
      <c r="C922" s="21"/>
      <c r="D922" s="21"/>
      <c r="E922" s="136"/>
      <c r="F922" s="136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</row>
    <row r="923">
      <c r="A923" s="21"/>
      <c r="B923" s="21"/>
      <c r="C923" s="21"/>
      <c r="D923" s="21"/>
      <c r="E923" s="136"/>
      <c r="F923" s="136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</row>
    <row r="924">
      <c r="A924" s="21"/>
      <c r="B924" s="21"/>
      <c r="C924" s="21"/>
      <c r="D924" s="21"/>
      <c r="E924" s="136"/>
      <c r="F924" s="136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</row>
    <row r="925">
      <c r="A925" s="21"/>
      <c r="B925" s="21"/>
      <c r="C925" s="21"/>
      <c r="D925" s="21"/>
      <c r="E925" s="136"/>
      <c r="F925" s="136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</row>
    <row r="926">
      <c r="A926" s="21"/>
      <c r="B926" s="21"/>
      <c r="C926" s="21"/>
      <c r="D926" s="21"/>
      <c r="E926" s="136"/>
      <c r="F926" s="136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</row>
    <row r="927">
      <c r="A927" s="21"/>
      <c r="B927" s="21"/>
      <c r="C927" s="21"/>
      <c r="D927" s="21"/>
      <c r="E927" s="136"/>
      <c r="F927" s="136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</row>
    <row r="928">
      <c r="A928" s="21"/>
      <c r="B928" s="21"/>
      <c r="C928" s="21"/>
      <c r="D928" s="21"/>
      <c r="E928" s="136"/>
      <c r="F928" s="136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</row>
    <row r="929">
      <c r="A929" s="21"/>
      <c r="B929" s="21"/>
      <c r="C929" s="21"/>
      <c r="D929" s="21"/>
      <c r="E929" s="136"/>
      <c r="F929" s="136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</row>
    <row r="930">
      <c r="A930" s="21"/>
      <c r="B930" s="21"/>
      <c r="C930" s="21"/>
      <c r="D930" s="21"/>
      <c r="E930" s="136"/>
      <c r="F930" s="136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</row>
    <row r="931">
      <c r="A931" s="21"/>
      <c r="B931" s="21"/>
      <c r="C931" s="21"/>
      <c r="D931" s="21"/>
      <c r="E931" s="136"/>
      <c r="F931" s="136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</row>
    <row r="932">
      <c r="A932" s="21"/>
      <c r="B932" s="21"/>
      <c r="C932" s="21"/>
      <c r="D932" s="21"/>
      <c r="E932" s="136"/>
      <c r="F932" s="136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</row>
    <row r="933">
      <c r="A933" s="21"/>
      <c r="B933" s="21"/>
      <c r="C933" s="21"/>
      <c r="D933" s="21"/>
      <c r="E933" s="136"/>
      <c r="F933" s="136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</row>
    <row r="934">
      <c r="A934" s="21"/>
      <c r="B934" s="21"/>
      <c r="C934" s="21"/>
      <c r="D934" s="21"/>
      <c r="E934" s="136"/>
      <c r="F934" s="136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</row>
    <row r="935">
      <c r="A935" s="21"/>
      <c r="B935" s="21"/>
      <c r="C935" s="21"/>
      <c r="D935" s="21"/>
      <c r="E935" s="136"/>
      <c r="F935" s="136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</row>
    <row r="936">
      <c r="A936" s="21"/>
      <c r="B936" s="21"/>
      <c r="C936" s="21"/>
      <c r="D936" s="21"/>
      <c r="E936" s="136"/>
      <c r="F936" s="136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</row>
    <row r="937">
      <c r="A937" s="21"/>
      <c r="B937" s="21"/>
      <c r="C937" s="21"/>
      <c r="D937" s="21"/>
      <c r="E937" s="136"/>
      <c r="F937" s="136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</row>
    <row r="938">
      <c r="A938" s="21"/>
      <c r="B938" s="21"/>
      <c r="C938" s="21"/>
      <c r="D938" s="21"/>
      <c r="E938" s="136"/>
      <c r="F938" s="136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</row>
    <row r="939">
      <c r="A939" s="21"/>
      <c r="B939" s="21"/>
      <c r="C939" s="21"/>
      <c r="D939" s="21"/>
      <c r="E939" s="136"/>
      <c r="F939" s="136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</row>
    <row r="940">
      <c r="A940" s="21"/>
      <c r="B940" s="21"/>
      <c r="C940" s="21"/>
      <c r="D940" s="21"/>
      <c r="E940" s="136"/>
      <c r="F940" s="136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</row>
    <row r="941">
      <c r="A941" s="21"/>
      <c r="B941" s="21"/>
      <c r="C941" s="21"/>
      <c r="D941" s="21"/>
      <c r="E941" s="136"/>
      <c r="F941" s="136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</row>
    <row r="942">
      <c r="A942" s="21"/>
      <c r="B942" s="21"/>
      <c r="C942" s="21"/>
      <c r="D942" s="21"/>
      <c r="E942" s="136"/>
      <c r="F942" s="136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</row>
    <row r="943">
      <c r="A943" s="21"/>
      <c r="B943" s="21"/>
      <c r="C943" s="21"/>
      <c r="D943" s="21"/>
      <c r="E943" s="136"/>
      <c r="F943" s="136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</row>
    <row r="944">
      <c r="A944" s="21"/>
      <c r="B944" s="21"/>
      <c r="C944" s="21"/>
      <c r="D944" s="21"/>
      <c r="E944" s="136"/>
      <c r="F944" s="136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</row>
    <row r="945">
      <c r="A945" s="21"/>
      <c r="B945" s="21"/>
      <c r="C945" s="21"/>
      <c r="D945" s="21"/>
      <c r="E945" s="136"/>
      <c r="F945" s="136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</row>
    <row r="946">
      <c r="A946" s="21"/>
      <c r="B946" s="21"/>
      <c r="C946" s="21"/>
      <c r="D946" s="21"/>
      <c r="E946" s="136"/>
      <c r="F946" s="136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</row>
    <row r="947">
      <c r="A947" s="21"/>
      <c r="B947" s="21"/>
      <c r="C947" s="21"/>
      <c r="D947" s="21"/>
      <c r="E947" s="136"/>
      <c r="F947" s="136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</row>
    <row r="948">
      <c r="A948" s="21"/>
      <c r="B948" s="21"/>
      <c r="C948" s="21"/>
      <c r="D948" s="21"/>
      <c r="E948" s="136"/>
      <c r="F948" s="136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</row>
    <row r="949">
      <c r="A949" s="21"/>
      <c r="B949" s="21"/>
      <c r="C949" s="21"/>
      <c r="D949" s="21"/>
      <c r="E949" s="136"/>
      <c r="F949" s="136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</row>
    <row r="950">
      <c r="A950" s="21"/>
      <c r="B950" s="21"/>
      <c r="C950" s="21"/>
      <c r="D950" s="21"/>
      <c r="E950" s="136"/>
      <c r="F950" s="136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</row>
    <row r="951">
      <c r="A951" s="21"/>
      <c r="B951" s="21"/>
      <c r="C951" s="21"/>
      <c r="D951" s="21"/>
      <c r="E951" s="136"/>
      <c r="F951" s="136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</row>
    <row r="952">
      <c r="A952" s="21"/>
      <c r="B952" s="21"/>
      <c r="C952" s="21"/>
      <c r="D952" s="21"/>
      <c r="E952" s="136"/>
      <c r="F952" s="136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</row>
    <row r="953">
      <c r="A953" s="21"/>
      <c r="B953" s="21"/>
      <c r="C953" s="21"/>
      <c r="D953" s="21"/>
      <c r="E953" s="136"/>
      <c r="F953" s="136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</row>
    <row r="954">
      <c r="A954" s="21"/>
      <c r="B954" s="21"/>
      <c r="C954" s="21"/>
      <c r="D954" s="21"/>
      <c r="E954" s="136"/>
      <c r="F954" s="136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</row>
    <row r="955">
      <c r="A955" s="21"/>
      <c r="B955" s="21"/>
      <c r="C955" s="21"/>
      <c r="D955" s="21"/>
      <c r="E955" s="136"/>
      <c r="F955" s="136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</row>
    <row r="956">
      <c r="A956" s="21"/>
      <c r="B956" s="21"/>
      <c r="C956" s="21"/>
      <c r="D956" s="21"/>
      <c r="E956" s="136"/>
      <c r="F956" s="136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</row>
    <row r="957">
      <c r="A957" s="21"/>
      <c r="B957" s="21"/>
      <c r="C957" s="21"/>
      <c r="D957" s="21"/>
      <c r="E957" s="136"/>
      <c r="F957" s="136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</row>
    <row r="958">
      <c r="A958" s="21"/>
      <c r="B958" s="21"/>
      <c r="C958" s="21"/>
      <c r="D958" s="21"/>
      <c r="E958" s="136"/>
      <c r="F958" s="136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</row>
    <row r="959">
      <c r="A959" s="21"/>
      <c r="B959" s="21"/>
      <c r="C959" s="21"/>
      <c r="D959" s="21"/>
      <c r="E959" s="136"/>
      <c r="F959" s="136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</row>
    <row r="960">
      <c r="A960" s="21"/>
      <c r="B960" s="21"/>
      <c r="C960" s="21"/>
      <c r="D960" s="21"/>
      <c r="E960" s="136"/>
      <c r="F960" s="136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</row>
    <row r="961">
      <c r="A961" s="21"/>
      <c r="B961" s="21"/>
      <c r="C961" s="21"/>
      <c r="D961" s="21"/>
      <c r="E961" s="136"/>
      <c r="F961" s="136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</row>
    <row r="962">
      <c r="A962" s="21"/>
      <c r="B962" s="21"/>
      <c r="C962" s="21"/>
      <c r="D962" s="21"/>
      <c r="E962" s="136"/>
      <c r="F962" s="136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</row>
    <row r="963">
      <c r="A963" s="21"/>
      <c r="B963" s="21"/>
      <c r="C963" s="21"/>
      <c r="D963" s="21"/>
      <c r="E963" s="136"/>
      <c r="F963" s="136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</row>
    <row r="964">
      <c r="A964" s="21"/>
      <c r="B964" s="21"/>
      <c r="C964" s="21"/>
      <c r="D964" s="21"/>
      <c r="E964" s="136"/>
      <c r="F964" s="136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</row>
    <row r="965">
      <c r="A965" s="21"/>
      <c r="B965" s="21"/>
      <c r="C965" s="21"/>
      <c r="D965" s="21"/>
      <c r="E965" s="136"/>
      <c r="F965" s="136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</row>
    <row r="966">
      <c r="A966" s="21"/>
      <c r="B966" s="21"/>
      <c r="C966" s="21"/>
      <c r="D966" s="21"/>
      <c r="E966" s="136"/>
      <c r="F966" s="136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</row>
    <row r="967">
      <c r="A967" s="21"/>
      <c r="B967" s="21"/>
      <c r="C967" s="21"/>
      <c r="D967" s="21"/>
      <c r="E967" s="136"/>
      <c r="F967" s="136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</row>
    <row r="968">
      <c r="A968" s="21"/>
      <c r="B968" s="21"/>
      <c r="C968" s="21"/>
      <c r="D968" s="21"/>
      <c r="E968" s="136"/>
      <c r="F968" s="136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</row>
    <row r="969">
      <c r="A969" s="21"/>
      <c r="B969" s="21"/>
      <c r="C969" s="21"/>
      <c r="D969" s="21"/>
      <c r="E969" s="136"/>
      <c r="F969" s="136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</row>
    <row r="970">
      <c r="A970" s="21"/>
      <c r="B970" s="21"/>
      <c r="C970" s="21"/>
      <c r="D970" s="21"/>
      <c r="E970" s="136"/>
      <c r="F970" s="136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</row>
    <row r="971">
      <c r="A971" s="21"/>
      <c r="B971" s="21"/>
      <c r="C971" s="21"/>
      <c r="D971" s="21"/>
      <c r="E971" s="136"/>
      <c r="F971" s="136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</row>
    <row r="972">
      <c r="A972" s="21"/>
      <c r="B972" s="21"/>
      <c r="C972" s="21"/>
      <c r="D972" s="21"/>
      <c r="E972" s="136"/>
      <c r="F972" s="136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</row>
    <row r="973">
      <c r="A973" s="21"/>
      <c r="B973" s="21"/>
      <c r="C973" s="21"/>
      <c r="D973" s="21"/>
      <c r="E973" s="136"/>
      <c r="F973" s="136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</row>
    <row r="974">
      <c r="A974" s="21"/>
      <c r="B974" s="21"/>
      <c r="C974" s="21"/>
      <c r="D974" s="21"/>
      <c r="E974" s="136"/>
      <c r="F974" s="136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</row>
    <row r="975">
      <c r="A975" s="21"/>
      <c r="B975" s="21"/>
      <c r="C975" s="21"/>
      <c r="D975" s="21"/>
      <c r="E975" s="136"/>
      <c r="F975" s="136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</row>
    <row r="976">
      <c r="A976" s="21"/>
      <c r="B976" s="21"/>
      <c r="C976" s="21"/>
      <c r="D976" s="21"/>
      <c r="E976" s="136"/>
      <c r="F976" s="136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</row>
    <row r="977">
      <c r="A977" s="21"/>
      <c r="B977" s="21"/>
      <c r="C977" s="21"/>
      <c r="D977" s="21"/>
      <c r="E977" s="136"/>
      <c r="F977" s="136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</row>
    <row r="978">
      <c r="A978" s="21"/>
      <c r="B978" s="21"/>
      <c r="C978" s="21"/>
      <c r="D978" s="21"/>
      <c r="E978" s="136"/>
      <c r="F978" s="136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</row>
    <row r="979">
      <c r="A979" s="21"/>
      <c r="B979" s="21"/>
      <c r="C979" s="21"/>
      <c r="D979" s="21"/>
      <c r="E979" s="136"/>
      <c r="F979" s="136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</row>
    <row r="980">
      <c r="A980" s="21"/>
      <c r="B980" s="21"/>
      <c r="C980" s="21"/>
      <c r="D980" s="21"/>
      <c r="E980" s="136"/>
      <c r="F980" s="136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</row>
    <row r="981">
      <c r="A981" s="21"/>
      <c r="B981" s="21"/>
      <c r="C981" s="21"/>
      <c r="D981" s="21"/>
      <c r="E981" s="136"/>
      <c r="F981" s="136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</row>
    <row r="982">
      <c r="A982" s="21"/>
      <c r="B982" s="21"/>
      <c r="C982" s="21"/>
      <c r="D982" s="21"/>
      <c r="E982" s="136"/>
      <c r="F982" s="136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</row>
    <row r="983">
      <c r="A983" s="21"/>
      <c r="B983" s="21"/>
      <c r="C983" s="21"/>
      <c r="D983" s="21"/>
      <c r="E983" s="136"/>
      <c r="F983" s="136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</row>
    <row r="984">
      <c r="A984" s="21"/>
      <c r="B984" s="21"/>
      <c r="C984" s="21"/>
      <c r="D984" s="21"/>
      <c r="E984" s="136"/>
      <c r="F984" s="136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</row>
    <row r="985">
      <c r="A985" s="21"/>
      <c r="B985" s="21"/>
      <c r="C985" s="21"/>
      <c r="D985" s="21"/>
      <c r="E985" s="136"/>
      <c r="F985" s="136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</row>
    <row r="986">
      <c r="A986" s="21"/>
      <c r="B986" s="21"/>
      <c r="C986" s="21"/>
      <c r="D986" s="21"/>
      <c r="E986" s="136"/>
      <c r="F986" s="136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</row>
    <row r="987">
      <c r="A987" s="21"/>
      <c r="B987" s="21"/>
      <c r="C987" s="21"/>
      <c r="D987" s="21"/>
      <c r="E987" s="136"/>
      <c r="F987" s="136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</row>
    <row r="988">
      <c r="A988" s="21"/>
      <c r="B988" s="21"/>
      <c r="C988" s="21"/>
      <c r="D988" s="21"/>
      <c r="E988" s="136"/>
      <c r="F988" s="136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</row>
    <row r="989">
      <c r="A989" s="21"/>
      <c r="B989" s="21"/>
      <c r="C989" s="21"/>
      <c r="D989" s="21"/>
      <c r="E989" s="136"/>
      <c r="F989" s="136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</row>
    <row r="990">
      <c r="A990" s="21"/>
      <c r="B990" s="21"/>
      <c r="C990" s="21"/>
      <c r="D990" s="21"/>
      <c r="E990" s="136"/>
      <c r="F990" s="136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</row>
    <row r="991">
      <c r="A991" s="21"/>
      <c r="B991" s="21"/>
      <c r="C991" s="21"/>
      <c r="D991" s="21"/>
      <c r="E991" s="136"/>
      <c r="F991" s="136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</row>
    <row r="992">
      <c r="A992" s="21"/>
      <c r="B992" s="21"/>
      <c r="C992" s="21"/>
      <c r="D992" s="21"/>
      <c r="E992" s="136"/>
      <c r="F992" s="136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</row>
    <row r="993">
      <c r="A993" s="21"/>
      <c r="B993" s="21"/>
      <c r="C993" s="21"/>
      <c r="D993" s="21"/>
      <c r="E993" s="136"/>
      <c r="F993" s="136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</row>
    <row r="994">
      <c r="A994" s="21"/>
      <c r="B994" s="21"/>
      <c r="C994" s="21"/>
      <c r="D994" s="21"/>
      <c r="E994" s="136"/>
      <c r="F994" s="136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</row>
    <row r="995">
      <c r="A995" s="21"/>
      <c r="B995" s="21"/>
      <c r="C995" s="21"/>
      <c r="D995" s="21"/>
      <c r="E995" s="136"/>
      <c r="F995" s="136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</row>
    <row r="996">
      <c r="A996" s="21"/>
      <c r="B996" s="21"/>
      <c r="C996" s="21"/>
      <c r="D996" s="21"/>
      <c r="E996" s="136"/>
      <c r="F996" s="136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</row>
    <row r="997">
      <c r="A997" s="21"/>
      <c r="B997" s="21"/>
      <c r="C997" s="21"/>
      <c r="D997" s="21"/>
      <c r="E997" s="136"/>
      <c r="F997" s="136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</row>
    <row r="998">
      <c r="A998" s="21"/>
      <c r="B998" s="21"/>
      <c r="C998" s="21"/>
      <c r="D998" s="21"/>
      <c r="E998" s="136"/>
      <c r="F998" s="136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</row>
    <row r="999">
      <c r="A999" s="21"/>
      <c r="B999" s="21"/>
      <c r="C999" s="21"/>
      <c r="D999" s="21"/>
      <c r="E999" s="136"/>
      <c r="F999" s="136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</row>
    <row r="1000">
      <c r="A1000" s="21"/>
      <c r="B1000" s="21"/>
      <c r="C1000" s="21"/>
      <c r="D1000" s="21"/>
      <c r="E1000" s="136"/>
      <c r="F1000" s="136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</row>
    <row r="1001">
      <c r="A1001" s="21"/>
      <c r="B1001" s="21"/>
      <c r="C1001" s="21"/>
      <c r="D1001" s="21"/>
      <c r="E1001" s="136"/>
      <c r="F1001" s="136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</row>
    <row r="1002">
      <c r="A1002" s="21"/>
      <c r="B1002" s="21"/>
      <c r="C1002" s="21"/>
      <c r="D1002" s="21"/>
      <c r="E1002" s="136"/>
      <c r="F1002" s="136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</row>
    <row r="1003">
      <c r="A1003" s="21"/>
      <c r="B1003" s="21"/>
      <c r="C1003" s="21"/>
      <c r="D1003" s="21"/>
      <c r="E1003" s="136"/>
      <c r="F1003" s="136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</row>
  </sheetData>
  <mergeCells count="5">
    <mergeCell ref="A1:B1"/>
    <mergeCell ref="E1:I1"/>
    <mergeCell ref="K1:L1"/>
    <mergeCell ref="M1:N1"/>
    <mergeCell ref="K14:L14"/>
  </mergeCells>
  <dataValidations>
    <dataValidation type="list" allowBlank="1" showErrorMessage="1" sqref="A1">
      <formula1>"Jan,Feb,Mar,Apr,May,Jun,Jul,Aug,Sep,Oct,Nov,Dec"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0"/>
    <col customWidth="1" min="2" max="2" width="11.75"/>
    <col customWidth="1" min="3" max="3" width="2.25"/>
  </cols>
  <sheetData>
    <row r="1">
      <c r="A1" s="2" t="s">
        <v>0</v>
      </c>
      <c r="B1" s="11">
        <f>TODAY()</f>
        <v>46238</v>
      </c>
      <c r="C1" s="11"/>
      <c r="D1" s="14" t="s">
        <v>1</v>
      </c>
      <c r="E1" s="17" t="s">
        <v>7</v>
      </c>
      <c r="F1" s="20" t="s">
        <v>8</v>
      </c>
      <c r="G1" s="14" t="s">
        <v>1</v>
      </c>
      <c r="H1" s="17" t="s">
        <v>7</v>
      </c>
      <c r="I1" s="20" t="s">
        <v>8</v>
      </c>
      <c r="J1" s="14" t="s">
        <v>1</v>
      </c>
      <c r="K1" s="17" t="s">
        <v>7</v>
      </c>
      <c r="L1" s="20" t="s">
        <v>8</v>
      </c>
      <c r="M1" s="14" t="s">
        <v>1</v>
      </c>
      <c r="N1" s="17" t="s">
        <v>7</v>
      </c>
      <c r="O1" s="20" t="s">
        <v>8</v>
      </c>
      <c r="P1" s="14" t="s">
        <v>1</v>
      </c>
      <c r="Q1" s="17" t="s">
        <v>7</v>
      </c>
      <c r="R1" s="20" t="s">
        <v>8</v>
      </c>
      <c r="S1" s="14" t="s">
        <v>1</v>
      </c>
      <c r="T1" s="17" t="s">
        <v>7</v>
      </c>
      <c r="U1" s="20" t="s">
        <v>8</v>
      </c>
      <c r="V1" s="29"/>
      <c r="W1" s="6"/>
      <c r="X1" s="6"/>
      <c r="Y1" s="6"/>
      <c r="Z1" s="6"/>
      <c r="AA1" s="6"/>
      <c r="AB1" s="6"/>
      <c r="AC1" s="6"/>
      <c r="AD1" s="6"/>
      <c r="AE1" s="6"/>
    </row>
    <row r="2">
      <c r="A2" s="23" t="s">
        <v>26</v>
      </c>
      <c r="B2" s="8">
        <f>D8+G8+J8+M8</f>
        <v>26445.95765</v>
      </c>
      <c r="C2" s="6"/>
      <c r="D2" s="34">
        <v>20000.0</v>
      </c>
      <c r="E2" s="35">
        <v>45356.0</v>
      </c>
      <c r="F2" s="38">
        <f>DATE(YEAR(E2)+8,MONTH(E2),DAY(E2))</f>
        <v>48278</v>
      </c>
      <c r="G2" s="34">
        <f>5000</f>
        <v>5000</v>
      </c>
      <c r="H2" s="40">
        <v>44316.0</v>
      </c>
      <c r="I2" s="41">
        <v>47238.0</v>
      </c>
      <c r="J2" s="34">
        <v>10000.0</v>
      </c>
      <c r="K2" s="35">
        <v>45870.0</v>
      </c>
      <c r="L2" s="38">
        <f>DATE(YEAR(K2)+4,MONTH(K2),DAY(K2))</f>
        <v>47331</v>
      </c>
      <c r="M2" s="34">
        <v>2786.63</v>
      </c>
      <c r="N2" s="35">
        <v>46027.0</v>
      </c>
      <c r="O2" s="38">
        <f>DATE(YEAR(N2)+2,MONTH(N2),DAY(N2))</f>
        <v>46757</v>
      </c>
      <c r="P2" s="34">
        <v>22931.84</v>
      </c>
      <c r="Q2" s="35">
        <v>46020.0</v>
      </c>
      <c r="R2" s="38">
        <f>DATE(YEAR(Q2)+10,MONTH(Q2),DAY(Q2))</f>
        <v>49672</v>
      </c>
      <c r="S2" s="34">
        <v>132300.0</v>
      </c>
      <c r="T2" s="35">
        <v>45442.0</v>
      </c>
      <c r="U2" s="38">
        <f>DATE(YEAR(T2),MONTH(T2)+359,DAY(T2))</f>
        <v>56369</v>
      </c>
      <c r="V2" s="45"/>
      <c r="W2" s="6"/>
      <c r="X2" s="6"/>
      <c r="Y2" s="6"/>
      <c r="Z2" s="6"/>
      <c r="AA2" s="6"/>
      <c r="AB2" s="6"/>
      <c r="AC2" s="6"/>
      <c r="AD2" s="6"/>
      <c r="AE2" s="6"/>
    </row>
    <row r="3">
      <c r="A3" s="23" t="s">
        <v>45</v>
      </c>
      <c r="B3" s="47">
        <f>B2+P8</f>
        <v>48344.32255</v>
      </c>
      <c r="C3" s="47"/>
      <c r="D3" s="48" t="s">
        <v>21</v>
      </c>
      <c r="E3" s="50">
        <v>0.0839</v>
      </c>
      <c r="F3" s="52"/>
      <c r="G3" s="48" t="s">
        <v>21</v>
      </c>
      <c r="H3" s="50">
        <v>0.058</v>
      </c>
      <c r="I3" s="52"/>
      <c r="J3" s="48" t="s">
        <v>21</v>
      </c>
      <c r="K3" s="50">
        <v>0.0677</v>
      </c>
      <c r="L3" s="52"/>
      <c r="M3" s="48" t="s">
        <v>21</v>
      </c>
      <c r="N3" s="50">
        <v>0.075</v>
      </c>
      <c r="O3" s="52"/>
      <c r="P3" s="48" t="s">
        <v>21</v>
      </c>
      <c r="Q3" s="50">
        <v>0.0525</v>
      </c>
      <c r="R3" s="52"/>
      <c r="S3" s="48" t="s">
        <v>21</v>
      </c>
      <c r="T3" s="50">
        <v>0.0289</v>
      </c>
      <c r="U3" s="52"/>
      <c r="V3" s="29"/>
      <c r="W3" s="6"/>
      <c r="X3" s="6"/>
      <c r="Y3" s="6"/>
      <c r="Z3" s="6"/>
      <c r="AA3" s="6"/>
      <c r="AB3" s="6"/>
      <c r="AC3" s="6"/>
      <c r="AD3" s="6"/>
      <c r="AE3" s="6"/>
    </row>
    <row r="4">
      <c r="A4" s="2" t="s">
        <v>55</v>
      </c>
      <c r="B4" s="55">
        <f>S8</f>
        <v>126074.6925</v>
      </c>
      <c r="C4" s="57"/>
      <c r="D4" s="58" t="s">
        <v>39</v>
      </c>
      <c r="E4" s="58" t="s">
        <v>61</v>
      </c>
      <c r="F4" s="59"/>
      <c r="G4" s="58" t="s">
        <v>39</v>
      </c>
      <c r="H4" s="58" t="s">
        <v>61</v>
      </c>
      <c r="I4" s="59"/>
      <c r="J4" s="58" t="s">
        <v>39</v>
      </c>
      <c r="K4" s="58" t="s">
        <v>61</v>
      </c>
      <c r="L4" s="59"/>
      <c r="M4" s="58" t="s">
        <v>39</v>
      </c>
      <c r="N4" s="58" t="s">
        <v>61</v>
      </c>
      <c r="O4" s="59"/>
      <c r="P4" s="58" t="s">
        <v>39</v>
      </c>
      <c r="Q4" s="58" t="s">
        <v>61</v>
      </c>
      <c r="R4" s="59"/>
      <c r="S4" s="58" t="s">
        <v>39</v>
      </c>
      <c r="T4" s="58" t="s">
        <v>63</v>
      </c>
      <c r="U4" s="59"/>
      <c r="V4" s="61"/>
      <c r="W4" s="6"/>
      <c r="X4" s="6"/>
      <c r="Y4" s="6"/>
      <c r="Z4" s="6"/>
      <c r="AA4" s="6"/>
      <c r="AB4" s="6"/>
      <c r="AC4" s="6"/>
      <c r="AD4" s="6"/>
      <c r="AE4" s="6"/>
    </row>
    <row r="5">
      <c r="A5" s="23" t="s">
        <v>66</v>
      </c>
      <c r="B5" s="8">
        <f>B4+B2</f>
        <v>152520.6501</v>
      </c>
      <c r="C5" s="6"/>
      <c r="D5" s="65">
        <f>PMT(E3/12,DATEDIF(E2,F2,"M"),-D2)</f>
        <v>286.7140786</v>
      </c>
      <c r="E5" s="66">
        <v>22.25</v>
      </c>
      <c r="F5" s="67"/>
      <c r="G5" s="65">
        <f>PMT(H3/12,DATEDIF(G12,I2,"M"),H8-G2)</f>
        <v>29.42086684</v>
      </c>
      <c r="H5" s="66">
        <v>0.0</v>
      </c>
      <c r="I5" s="67"/>
      <c r="J5" s="65">
        <f>PMT(K3/12,DATEDIF(K2,L2,"M"),-J2)</f>
        <v>238.3968072</v>
      </c>
      <c r="K5" s="66">
        <v>0.0</v>
      </c>
      <c r="L5" s="67"/>
      <c r="M5" s="65">
        <f>M2*(1+N3)/DATEDIF(N2,O2,"M")</f>
        <v>124.8178021</v>
      </c>
      <c r="N5" s="66">
        <v>0.0</v>
      </c>
      <c r="O5" s="67"/>
      <c r="P5" s="65">
        <f>PMT(Q3/12,DATEDIF(Q2,R2,"M"),-P2)</f>
        <v>246.039613</v>
      </c>
      <c r="Q5" s="66">
        <v>0.0</v>
      </c>
      <c r="R5" s="67"/>
      <c r="S5" s="65">
        <f>PMT(T3/12,DATEDIF(T2,U2,"M"),-S2)</f>
        <v>550.9274339</v>
      </c>
      <c r="T5" s="66">
        <f>(121.46*4+80)/12</f>
        <v>47.15333333</v>
      </c>
      <c r="U5" s="67"/>
      <c r="V5" s="29"/>
      <c r="W5" s="6"/>
      <c r="X5" s="6"/>
      <c r="Y5" s="6"/>
      <c r="Z5" s="6"/>
      <c r="AA5" s="6"/>
      <c r="AB5" s="6"/>
      <c r="AC5" s="6"/>
      <c r="AD5" s="6"/>
      <c r="AE5" s="6"/>
    </row>
    <row r="6">
      <c r="A6" s="2" t="s">
        <v>73</v>
      </c>
      <c r="B6" s="47">
        <f>B3+B4</f>
        <v>174419.015</v>
      </c>
      <c r="C6" s="47"/>
      <c r="D6" s="78" t="s">
        <v>74</v>
      </c>
      <c r="E6" s="80">
        <f>D5+E5</f>
        <v>308.9640786</v>
      </c>
      <c r="F6" s="67"/>
      <c r="G6" s="78" t="s">
        <v>74</v>
      </c>
      <c r="H6" s="80">
        <f>G5+H5</f>
        <v>29.42086684</v>
      </c>
      <c r="I6" s="67"/>
      <c r="J6" s="78" t="s">
        <v>74</v>
      </c>
      <c r="K6" s="80">
        <f>J5+K5</f>
        <v>238.3968072</v>
      </c>
      <c r="L6" s="67"/>
      <c r="M6" s="78" t="s">
        <v>74</v>
      </c>
      <c r="N6" s="80">
        <f>M5+N5</f>
        <v>124.8178021</v>
      </c>
      <c r="O6" s="67"/>
      <c r="P6" s="78" t="s">
        <v>74</v>
      </c>
      <c r="Q6" s="80">
        <f>P5+Q5</f>
        <v>246.039613</v>
      </c>
      <c r="R6" s="67"/>
      <c r="S6" s="78" t="s">
        <v>74</v>
      </c>
      <c r="T6" s="80">
        <f>S5+T5</f>
        <v>598.0807672</v>
      </c>
      <c r="U6" s="67"/>
      <c r="V6" s="83"/>
      <c r="W6" s="6"/>
      <c r="X6" s="6"/>
      <c r="Y6" s="6"/>
      <c r="Z6" s="6"/>
      <c r="AA6" s="6"/>
      <c r="AB6" s="6"/>
      <c r="AC6" s="6"/>
      <c r="AD6" s="6"/>
      <c r="AE6" s="6"/>
    </row>
    <row r="7">
      <c r="A7" s="57"/>
      <c r="B7" s="57"/>
      <c r="C7" s="57"/>
      <c r="D7" s="84" t="s">
        <v>77</v>
      </c>
      <c r="E7" s="10" t="s">
        <v>78</v>
      </c>
      <c r="F7" s="85"/>
      <c r="G7" s="84" t="s">
        <v>77</v>
      </c>
      <c r="H7" s="10" t="s">
        <v>78</v>
      </c>
      <c r="I7" s="85"/>
      <c r="J7" s="84" t="s">
        <v>77</v>
      </c>
      <c r="K7" s="10" t="s">
        <v>78</v>
      </c>
      <c r="L7" s="85"/>
      <c r="M7" s="84" t="s">
        <v>77</v>
      </c>
      <c r="N7" s="10" t="s">
        <v>78</v>
      </c>
      <c r="O7" s="85"/>
      <c r="P7" s="84" t="s">
        <v>77</v>
      </c>
      <c r="Q7" s="10" t="s">
        <v>78</v>
      </c>
      <c r="R7" s="85"/>
      <c r="S7" s="84" t="s">
        <v>77</v>
      </c>
      <c r="T7" s="10" t="s">
        <v>78</v>
      </c>
      <c r="U7" s="85"/>
      <c r="V7" s="29"/>
      <c r="W7" s="6"/>
      <c r="X7" s="6"/>
      <c r="Y7" s="6"/>
      <c r="Z7" s="6"/>
      <c r="AA7" s="6"/>
      <c r="AB7" s="6"/>
      <c r="AC7" s="6"/>
      <c r="AD7" s="6"/>
      <c r="AE7" s="6"/>
    </row>
    <row r="8">
      <c r="A8" s="86"/>
      <c r="B8" s="86"/>
      <c r="C8" s="86"/>
      <c r="D8" s="88">
        <f>D2-E8</f>
        <v>15474.57028</v>
      </c>
      <c r="E8" s="90">
        <f>SUM(E10:F12)</f>
        <v>4525.429719</v>
      </c>
      <c r="F8" s="91"/>
      <c r="G8" s="88">
        <f>G2-H8</f>
        <v>920.3957279</v>
      </c>
      <c r="H8" s="90">
        <f>SUM(H10:I13)</f>
        <v>4079.604272</v>
      </c>
      <c r="I8" s="91"/>
      <c r="J8" s="88">
        <f>J2-K8</f>
        <v>7804.271199</v>
      </c>
      <c r="K8" s="90">
        <f>SUM(K10:L12)</f>
        <v>2195.728801</v>
      </c>
      <c r="L8" s="91"/>
      <c r="M8" s="88">
        <f>M2*(1+N3)-N8</f>
        <v>2246.720438</v>
      </c>
      <c r="N8" s="90">
        <f>SUM(N10:O12)</f>
        <v>748.9068125</v>
      </c>
      <c r="O8" s="91"/>
      <c r="P8" s="88">
        <f>P2-Q8</f>
        <v>21898.3649</v>
      </c>
      <c r="Q8" s="90">
        <f>SUM(Q10:R12)</f>
        <v>1033.4751</v>
      </c>
      <c r="R8" s="91"/>
      <c r="S8" s="88">
        <f>S2-T8</f>
        <v>126074.6925</v>
      </c>
      <c r="T8" s="90">
        <f>SUM(T10:U12)</f>
        <v>6225.307519</v>
      </c>
      <c r="U8" s="91"/>
      <c r="V8" s="92"/>
      <c r="W8" s="6"/>
      <c r="X8" s="6"/>
      <c r="Y8" s="6"/>
      <c r="Z8" s="6"/>
      <c r="AA8" s="6"/>
      <c r="AB8" s="6"/>
      <c r="AC8" s="6"/>
      <c r="AD8" s="6"/>
      <c r="AE8" s="6"/>
    </row>
    <row r="9">
      <c r="A9" s="10"/>
      <c r="B9" s="10"/>
      <c r="C9" s="10"/>
      <c r="D9" s="93" t="s">
        <v>90</v>
      </c>
      <c r="E9" s="94"/>
      <c r="F9" s="95"/>
      <c r="G9" s="96" t="s">
        <v>90</v>
      </c>
      <c r="H9" s="16"/>
      <c r="I9" s="19"/>
      <c r="J9" s="93" t="s">
        <v>90</v>
      </c>
      <c r="K9" s="94"/>
      <c r="L9" s="95"/>
      <c r="M9" s="93" t="s">
        <v>90</v>
      </c>
      <c r="N9" s="94"/>
      <c r="O9" s="95"/>
      <c r="P9" s="93" t="s">
        <v>90</v>
      </c>
      <c r="Q9" s="94"/>
      <c r="R9" s="95"/>
      <c r="S9" s="93" t="s">
        <v>90</v>
      </c>
      <c r="T9" s="94"/>
      <c r="U9" s="95"/>
      <c r="V9" s="25"/>
      <c r="W9" s="6"/>
      <c r="X9" s="6"/>
      <c r="Y9" s="6"/>
      <c r="Z9" s="6"/>
      <c r="AA9" s="6"/>
      <c r="AB9" s="6"/>
      <c r="AC9" s="6"/>
      <c r="AD9" s="6"/>
      <c r="AE9" s="6"/>
    </row>
    <row r="10">
      <c r="A10" s="23"/>
      <c r="B10" s="23"/>
      <c r="C10" s="23"/>
      <c r="D10" s="99">
        <f>$B$1</f>
        <v>46238</v>
      </c>
      <c r="E10" s="8"/>
      <c r="F10" s="102">
        <f>IF(DATEDIF(E2, D10, "M")=0, 0,-CUMPRINC(E3/12, DATEDIF(E2,F2,"M"), D2, 1, IF(DATEDIF(E2,D10,"M")=0,1,DATEDIF(E2,D10,"M")), 0))</f>
        <v>4525.429719</v>
      </c>
      <c r="G10" s="103">
        <v>44742.0</v>
      </c>
      <c r="H10" s="104">
        <v>1091.0</v>
      </c>
      <c r="I10" s="106">
        <f>-CUMPRINC(0.048/12, 96, G2, 1, DATEDIF(H2, G10, "M"), 0)+0.77</f>
        <v>616.154674</v>
      </c>
      <c r="J10" s="99">
        <f>$B$1</f>
        <v>46238</v>
      </c>
      <c r="K10" s="10"/>
      <c r="L10" s="102">
        <f>IF(DATEDIF(K2, J10, "M")=0, 0,-CUMPRINC(0.0839/12, DATEDIF(K2,L2,"M"), J2, 1, IF(DATEDIF(K2,J10,"M")=0,1,DATEDIF(K2,J10,"M")), 0))</f>
        <v>2195.728801</v>
      </c>
      <c r="M10" s="99">
        <f>$B$1</f>
        <v>46238</v>
      </c>
      <c r="N10" s="8"/>
      <c r="O10" s="102">
        <f>(DATEDIF(N2,M10,"M")*N6)</f>
        <v>748.9068125</v>
      </c>
      <c r="P10" s="99">
        <f>$B$1</f>
        <v>46238</v>
      </c>
      <c r="Q10" s="8"/>
      <c r="R10" s="102">
        <f>IF(DATEDIF(Q2, P10, "M")=0, 0,-CUMPRINC(Q3/12, DATEDIF(Q2,R2,"M"),P2, 1, IF(DATEDIF(Q2,P10,"M")=0,1,DATEDIF(Q2,P10,"M")), 0))</f>
        <v>1033.4751</v>
      </c>
      <c r="S10" s="99">
        <f>$B$1</f>
        <v>46238</v>
      </c>
      <c r="T10" s="10"/>
      <c r="U10" s="102">
        <f>IF(DATEDIF(T2, S10, "M")=0, 0,-CUMPRINC(T3/12, DATEDIF(T2,U2,"M"),S2, 1, IF(DATEDIF(T2,S10,"M")=0,1,DATEDIF(T2,S10,"M")), 0))</f>
        <v>6225.307519</v>
      </c>
      <c r="V10" s="23"/>
      <c r="W10" s="6"/>
      <c r="X10" s="6"/>
      <c r="Y10" s="6"/>
      <c r="Z10" s="6"/>
      <c r="AA10" s="6"/>
      <c r="AB10" s="6"/>
      <c r="AC10" s="6"/>
      <c r="AD10" s="6"/>
      <c r="AE10" s="6"/>
    </row>
    <row r="11">
      <c r="A11" s="6"/>
      <c r="B11" s="6"/>
      <c r="C11" s="6"/>
      <c r="D11" s="117"/>
      <c r="E11" s="10"/>
      <c r="F11" s="102"/>
      <c r="G11" s="117">
        <v>46142.0</v>
      </c>
      <c r="H11" s="10">
        <v>600.0</v>
      </c>
      <c r="I11" s="102">
        <f>-CUMPRINC(0.048/12, 83, G2-SUM(H10:I10), 1, DATEDIF(G10,G11,"M"), 0)</f>
        <v>1689.672784</v>
      </c>
      <c r="J11" s="117"/>
      <c r="K11" s="10"/>
      <c r="L11" s="102"/>
      <c r="M11" s="117"/>
      <c r="N11" s="10"/>
      <c r="O11" s="102"/>
      <c r="P11" s="117"/>
      <c r="Q11" s="10"/>
      <c r="R11" s="102"/>
      <c r="S11" s="117"/>
      <c r="T11" s="10"/>
      <c r="U11" s="102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>
      <c r="A12" s="23"/>
      <c r="B12" s="23"/>
      <c r="C12" s="23"/>
      <c r="D12" s="99"/>
      <c r="E12" s="8"/>
      <c r="F12" s="102"/>
      <c r="G12" s="117">
        <v>46203.0</v>
      </c>
      <c r="H12" s="10">
        <v>0.0</v>
      </c>
      <c r="I12" s="102">
        <f>IF(DATEDIF(G11, G12, "M")=0, 0,-CUMPRINC(0.048/12, DATEDIF(G12,I2,"M"), G2-SUM(H10:I11), 1, IF(DATEDIF(G11,G12,"M")=0,1,DATEDIF(G11,G12,"M")), 0))</f>
        <v>55.31655843</v>
      </c>
      <c r="J12" s="99"/>
      <c r="K12" s="8"/>
      <c r="L12" s="102"/>
      <c r="M12" s="99"/>
      <c r="N12" s="8"/>
      <c r="O12" s="102"/>
      <c r="P12" s="99"/>
      <c r="Q12" s="8"/>
      <c r="R12" s="102"/>
      <c r="S12" s="99"/>
      <c r="T12" s="8"/>
      <c r="U12" s="102"/>
      <c r="V12" s="6"/>
      <c r="W12" s="6"/>
      <c r="X12" s="6"/>
      <c r="Y12" s="6"/>
      <c r="Z12" s="6"/>
      <c r="AA12" s="6"/>
      <c r="AB12" s="6"/>
      <c r="AC12" s="6"/>
      <c r="AD12" s="6"/>
      <c r="AE12" s="6"/>
    </row>
    <row r="13">
      <c r="A13" s="128"/>
      <c r="B13" s="128"/>
      <c r="C13" s="128"/>
      <c r="D13" s="8"/>
      <c r="E13" s="8"/>
      <c r="F13" s="8"/>
      <c r="G13" s="117">
        <f>$B$1</f>
        <v>46238</v>
      </c>
      <c r="H13" s="8"/>
      <c r="I13" s="102">
        <f>IF(DATEDIF(G12, G13, "M")=0, 0,-CUMPRINC(H3/12, DATEDIF(G13,I2,"M"), G2-SUM(H10:I12), 1, IF(DATEDIF(G12,G13,"M")=0,1,DATEDIF(G12,G13,"M")), 0))</f>
        <v>27.46025518</v>
      </c>
      <c r="J13" s="6"/>
      <c r="K13" s="6"/>
      <c r="L13" s="6"/>
      <c r="M13" s="6"/>
      <c r="N13" s="6"/>
      <c r="O13" s="6"/>
      <c r="P13" s="6"/>
      <c r="Q13" s="6"/>
      <c r="R13" s="6"/>
      <c r="S13" s="23"/>
      <c r="T13" s="8"/>
      <c r="U13" s="8"/>
      <c r="V13" s="6"/>
      <c r="W13" s="6"/>
      <c r="X13" s="6"/>
      <c r="Y13" s="6"/>
      <c r="Z13" s="6"/>
      <c r="AA13" s="6"/>
      <c r="AB13" s="6"/>
      <c r="AC13" s="6"/>
      <c r="AD13" s="6"/>
      <c r="AE13" s="6"/>
    </row>
    <row r="14">
      <c r="A14" s="23"/>
      <c r="B14" s="23"/>
      <c r="C14" s="23"/>
      <c r="D14" s="8"/>
      <c r="E14" s="8"/>
      <c r="F14" s="8"/>
      <c r="G14" s="8"/>
      <c r="H14" s="8"/>
      <c r="I14" s="8"/>
      <c r="J14" s="25"/>
      <c r="K14" s="25"/>
      <c r="L14" s="25"/>
      <c r="M14" s="25"/>
      <c r="N14" s="6"/>
      <c r="O14" s="6"/>
      <c r="P14" s="6"/>
      <c r="Q14" s="6"/>
      <c r="R14" s="6"/>
      <c r="S14" s="6"/>
      <c r="T14" s="8"/>
      <c r="U14" s="8"/>
      <c r="V14" s="6"/>
      <c r="W14" s="6"/>
      <c r="X14" s="6"/>
      <c r="Y14" s="6"/>
      <c r="Z14" s="6"/>
      <c r="AA14" s="6"/>
      <c r="AB14" s="6"/>
      <c r="AC14" s="6"/>
      <c r="AD14" s="6"/>
      <c r="AE14" s="6"/>
    </row>
    <row r="15">
      <c r="A15" s="23"/>
      <c r="B15" s="23"/>
      <c r="C15" s="23"/>
      <c r="D15" s="8"/>
      <c r="E15" s="8"/>
      <c r="F15" s="8"/>
      <c r="G15" s="8"/>
      <c r="H15" s="8"/>
      <c r="I15" s="8"/>
      <c r="J15" s="25"/>
      <c r="K15" s="25"/>
      <c r="L15" s="25"/>
      <c r="M15" s="25"/>
      <c r="N15" s="6"/>
      <c r="O15" s="6"/>
      <c r="P15" s="6"/>
      <c r="Q15" s="6"/>
      <c r="R15" s="6"/>
      <c r="S15" s="6"/>
      <c r="T15" s="8"/>
      <c r="U15" s="8"/>
      <c r="V15" s="6"/>
      <c r="W15" s="6"/>
      <c r="X15" s="6"/>
      <c r="Y15" s="6"/>
      <c r="Z15" s="6"/>
      <c r="AA15" s="6"/>
      <c r="AB15" s="6"/>
      <c r="AC15" s="6"/>
      <c r="AD15" s="6"/>
      <c r="AE15" s="6"/>
    </row>
    <row r="16">
      <c r="A16" s="6"/>
      <c r="B16" s="6"/>
      <c r="C16" s="6"/>
      <c r="D16" s="8"/>
      <c r="E16" s="8"/>
      <c r="F16" s="8"/>
      <c r="G16" s="8"/>
      <c r="H16" s="8"/>
      <c r="I16" s="8"/>
      <c r="J16" s="6"/>
      <c r="K16" s="6"/>
      <c r="L16" s="6"/>
      <c r="M16" s="6"/>
      <c r="N16" s="6"/>
      <c r="O16" s="6"/>
      <c r="P16" s="6"/>
      <c r="Q16" s="6"/>
      <c r="R16" s="6"/>
      <c r="S16" s="6"/>
      <c r="T16" s="8"/>
      <c r="U16" s="8"/>
      <c r="V16" s="6"/>
      <c r="W16" s="6"/>
      <c r="X16" s="6"/>
      <c r="Y16" s="6"/>
      <c r="Z16" s="6"/>
      <c r="AA16" s="6"/>
      <c r="AB16" s="6"/>
      <c r="AC16" s="6"/>
      <c r="AD16" s="6"/>
      <c r="AE16" s="6"/>
    </row>
    <row r="17">
      <c r="A17" s="6"/>
      <c r="B17" s="6"/>
      <c r="C17" s="6"/>
      <c r="D17" s="8"/>
      <c r="E17" s="8"/>
      <c r="F17" s="8"/>
      <c r="G17" s="8"/>
      <c r="H17" s="8"/>
      <c r="I17" s="8"/>
      <c r="J17" s="6"/>
      <c r="K17" s="6"/>
      <c r="L17" s="6"/>
      <c r="M17" s="6"/>
      <c r="N17" s="6"/>
      <c r="O17" s="6"/>
      <c r="P17" s="6"/>
      <c r="Q17" s="6"/>
      <c r="R17" s="6"/>
      <c r="S17" s="6"/>
      <c r="T17" s="10">
        <f>359-24</f>
        <v>335</v>
      </c>
      <c r="U17" s="8"/>
      <c r="V17" s="6"/>
      <c r="W17" s="6"/>
      <c r="X17" s="6"/>
      <c r="Y17" s="6"/>
      <c r="Z17" s="6"/>
      <c r="AA17" s="6"/>
      <c r="AB17" s="6"/>
      <c r="AC17" s="6"/>
      <c r="AD17" s="6"/>
      <c r="AE17" s="6"/>
    </row>
    <row r="18">
      <c r="A18" s="6"/>
      <c r="B18" s="6"/>
      <c r="C18" s="6"/>
      <c r="D18" s="10"/>
      <c r="E18" s="10"/>
      <c r="F18" s="10"/>
      <c r="G18" s="10"/>
      <c r="H18" s="8"/>
      <c r="I18" s="8"/>
      <c r="J18" s="6"/>
      <c r="K18" s="6"/>
      <c r="L18" s="6"/>
      <c r="M18" s="6"/>
      <c r="N18" s="6"/>
      <c r="O18" s="6"/>
      <c r="P18" s="6"/>
      <c r="Q18" s="6"/>
      <c r="R18" s="6"/>
      <c r="S18" s="23"/>
      <c r="T18" s="8"/>
      <c r="U18" s="8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>
      <c r="A19" s="23"/>
      <c r="B19" s="23"/>
      <c r="C19" s="23"/>
      <c r="D19" s="10"/>
      <c r="E19" s="10"/>
      <c r="F19" s="10"/>
      <c r="G19" s="10"/>
      <c r="H19" s="8"/>
      <c r="I19" s="8"/>
      <c r="J19" s="6"/>
      <c r="K19" s="6"/>
      <c r="L19" s="6"/>
      <c r="M19" s="6"/>
      <c r="N19" s="6"/>
      <c r="O19" s="6"/>
      <c r="P19" s="6"/>
      <c r="Q19" s="6"/>
      <c r="R19" s="6"/>
      <c r="S19" s="6"/>
      <c r="T19" s="8"/>
      <c r="U19" s="8"/>
      <c r="V19" s="6"/>
      <c r="W19" s="6"/>
      <c r="X19" s="6"/>
      <c r="Y19" s="6"/>
      <c r="Z19" s="6"/>
      <c r="AA19" s="6"/>
      <c r="AB19" s="6"/>
      <c r="AC19" s="6"/>
      <c r="AD19" s="6"/>
      <c r="AE19" s="6"/>
    </row>
    <row r="20">
      <c r="A20" s="6"/>
      <c r="B20" s="6"/>
      <c r="C20" s="6"/>
      <c r="D20" s="8"/>
      <c r="E20" s="8"/>
      <c r="F20" s="8"/>
      <c r="G20" s="8"/>
      <c r="H20" s="8"/>
      <c r="I20" s="8"/>
      <c r="J20" s="6"/>
      <c r="K20" s="6"/>
      <c r="L20" s="6"/>
      <c r="M20" s="6"/>
      <c r="N20" s="6"/>
      <c r="O20" s="6"/>
      <c r="P20" s="6"/>
      <c r="Q20" s="6"/>
      <c r="R20" s="6"/>
      <c r="S20" s="6"/>
      <c r="T20" s="8"/>
      <c r="U20" s="8"/>
      <c r="V20" s="6"/>
      <c r="W20" s="6"/>
      <c r="X20" s="6"/>
      <c r="Y20" s="6"/>
      <c r="Z20" s="6"/>
      <c r="AA20" s="6"/>
      <c r="AB20" s="6"/>
      <c r="AC20" s="6"/>
      <c r="AD20" s="6"/>
      <c r="AE20" s="6"/>
    </row>
    <row r="21">
      <c r="A21" s="6"/>
      <c r="B21" s="6"/>
      <c r="C21" s="6"/>
      <c r="D21" s="25"/>
      <c r="E21" s="25"/>
      <c r="F21" s="25"/>
      <c r="G21" s="25"/>
      <c r="H21" s="25"/>
      <c r="I21" s="47"/>
      <c r="J21" s="6"/>
      <c r="K21" s="6"/>
      <c r="L21" s="6"/>
      <c r="M21" s="6"/>
      <c r="N21" s="6"/>
      <c r="O21" s="6"/>
      <c r="P21" s="6"/>
      <c r="Q21" s="6"/>
      <c r="R21" s="6"/>
      <c r="S21" s="6"/>
      <c r="T21" s="8"/>
      <c r="U21" s="8"/>
      <c r="V21" s="6"/>
      <c r="W21" s="6"/>
      <c r="X21" s="6"/>
      <c r="Y21" s="6"/>
      <c r="Z21" s="6"/>
      <c r="AA21" s="6"/>
      <c r="AB21" s="6"/>
      <c r="AC21" s="6"/>
      <c r="AD21" s="6"/>
      <c r="AE21" s="6"/>
    </row>
    <row r="22">
      <c r="A22" s="6"/>
      <c r="B22" s="6"/>
      <c r="C22" s="6"/>
      <c r="D22" s="25"/>
      <c r="E22" s="25"/>
      <c r="F22" s="25"/>
      <c r="G22" s="25"/>
      <c r="H22" s="25"/>
      <c r="I22" s="55"/>
      <c r="J22" s="6"/>
      <c r="K22" s="6"/>
      <c r="L22" s="6"/>
      <c r="M22" s="6"/>
      <c r="N22" s="6"/>
      <c r="O22" s="6"/>
      <c r="P22" s="6"/>
      <c r="Q22" s="6"/>
      <c r="R22" s="6"/>
      <c r="S22" s="6"/>
      <c r="T22" s="8"/>
      <c r="U22" s="8"/>
      <c r="V22" s="6"/>
      <c r="W22" s="6"/>
      <c r="X22" s="6"/>
      <c r="Y22" s="6"/>
      <c r="Z22" s="6"/>
      <c r="AA22" s="6"/>
      <c r="AB22" s="6"/>
      <c r="AC22" s="6"/>
      <c r="AD22" s="6"/>
      <c r="AE22" s="6"/>
    </row>
    <row r="23">
      <c r="A23" s="6"/>
      <c r="B23" s="6"/>
      <c r="C23" s="6"/>
      <c r="D23" s="8"/>
      <c r="E23" s="8"/>
      <c r="F23" s="8"/>
      <c r="G23" s="8"/>
      <c r="H23" s="47"/>
      <c r="I23" s="47"/>
      <c r="J23" s="6"/>
      <c r="K23" s="6"/>
      <c r="L23" s="6"/>
      <c r="M23" s="6"/>
      <c r="N23" s="6"/>
      <c r="O23" s="6"/>
      <c r="P23" s="6"/>
      <c r="Q23" s="6"/>
      <c r="R23" s="6"/>
      <c r="S23" s="6"/>
      <c r="T23" s="8"/>
      <c r="U23" s="8"/>
      <c r="V23" s="6"/>
      <c r="W23" s="6"/>
      <c r="X23" s="6"/>
      <c r="Y23" s="6"/>
      <c r="Z23" s="6"/>
      <c r="AA23" s="6"/>
      <c r="AB23" s="6"/>
      <c r="AC23" s="6"/>
      <c r="AD23" s="6"/>
      <c r="AE23" s="6"/>
    </row>
    <row r="24">
      <c r="A24" s="6"/>
      <c r="B24" s="6"/>
      <c r="C24" s="6"/>
      <c r="D24" s="25"/>
      <c r="E24" s="25"/>
      <c r="F24" s="25"/>
      <c r="G24" s="25"/>
      <c r="H24" s="25"/>
      <c r="I24" s="25"/>
      <c r="J24" s="6"/>
      <c r="K24" s="6"/>
      <c r="L24" s="6"/>
      <c r="M24" s="6"/>
      <c r="N24" s="6"/>
      <c r="O24" s="6"/>
      <c r="P24" s="6"/>
      <c r="Q24" s="6"/>
      <c r="R24" s="6"/>
      <c r="S24" s="6"/>
      <c r="T24" s="8"/>
      <c r="U24" s="8"/>
      <c r="V24" s="6"/>
      <c r="W24" s="6"/>
      <c r="X24" s="6"/>
      <c r="Y24" s="6"/>
      <c r="Z24" s="6"/>
      <c r="AA24" s="6"/>
      <c r="AB24" s="6"/>
      <c r="AC24" s="6"/>
      <c r="AD24" s="6"/>
      <c r="AE24" s="6"/>
    </row>
    <row r="25">
      <c r="A25" s="6"/>
      <c r="B25" s="6"/>
      <c r="C25" s="6"/>
      <c r="D25" s="25"/>
      <c r="E25" s="25"/>
      <c r="F25" s="25"/>
      <c r="G25" s="25"/>
      <c r="H25" s="25"/>
      <c r="I25" s="25"/>
      <c r="J25" s="6"/>
      <c r="K25" s="6"/>
      <c r="L25" s="6"/>
      <c r="M25" s="6"/>
      <c r="N25" s="6"/>
      <c r="O25" s="6"/>
      <c r="P25" s="6"/>
      <c r="Q25" s="6"/>
      <c r="R25" s="6"/>
      <c r="S25" s="6"/>
      <c r="T25" s="8"/>
      <c r="U25" s="8"/>
      <c r="V25" s="6"/>
      <c r="W25" s="6"/>
      <c r="X25" s="6"/>
      <c r="Y25" s="6"/>
      <c r="Z25" s="6"/>
      <c r="AA25" s="6"/>
      <c r="AB25" s="6"/>
      <c r="AC25" s="6"/>
      <c r="AD25" s="6"/>
      <c r="AE25" s="6"/>
    </row>
    <row r="26">
      <c r="A26" s="6"/>
      <c r="B26" s="6"/>
      <c r="C26" s="6"/>
      <c r="D26" s="25"/>
      <c r="E26" s="25"/>
      <c r="F26" s="25"/>
      <c r="G26" s="25"/>
      <c r="H26" s="25"/>
      <c r="I26" s="25"/>
      <c r="J26" s="6"/>
      <c r="K26" s="6"/>
      <c r="L26" s="6"/>
      <c r="M26" s="6"/>
      <c r="N26" s="6"/>
      <c r="O26" s="6"/>
      <c r="P26" s="6"/>
      <c r="Q26" s="6"/>
      <c r="R26" s="6"/>
      <c r="S26" s="6"/>
      <c r="T26" s="8"/>
      <c r="U26" s="8"/>
      <c r="V26" s="6"/>
      <c r="W26" s="6"/>
      <c r="X26" s="6"/>
      <c r="Y26" s="6"/>
      <c r="Z26" s="6"/>
      <c r="AA26" s="6"/>
      <c r="AB26" s="6"/>
      <c r="AC26" s="6"/>
      <c r="AD26" s="6"/>
      <c r="AE26" s="6"/>
    </row>
    <row r="27">
      <c r="A27" s="6"/>
      <c r="B27" s="6"/>
      <c r="C27" s="6"/>
      <c r="D27" s="25"/>
      <c r="E27" s="25"/>
      <c r="F27" s="25"/>
      <c r="G27" s="25"/>
      <c r="H27" s="25"/>
      <c r="I27" s="25"/>
      <c r="J27" s="6"/>
      <c r="K27" s="6"/>
      <c r="L27" s="6"/>
      <c r="M27" s="6"/>
      <c r="N27" s="6"/>
      <c r="O27" s="6"/>
      <c r="P27" s="6"/>
      <c r="Q27" s="6"/>
      <c r="R27" s="6"/>
      <c r="S27" s="6"/>
      <c r="T27" s="8"/>
      <c r="U27" s="8"/>
      <c r="V27" s="6"/>
      <c r="W27" s="6"/>
      <c r="X27" s="6"/>
      <c r="Y27" s="6"/>
      <c r="Z27" s="6"/>
      <c r="AA27" s="6"/>
      <c r="AB27" s="6"/>
      <c r="AC27" s="6"/>
      <c r="AD27" s="6"/>
      <c r="AE27" s="6"/>
    </row>
    <row r="28">
      <c r="A28" s="6"/>
      <c r="B28" s="6"/>
      <c r="C28" s="6"/>
      <c r="D28" s="25"/>
      <c r="E28" s="25"/>
      <c r="F28" s="25"/>
      <c r="G28" s="25"/>
      <c r="H28" s="25"/>
      <c r="I28" s="25"/>
      <c r="J28" s="6"/>
      <c r="K28" s="6"/>
      <c r="L28" s="6"/>
      <c r="M28" s="6"/>
      <c r="N28" s="6"/>
      <c r="O28" s="6"/>
      <c r="P28" s="6"/>
      <c r="Q28" s="6"/>
      <c r="R28" s="6"/>
      <c r="S28" s="6"/>
      <c r="T28" s="8"/>
      <c r="U28" s="8"/>
      <c r="V28" s="6"/>
      <c r="W28" s="6"/>
      <c r="X28" s="6"/>
      <c r="Y28" s="6"/>
      <c r="Z28" s="6"/>
      <c r="AA28" s="6"/>
      <c r="AB28" s="6"/>
      <c r="AC28" s="6"/>
      <c r="AD28" s="6"/>
      <c r="AE28" s="6"/>
    </row>
    <row r="29">
      <c r="A29" s="6"/>
      <c r="B29" s="6"/>
      <c r="C29" s="6"/>
      <c r="D29" s="25"/>
      <c r="E29" s="25"/>
      <c r="F29" s="25"/>
      <c r="G29" s="25"/>
      <c r="H29" s="25"/>
      <c r="I29" s="25"/>
      <c r="J29" s="6"/>
      <c r="K29" s="6"/>
      <c r="L29" s="6"/>
      <c r="M29" s="6"/>
      <c r="N29" s="6"/>
      <c r="O29" s="6"/>
      <c r="P29" s="6"/>
      <c r="Q29" s="6"/>
      <c r="R29" s="6"/>
      <c r="S29" s="6"/>
      <c r="T29" s="8"/>
      <c r="U29" s="8"/>
      <c r="V29" s="6"/>
      <c r="W29" s="6"/>
      <c r="X29" s="6"/>
      <c r="Y29" s="6"/>
      <c r="Z29" s="6"/>
      <c r="AA29" s="6"/>
      <c r="AB29" s="6"/>
      <c r="AC29" s="6"/>
      <c r="AD29" s="6"/>
      <c r="AE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8"/>
      <c r="U30" s="8"/>
      <c r="V30" s="6"/>
      <c r="W30" s="6"/>
      <c r="X30" s="6"/>
      <c r="Y30" s="6"/>
      <c r="Z30" s="6"/>
      <c r="AA30" s="6"/>
      <c r="AB30" s="6"/>
      <c r="AC30" s="6"/>
      <c r="AD30" s="6"/>
      <c r="AE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8"/>
      <c r="U31" s="8"/>
      <c r="V31" s="6"/>
      <c r="W31" s="6"/>
      <c r="X31" s="6"/>
      <c r="Y31" s="6"/>
      <c r="Z31" s="6"/>
      <c r="AA31" s="6"/>
      <c r="AB31" s="6"/>
      <c r="AC31" s="6"/>
      <c r="AD31" s="6"/>
      <c r="AE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8"/>
      <c r="U32" s="8"/>
      <c r="V32" s="6"/>
      <c r="W32" s="6"/>
      <c r="X32" s="6"/>
      <c r="Y32" s="6"/>
      <c r="Z32" s="6"/>
      <c r="AA32" s="6"/>
      <c r="AB32" s="6"/>
      <c r="AC32" s="6"/>
      <c r="AD32" s="6"/>
      <c r="AE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8"/>
      <c r="U33" s="8"/>
      <c r="V33" s="6"/>
      <c r="W33" s="6"/>
      <c r="X33" s="6"/>
      <c r="Y33" s="6"/>
      <c r="Z33" s="6"/>
      <c r="AA33" s="6"/>
      <c r="AB33" s="6"/>
      <c r="AC33" s="6"/>
      <c r="AD33" s="6"/>
      <c r="AE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8"/>
      <c r="U34" s="8"/>
      <c r="V34" s="6"/>
      <c r="W34" s="6"/>
      <c r="X34" s="6"/>
      <c r="Y34" s="6"/>
      <c r="Z34" s="6"/>
      <c r="AA34" s="6"/>
      <c r="AB34" s="6"/>
      <c r="AC34" s="6"/>
      <c r="AD34" s="6"/>
      <c r="AE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8"/>
      <c r="U35" s="8"/>
      <c r="V35" s="6"/>
      <c r="W35" s="6"/>
      <c r="X35" s="6"/>
      <c r="Y35" s="6"/>
      <c r="Z35" s="6"/>
      <c r="AA35" s="6"/>
      <c r="AB35" s="6"/>
      <c r="AC35" s="6"/>
      <c r="AD35" s="6"/>
      <c r="AE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8"/>
      <c r="U36" s="8"/>
      <c r="V36" s="6"/>
      <c r="W36" s="6"/>
      <c r="X36" s="6"/>
      <c r="Y36" s="6"/>
      <c r="Z36" s="6"/>
      <c r="AA36" s="6"/>
      <c r="AB36" s="6"/>
      <c r="AC36" s="6"/>
      <c r="AD36" s="6"/>
      <c r="AE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8"/>
      <c r="U37" s="8"/>
      <c r="V37" s="6"/>
      <c r="W37" s="6"/>
      <c r="X37" s="6"/>
      <c r="Y37" s="6"/>
      <c r="Z37" s="6"/>
      <c r="AA37" s="6"/>
      <c r="AB37" s="6"/>
      <c r="AC37" s="6"/>
      <c r="AD37" s="6"/>
      <c r="AE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8"/>
      <c r="U38" s="8"/>
      <c r="V38" s="6"/>
      <c r="W38" s="6"/>
      <c r="X38" s="6"/>
      <c r="Y38" s="6"/>
      <c r="Z38" s="6"/>
      <c r="AA38" s="6"/>
      <c r="AB38" s="6"/>
      <c r="AC38" s="6"/>
      <c r="AD38" s="6"/>
      <c r="AE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8"/>
      <c r="U39" s="8"/>
      <c r="V39" s="6"/>
      <c r="W39" s="6"/>
      <c r="X39" s="6"/>
      <c r="Y39" s="6"/>
      <c r="Z39" s="6"/>
      <c r="AA39" s="6"/>
      <c r="AB39" s="6"/>
      <c r="AC39" s="6"/>
      <c r="AD39" s="6"/>
      <c r="AE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8"/>
      <c r="U40" s="8"/>
      <c r="V40" s="6"/>
      <c r="W40" s="6"/>
      <c r="X40" s="6"/>
      <c r="Y40" s="6"/>
      <c r="Z40" s="6"/>
      <c r="AA40" s="6"/>
      <c r="AB40" s="6"/>
      <c r="AC40" s="6"/>
      <c r="AD40" s="6"/>
      <c r="AE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8"/>
      <c r="U41" s="8"/>
      <c r="V41" s="6"/>
      <c r="W41" s="6"/>
      <c r="X41" s="6"/>
      <c r="Y41" s="6"/>
      <c r="Z41" s="6"/>
      <c r="AA41" s="6"/>
      <c r="AB41" s="6"/>
      <c r="AC41" s="6"/>
      <c r="AD41" s="6"/>
      <c r="AE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8"/>
      <c r="U42" s="8"/>
      <c r="V42" s="6"/>
      <c r="W42" s="6"/>
      <c r="X42" s="6"/>
      <c r="Y42" s="6"/>
      <c r="Z42" s="6"/>
      <c r="AA42" s="6"/>
      <c r="AB42" s="6"/>
      <c r="AC42" s="6"/>
      <c r="AD42" s="6"/>
      <c r="AE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8"/>
      <c r="U43" s="8"/>
      <c r="V43" s="6"/>
      <c r="W43" s="6"/>
      <c r="X43" s="6"/>
      <c r="Y43" s="6"/>
      <c r="Z43" s="6"/>
      <c r="AA43" s="6"/>
      <c r="AB43" s="6"/>
      <c r="AC43" s="6"/>
      <c r="AD43" s="6"/>
      <c r="AE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8"/>
      <c r="U44" s="8"/>
      <c r="V44" s="6"/>
      <c r="W44" s="6"/>
      <c r="X44" s="6"/>
      <c r="Y44" s="6"/>
      <c r="Z44" s="6"/>
      <c r="AA44" s="6"/>
      <c r="AB44" s="6"/>
      <c r="AC44" s="6"/>
      <c r="AD44" s="6"/>
      <c r="AE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8"/>
      <c r="U45" s="8"/>
      <c r="V45" s="6"/>
      <c r="W45" s="6"/>
      <c r="X45" s="6"/>
      <c r="Y45" s="6"/>
      <c r="Z45" s="6"/>
      <c r="AA45" s="6"/>
      <c r="AB45" s="6"/>
      <c r="AC45" s="6"/>
      <c r="AD45" s="6"/>
      <c r="AE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8"/>
      <c r="U46" s="8"/>
      <c r="V46" s="6"/>
      <c r="W46" s="6"/>
      <c r="X46" s="6"/>
      <c r="Y46" s="6"/>
      <c r="Z46" s="6"/>
      <c r="AA46" s="6"/>
      <c r="AB46" s="6"/>
      <c r="AC46" s="6"/>
      <c r="AD46" s="6"/>
      <c r="AE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8"/>
      <c r="U47" s="8"/>
      <c r="V47" s="6"/>
      <c r="W47" s="6"/>
      <c r="X47" s="6"/>
      <c r="Y47" s="6"/>
      <c r="Z47" s="6"/>
      <c r="AA47" s="6"/>
      <c r="AB47" s="6"/>
      <c r="AC47" s="6"/>
      <c r="AD47" s="6"/>
      <c r="AE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8"/>
      <c r="U48" s="8"/>
      <c r="V48" s="6"/>
      <c r="W48" s="6"/>
      <c r="X48" s="6"/>
      <c r="Y48" s="6"/>
      <c r="Z48" s="6"/>
      <c r="AA48" s="6"/>
      <c r="AB48" s="6"/>
      <c r="AC48" s="6"/>
      <c r="AD48" s="6"/>
      <c r="AE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8"/>
      <c r="U49" s="8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8"/>
      <c r="U50" s="8"/>
      <c r="V50" s="6"/>
      <c r="W50" s="6"/>
      <c r="X50" s="6"/>
      <c r="Y50" s="6"/>
      <c r="Z50" s="6"/>
      <c r="AA50" s="6"/>
      <c r="AB50" s="6"/>
      <c r="AC50" s="6"/>
      <c r="AD50" s="6"/>
      <c r="AE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8"/>
      <c r="U51" s="8"/>
      <c r="V51" s="6"/>
      <c r="W51" s="6"/>
      <c r="X51" s="6"/>
      <c r="Y51" s="6"/>
      <c r="Z51" s="6"/>
      <c r="AA51" s="6"/>
      <c r="AB51" s="6"/>
      <c r="AC51" s="6"/>
      <c r="AD51" s="6"/>
      <c r="AE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8"/>
      <c r="U52" s="8"/>
      <c r="V52" s="6"/>
      <c r="W52" s="6"/>
      <c r="X52" s="6"/>
      <c r="Y52" s="6"/>
      <c r="Z52" s="6"/>
      <c r="AA52" s="6"/>
      <c r="AB52" s="6"/>
      <c r="AC52" s="6"/>
      <c r="AD52" s="6"/>
      <c r="AE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8"/>
      <c r="U53" s="8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8"/>
      <c r="U54" s="8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8"/>
      <c r="U55" s="8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8"/>
      <c r="U56" s="8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8"/>
      <c r="U57" s="8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8"/>
      <c r="U58" s="8"/>
      <c r="V58" s="6"/>
      <c r="W58" s="6"/>
      <c r="X58" s="6"/>
      <c r="Y58" s="6"/>
      <c r="Z58" s="6"/>
      <c r="AA58" s="6"/>
      <c r="AB58" s="6"/>
      <c r="AC58" s="6"/>
      <c r="AD58" s="6"/>
      <c r="AE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8"/>
      <c r="U59" s="8"/>
      <c r="V59" s="6"/>
      <c r="W59" s="6"/>
      <c r="X59" s="6"/>
      <c r="Y59" s="6"/>
      <c r="Z59" s="6"/>
      <c r="AA59" s="6"/>
      <c r="AB59" s="6"/>
      <c r="AC59" s="6"/>
      <c r="AD59" s="6"/>
      <c r="AE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8"/>
      <c r="U60" s="8"/>
      <c r="V60" s="6"/>
      <c r="W60" s="6"/>
      <c r="X60" s="6"/>
      <c r="Y60" s="6"/>
      <c r="Z60" s="6"/>
      <c r="AA60" s="6"/>
      <c r="AB60" s="6"/>
      <c r="AC60" s="6"/>
      <c r="AD60" s="6"/>
      <c r="AE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8"/>
      <c r="U61" s="8"/>
      <c r="V61" s="6"/>
      <c r="W61" s="6"/>
      <c r="X61" s="6"/>
      <c r="Y61" s="6"/>
      <c r="Z61" s="6"/>
      <c r="AA61" s="6"/>
      <c r="AB61" s="6"/>
      <c r="AC61" s="6"/>
      <c r="AD61" s="6"/>
      <c r="AE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8"/>
      <c r="U62" s="8"/>
      <c r="V62" s="6"/>
      <c r="W62" s="6"/>
      <c r="X62" s="6"/>
      <c r="Y62" s="6"/>
      <c r="Z62" s="6"/>
      <c r="AA62" s="6"/>
      <c r="AB62" s="6"/>
      <c r="AC62" s="6"/>
      <c r="AD62" s="6"/>
      <c r="AE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8"/>
      <c r="U63" s="8"/>
      <c r="V63" s="6"/>
      <c r="W63" s="6"/>
      <c r="X63" s="6"/>
      <c r="Y63" s="6"/>
      <c r="Z63" s="6"/>
      <c r="AA63" s="6"/>
      <c r="AB63" s="6"/>
      <c r="AC63" s="6"/>
      <c r="AD63" s="6"/>
      <c r="AE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8"/>
      <c r="U64" s="8"/>
      <c r="V64" s="6"/>
      <c r="W64" s="6"/>
      <c r="X64" s="6"/>
      <c r="Y64" s="6"/>
      <c r="Z64" s="6"/>
      <c r="AA64" s="6"/>
      <c r="AB64" s="6"/>
      <c r="AC64" s="6"/>
      <c r="AD64" s="6"/>
      <c r="AE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8"/>
      <c r="U65" s="8"/>
      <c r="V65" s="6"/>
      <c r="W65" s="6"/>
      <c r="X65" s="6"/>
      <c r="Y65" s="6"/>
      <c r="Z65" s="6"/>
      <c r="AA65" s="6"/>
      <c r="AB65" s="6"/>
      <c r="AC65" s="6"/>
      <c r="AD65" s="6"/>
      <c r="AE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8"/>
      <c r="U66" s="8"/>
      <c r="V66" s="6"/>
      <c r="W66" s="6"/>
      <c r="X66" s="6"/>
      <c r="Y66" s="6"/>
      <c r="Z66" s="6"/>
      <c r="AA66" s="6"/>
      <c r="AB66" s="6"/>
      <c r="AC66" s="6"/>
      <c r="AD66" s="6"/>
      <c r="AE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8"/>
      <c r="U67" s="8"/>
      <c r="V67" s="6"/>
      <c r="W67" s="6"/>
      <c r="X67" s="6"/>
      <c r="Y67" s="6"/>
      <c r="Z67" s="6"/>
      <c r="AA67" s="6"/>
      <c r="AB67" s="6"/>
      <c r="AC67" s="6"/>
      <c r="AD67" s="6"/>
      <c r="AE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8"/>
      <c r="U68" s="8"/>
      <c r="V68" s="6"/>
      <c r="W68" s="6"/>
      <c r="X68" s="6"/>
      <c r="Y68" s="6"/>
      <c r="Z68" s="6"/>
      <c r="AA68" s="6"/>
      <c r="AB68" s="6"/>
      <c r="AC68" s="6"/>
      <c r="AD68" s="6"/>
      <c r="AE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8"/>
      <c r="U69" s="8"/>
      <c r="V69" s="6"/>
      <c r="W69" s="6"/>
      <c r="X69" s="6"/>
      <c r="Y69" s="6"/>
      <c r="Z69" s="6"/>
      <c r="AA69" s="6"/>
      <c r="AB69" s="6"/>
      <c r="AC69" s="6"/>
      <c r="AD69" s="6"/>
      <c r="AE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8"/>
      <c r="U70" s="8"/>
      <c r="V70" s="6"/>
      <c r="W70" s="6"/>
      <c r="X70" s="6"/>
      <c r="Y70" s="6"/>
      <c r="Z70" s="6"/>
      <c r="AA70" s="6"/>
      <c r="AB70" s="6"/>
      <c r="AC70" s="6"/>
      <c r="AD70" s="6"/>
      <c r="AE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8"/>
      <c r="U71" s="8"/>
      <c r="V71" s="6"/>
      <c r="W71" s="6"/>
      <c r="X71" s="6"/>
      <c r="Y71" s="6"/>
      <c r="Z71" s="6"/>
      <c r="AA71" s="6"/>
      <c r="AB71" s="6"/>
      <c r="AC71" s="6"/>
      <c r="AD71" s="6"/>
      <c r="AE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8"/>
      <c r="U72" s="8"/>
      <c r="V72" s="6"/>
      <c r="W72" s="6"/>
      <c r="X72" s="6"/>
      <c r="Y72" s="6"/>
      <c r="Z72" s="6"/>
      <c r="AA72" s="6"/>
      <c r="AB72" s="6"/>
      <c r="AC72" s="6"/>
      <c r="AD72" s="6"/>
      <c r="AE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8"/>
      <c r="U73" s="8"/>
      <c r="V73" s="6"/>
      <c r="W73" s="6"/>
      <c r="X73" s="6"/>
      <c r="Y73" s="6"/>
      <c r="Z73" s="6"/>
      <c r="AA73" s="6"/>
      <c r="AB73" s="6"/>
      <c r="AC73" s="6"/>
      <c r="AD73" s="6"/>
      <c r="AE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8"/>
      <c r="U74" s="8"/>
      <c r="V74" s="6"/>
      <c r="W74" s="6"/>
      <c r="X74" s="6"/>
      <c r="Y74" s="6"/>
      <c r="Z74" s="6"/>
      <c r="AA74" s="6"/>
      <c r="AB74" s="6"/>
      <c r="AC74" s="6"/>
      <c r="AD74" s="6"/>
      <c r="AE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8"/>
      <c r="U75" s="8"/>
      <c r="V75" s="6"/>
      <c r="W75" s="6"/>
      <c r="X75" s="6"/>
      <c r="Y75" s="6"/>
      <c r="Z75" s="6"/>
      <c r="AA75" s="6"/>
      <c r="AB75" s="6"/>
      <c r="AC75" s="6"/>
      <c r="AD75" s="6"/>
      <c r="AE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8"/>
      <c r="U76" s="8"/>
      <c r="V76" s="6"/>
      <c r="W76" s="6"/>
      <c r="X76" s="6"/>
      <c r="Y76" s="6"/>
      <c r="Z76" s="6"/>
      <c r="AA76" s="6"/>
      <c r="AB76" s="6"/>
      <c r="AC76" s="6"/>
      <c r="AD76" s="6"/>
      <c r="AE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8"/>
      <c r="U77" s="8"/>
      <c r="V77" s="6"/>
      <c r="W77" s="6"/>
      <c r="X77" s="6"/>
      <c r="Y77" s="6"/>
      <c r="Z77" s="6"/>
      <c r="AA77" s="6"/>
      <c r="AB77" s="6"/>
      <c r="AC77" s="6"/>
      <c r="AD77" s="6"/>
      <c r="AE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8"/>
      <c r="U78" s="8"/>
      <c r="V78" s="6"/>
      <c r="W78" s="6"/>
      <c r="X78" s="6"/>
      <c r="Y78" s="6"/>
      <c r="Z78" s="6"/>
      <c r="AA78" s="6"/>
      <c r="AB78" s="6"/>
      <c r="AC78" s="6"/>
      <c r="AD78" s="6"/>
      <c r="AE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8"/>
      <c r="U79" s="8"/>
      <c r="V79" s="6"/>
      <c r="W79" s="6"/>
      <c r="X79" s="6"/>
      <c r="Y79" s="6"/>
      <c r="Z79" s="6"/>
      <c r="AA79" s="6"/>
      <c r="AB79" s="6"/>
      <c r="AC79" s="6"/>
      <c r="AD79" s="6"/>
      <c r="AE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8"/>
      <c r="U80" s="8"/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8"/>
      <c r="U81" s="8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8"/>
      <c r="U82" s="8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8"/>
      <c r="U83" s="8"/>
      <c r="V83" s="6"/>
      <c r="W83" s="6"/>
      <c r="X83" s="6"/>
      <c r="Y83" s="6"/>
      <c r="Z83" s="6"/>
      <c r="AA83" s="6"/>
      <c r="AB83" s="6"/>
      <c r="AC83" s="6"/>
      <c r="AD83" s="6"/>
      <c r="AE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8"/>
      <c r="U84" s="8"/>
      <c r="V84" s="6"/>
      <c r="W84" s="6"/>
      <c r="X84" s="6"/>
      <c r="Y84" s="6"/>
      <c r="Z84" s="6"/>
      <c r="AA84" s="6"/>
      <c r="AB84" s="6"/>
      <c r="AC84" s="6"/>
      <c r="AD84" s="6"/>
      <c r="AE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8"/>
      <c r="U85" s="8"/>
      <c r="V85" s="6"/>
      <c r="W85" s="6"/>
      <c r="X85" s="6"/>
      <c r="Y85" s="6"/>
      <c r="Z85" s="6"/>
      <c r="AA85" s="6"/>
      <c r="AB85" s="6"/>
      <c r="AC85" s="6"/>
      <c r="AD85" s="6"/>
      <c r="AE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8"/>
      <c r="U86" s="8"/>
      <c r="V86" s="6"/>
      <c r="W86" s="6"/>
      <c r="X86" s="6"/>
      <c r="Y86" s="6"/>
      <c r="Z86" s="6"/>
      <c r="AA86" s="6"/>
      <c r="AB86" s="6"/>
      <c r="AC86" s="6"/>
      <c r="AD86" s="6"/>
      <c r="AE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8"/>
      <c r="U87" s="8"/>
      <c r="V87" s="6"/>
      <c r="W87" s="6"/>
      <c r="X87" s="6"/>
      <c r="Y87" s="6"/>
      <c r="Z87" s="6"/>
      <c r="AA87" s="6"/>
      <c r="AB87" s="6"/>
      <c r="AC87" s="6"/>
      <c r="AD87" s="6"/>
      <c r="AE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8"/>
      <c r="U88" s="8"/>
      <c r="V88" s="6"/>
      <c r="W88" s="6"/>
      <c r="X88" s="6"/>
      <c r="Y88" s="6"/>
      <c r="Z88" s="6"/>
      <c r="AA88" s="6"/>
      <c r="AB88" s="6"/>
      <c r="AC88" s="6"/>
      <c r="AD88" s="6"/>
      <c r="AE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8"/>
      <c r="U89" s="8"/>
      <c r="V89" s="6"/>
      <c r="W89" s="6"/>
      <c r="X89" s="6"/>
      <c r="Y89" s="6"/>
      <c r="Z89" s="6"/>
      <c r="AA89" s="6"/>
      <c r="AB89" s="6"/>
      <c r="AC89" s="6"/>
      <c r="AD89" s="6"/>
      <c r="AE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8"/>
      <c r="U90" s="8"/>
      <c r="V90" s="6"/>
      <c r="W90" s="6"/>
      <c r="X90" s="6"/>
      <c r="Y90" s="6"/>
      <c r="Z90" s="6"/>
      <c r="AA90" s="6"/>
      <c r="AB90" s="6"/>
      <c r="AC90" s="6"/>
      <c r="AD90" s="6"/>
      <c r="AE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8"/>
      <c r="U91" s="8"/>
      <c r="V91" s="6"/>
      <c r="W91" s="6"/>
      <c r="X91" s="6"/>
      <c r="Y91" s="6"/>
      <c r="Z91" s="6"/>
      <c r="AA91" s="6"/>
      <c r="AB91" s="6"/>
      <c r="AC91" s="6"/>
      <c r="AD91" s="6"/>
      <c r="AE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8"/>
      <c r="U92" s="8"/>
      <c r="V92" s="6"/>
      <c r="W92" s="6"/>
      <c r="X92" s="6"/>
      <c r="Y92" s="6"/>
      <c r="Z92" s="6"/>
      <c r="AA92" s="6"/>
      <c r="AB92" s="6"/>
      <c r="AC92" s="6"/>
      <c r="AD92" s="6"/>
      <c r="AE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8"/>
      <c r="U93" s="8"/>
      <c r="V93" s="6"/>
      <c r="W93" s="6"/>
      <c r="X93" s="6"/>
      <c r="Y93" s="6"/>
      <c r="Z93" s="6"/>
      <c r="AA93" s="6"/>
      <c r="AB93" s="6"/>
      <c r="AC93" s="6"/>
      <c r="AD93" s="6"/>
      <c r="AE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8"/>
      <c r="U94" s="8"/>
      <c r="V94" s="6"/>
      <c r="W94" s="6"/>
      <c r="X94" s="6"/>
      <c r="Y94" s="6"/>
      <c r="Z94" s="6"/>
      <c r="AA94" s="6"/>
      <c r="AB94" s="6"/>
      <c r="AC94" s="6"/>
      <c r="AD94" s="6"/>
      <c r="AE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8"/>
      <c r="U95" s="8"/>
      <c r="V95" s="6"/>
      <c r="W95" s="6"/>
      <c r="X95" s="6"/>
      <c r="Y95" s="6"/>
      <c r="Z95" s="6"/>
      <c r="AA95" s="6"/>
      <c r="AB95" s="6"/>
      <c r="AC95" s="6"/>
      <c r="AD95" s="6"/>
      <c r="AE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8"/>
      <c r="U96" s="8"/>
      <c r="V96" s="6"/>
      <c r="W96" s="6"/>
      <c r="X96" s="6"/>
      <c r="Y96" s="6"/>
      <c r="Z96" s="6"/>
      <c r="AA96" s="6"/>
      <c r="AB96" s="6"/>
      <c r="AC96" s="6"/>
      <c r="AD96" s="6"/>
      <c r="AE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8"/>
      <c r="U97" s="8"/>
      <c r="V97" s="6"/>
      <c r="W97" s="6"/>
      <c r="X97" s="6"/>
      <c r="Y97" s="6"/>
      <c r="Z97" s="6"/>
      <c r="AA97" s="6"/>
      <c r="AB97" s="6"/>
      <c r="AC97" s="6"/>
      <c r="AD97" s="6"/>
      <c r="AE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8"/>
      <c r="U98" s="8"/>
      <c r="V98" s="6"/>
      <c r="W98" s="6"/>
      <c r="X98" s="6"/>
      <c r="Y98" s="6"/>
      <c r="Z98" s="6"/>
      <c r="AA98" s="6"/>
      <c r="AB98" s="6"/>
      <c r="AC98" s="6"/>
      <c r="AD98" s="6"/>
      <c r="AE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8"/>
      <c r="U99" s="8"/>
      <c r="V99" s="6"/>
      <c r="W99" s="6"/>
      <c r="X99" s="6"/>
      <c r="Y99" s="6"/>
      <c r="Z99" s="6"/>
      <c r="AA99" s="6"/>
      <c r="AB99" s="6"/>
      <c r="AC99" s="6"/>
      <c r="AD99" s="6"/>
      <c r="AE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8"/>
      <c r="U100" s="8"/>
      <c r="V100" s="6"/>
      <c r="W100" s="6"/>
      <c r="X100" s="6"/>
      <c r="Y100" s="6"/>
      <c r="Z100" s="6"/>
      <c r="AA100" s="6"/>
      <c r="AB100" s="6"/>
      <c r="AC100" s="6"/>
      <c r="AD100" s="6"/>
      <c r="AE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8"/>
      <c r="U101" s="8"/>
      <c r="V101" s="6"/>
      <c r="W101" s="6"/>
      <c r="X101" s="6"/>
      <c r="Y101" s="6"/>
      <c r="Z101" s="6"/>
      <c r="AA101" s="6"/>
      <c r="AB101" s="6"/>
      <c r="AC101" s="6"/>
      <c r="AD101" s="6"/>
      <c r="AE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8"/>
      <c r="U102" s="8"/>
      <c r="V102" s="6"/>
      <c r="W102" s="6"/>
      <c r="X102" s="6"/>
      <c r="Y102" s="6"/>
      <c r="Z102" s="6"/>
      <c r="AA102" s="6"/>
      <c r="AB102" s="6"/>
      <c r="AC102" s="6"/>
      <c r="AD102" s="6"/>
      <c r="AE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8"/>
      <c r="U103" s="8"/>
      <c r="V103" s="6"/>
      <c r="W103" s="6"/>
      <c r="X103" s="6"/>
      <c r="Y103" s="6"/>
      <c r="Z103" s="6"/>
      <c r="AA103" s="6"/>
      <c r="AB103" s="6"/>
      <c r="AC103" s="6"/>
      <c r="AD103" s="6"/>
      <c r="AE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8"/>
      <c r="U104" s="8"/>
      <c r="V104" s="6"/>
      <c r="W104" s="6"/>
      <c r="X104" s="6"/>
      <c r="Y104" s="6"/>
      <c r="Z104" s="6"/>
      <c r="AA104" s="6"/>
      <c r="AB104" s="6"/>
      <c r="AC104" s="6"/>
      <c r="AD104" s="6"/>
      <c r="AE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8"/>
      <c r="U105" s="8"/>
      <c r="V105" s="6"/>
      <c r="W105" s="6"/>
      <c r="X105" s="6"/>
      <c r="Y105" s="6"/>
      <c r="Z105" s="6"/>
      <c r="AA105" s="6"/>
      <c r="AB105" s="6"/>
      <c r="AC105" s="6"/>
      <c r="AD105" s="6"/>
      <c r="AE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8"/>
      <c r="U106" s="8"/>
      <c r="V106" s="6"/>
      <c r="W106" s="6"/>
      <c r="X106" s="6"/>
      <c r="Y106" s="6"/>
      <c r="Z106" s="6"/>
      <c r="AA106" s="6"/>
      <c r="AB106" s="6"/>
      <c r="AC106" s="6"/>
      <c r="AD106" s="6"/>
      <c r="AE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8"/>
      <c r="U107" s="8"/>
      <c r="V107" s="6"/>
      <c r="W107" s="6"/>
      <c r="X107" s="6"/>
      <c r="Y107" s="6"/>
      <c r="Z107" s="6"/>
      <c r="AA107" s="6"/>
      <c r="AB107" s="6"/>
      <c r="AC107" s="6"/>
      <c r="AD107" s="6"/>
      <c r="AE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8"/>
      <c r="U108" s="8"/>
      <c r="V108" s="6"/>
      <c r="W108" s="6"/>
      <c r="X108" s="6"/>
      <c r="Y108" s="6"/>
      <c r="Z108" s="6"/>
      <c r="AA108" s="6"/>
      <c r="AB108" s="6"/>
      <c r="AC108" s="6"/>
      <c r="AD108" s="6"/>
      <c r="AE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8"/>
      <c r="U109" s="8"/>
      <c r="V109" s="6"/>
      <c r="W109" s="6"/>
      <c r="X109" s="6"/>
      <c r="Y109" s="6"/>
      <c r="Z109" s="6"/>
      <c r="AA109" s="6"/>
      <c r="AB109" s="6"/>
      <c r="AC109" s="6"/>
      <c r="AD109" s="6"/>
      <c r="AE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8"/>
      <c r="U110" s="8"/>
      <c r="V110" s="6"/>
      <c r="W110" s="6"/>
      <c r="X110" s="6"/>
      <c r="Y110" s="6"/>
      <c r="Z110" s="6"/>
      <c r="AA110" s="6"/>
      <c r="AB110" s="6"/>
      <c r="AC110" s="6"/>
      <c r="AD110" s="6"/>
      <c r="AE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8"/>
      <c r="U111" s="8"/>
      <c r="V111" s="6"/>
      <c r="W111" s="6"/>
      <c r="X111" s="6"/>
      <c r="Y111" s="6"/>
      <c r="Z111" s="6"/>
      <c r="AA111" s="6"/>
      <c r="AB111" s="6"/>
      <c r="AC111" s="6"/>
      <c r="AD111" s="6"/>
      <c r="AE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8"/>
      <c r="U112" s="8"/>
      <c r="V112" s="6"/>
      <c r="W112" s="6"/>
      <c r="X112" s="6"/>
      <c r="Y112" s="6"/>
      <c r="Z112" s="6"/>
      <c r="AA112" s="6"/>
      <c r="AB112" s="6"/>
      <c r="AC112" s="6"/>
      <c r="AD112" s="6"/>
      <c r="AE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8"/>
      <c r="U113" s="8"/>
      <c r="V113" s="6"/>
      <c r="W113" s="6"/>
      <c r="X113" s="6"/>
      <c r="Y113" s="6"/>
      <c r="Z113" s="6"/>
      <c r="AA113" s="6"/>
      <c r="AB113" s="6"/>
      <c r="AC113" s="6"/>
      <c r="AD113" s="6"/>
      <c r="AE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8"/>
      <c r="U114" s="8"/>
      <c r="V114" s="6"/>
      <c r="W114" s="6"/>
      <c r="X114" s="6"/>
      <c r="Y114" s="6"/>
      <c r="Z114" s="6"/>
      <c r="AA114" s="6"/>
      <c r="AB114" s="6"/>
      <c r="AC114" s="6"/>
      <c r="AD114" s="6"/>
      <c r="AE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8"/>
      <c r="U115" s="8"/>
      <c r="V115" s="6"/>
      <c r="W115" s="6"/>
      <c r="X115" s="6"/>
      <c r="Y115" s="6"/>
      <c r="Z115" s="6"/>
      <c r="AA115" s="6"/>
      <c r="AB115" s="6"/>
      <c r="AC115" s="6"/>
      <c r="AD115" s="6"/>
      <c r="AE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8"/>
      <c r="U116" s="8"/>
      <c r="V116" s="6"/>
      <c r="W116" s="6"/>
      <c r="X116" s="6"/>
      <c r="Y116" s="6"/>
      <c r="Z116" s="6"/>
      <c r="AA116" s="6"/>
      <c r="AB116" s="6"/>
      <c r="AC116" s="6"/>
      <c r="AD116" s="6"/>
      <c r="AE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8"/>
      <c r="U117" s="8"/>
      <c r="V117" s="6"/>
      <c r="W117" s="6"/>
      <c r="X117" s="6"/>
      <c r="Y117" s="6"/>
      <c r="Z117" s="6"/>
      <c r="AA117" s="6"/>
      <c r="AB117" s="6"/>
      <c r="AC117" s="6"/>
      <c r="AD117" s="6"/>
      <c r="AE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8"/>
      <c r="U118" s="8"/>
      <c r="V118" s="6"/>
      <c r="W118" s="6"/>
      <c r="X118" s="6"/>
      <c r="Y118" s="6"/>
      <c r="Z118" s="6"/>
      <c r="AA118" s="6"/>
      <c r="AB118" s="6"/>
      <c r="AC118" s="6"/>
      <c r="AD118" s="6"/>
      <c r="AE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8"/>
      <c r="U119" s="8"/>
      <c r="V119" s="6"/>
      <c r="W119" s="6"/>
      <c r="X119" s="6"/>
      <c r="Y119" s="6"/>
      <c r="Z119" s="6"/>
      <c r="AA119" s="6"/>
      <c r="AB119" s="6"/>
      <c r="AC119" s="6"/>
      <c r="AD119" s="6"/>
      <c r="AE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8"/>
      <c r="U120" s="8"/>
      <c r="V120" s="6"/>
      <c r="W120" s="6"/>
      <c r="X120" s="6"/>
      <c r="Y120" s="6"/>
      <c r="Z120" s="6"/>
      <c r="AA120" s="6"/>
      <c r="AB120" s="6"/>
      <c r="AC120" s="6"/>
      <c r="AD120" s="6"/>
      <c r="AE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8"/>
      <c r="U121" s="8"/>
      <c r="V121" s="6"/>
      <c r="W121" s="6"/>
      <c r="X121" s="6"/>
      <c r="Y121" s="6"/>
      <c r="Z121" s="6"/>
      <c r="AA121" s="6"/>
      <c r="AB121" s="6"/>
      <c r="AC121" s="6"/>
      <c r="AD121" s="6"/>
      <c r="AE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8"/>
      <c r="U122" s="8"/>
      <c r="V122" s="6"/>
      <c r="W122" s="6"/>
      <c r="X122" s="6"/>
      <c r="Y122" s="6"/>
      <c r="Z122" s="6"/>
      <c r="AA122" s="6"/>
      <c r="AB122" s="6"/>
      <c r="AC122" s="6"/>
      <c r="AD122" s="6"/>
      <c r="AE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8"/>
      <c r="U123" s="8"/>
      <c r="V123" s="6"/>
      <c r="W123" s="6"/>
      <c r="X123" s="6"/>
      <c r="Y123" s="6"/>
      <c r="Z123" s="6"/>
      <c r="AA123" s="6"/>
      <c r="AB123" s="6"/>
      <c r="AC123" s="6"/>
      <c r="AD123" s="6"/>
      <c r="AE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8"/>
      <c r="U124" s="8"/>
      <c r="V124" s="6"/>
      <c r="W124" s="6"/>
      <c r="X124" s="6"/>
      <c r="Y124" s="6"/>
      <c r="Z124" s="6"/>
      <c r="AA124" s="6"/>
      <c r="AB124" s="6"/>
      <c r="AC124" s="6"/>
      <c r="AD124" s="6"/>
      <c r="AE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8"/>
      <c r="U125" s="8"/>
      <c r="V125" s="6"/>
      <c r="W125" s="6"/>
      <c r="X125" s="6"/>
      <c r="Y125" s="6"/>
      <c r="Z125" s="6"/>
      <c r="AA125" s="6"/>
      <c r="AB125" s="6"/>
      <c r="AC125" s="6"/>
      <c r="AD125" s="6"/>
      <c r="AE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8"/>
      <c r="U126" s="8"/>
      <c r="V126" s="6"/>
      <c r="W126" s="6"/>
      <c r="X126" s="6"/>
      <c r="Y126" s="6"/>
      <c r="Z126" s="6"/>
      <c r="AA126" s="6"/>
      <c r="AB126" s="6"/>
      <c r="AC126" s="6"/>
      <c r="AD126" s="6"/>
      <c r="AE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8"/>
      <c r="U127" s="8"/>
      <c r="V127" s="6"/>
      <c r="W127" s="6"/>
      <c r="X127" s="6"/>
      <c r="Y127" s="6"/>
      <c r="Z127" s="6"/>
      <c r="AA127" s="6"/>
      <c r="AB127" s="6"/>
      <c r="AC127" s="6"/>
      <c r="AD127" s="6"/>
      <c r="AE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8"/>
      <c r="U128" s="8"/>
      <c r="V128" s="6"/>
      <c r="W128" s="6"/>
      <c r="X128" s="6"/>
      <c r="Y128" s="6"/>
      <c r="Z128" s="6"/>
      <c r="AA128" s="6"/>
      <c r="AB128" s="6"/>
      <c r="AC128" s="6"/>
      <c r="AD128" s="6"/>
      <c r="AE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8"/>
      <c r="U129" s="8"/>
      <c r="V129" s="6"/>
      <c r="W129" s="6"/>
      <c r="X129" s="6"/>
      <c r="Y129" s="6"/>
      <c r="Z129" s="6"/>
      <c r="AA129" s="6"/>
      <c r="AB129" s="6"/>
      <c r="AC129" s="6"/>
      <c r="AD129" s="6"/>
      <c r="AE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8"/>
      <c r="U130" s="8"/>
      <c r="V130" s="6"/>
      <c r="W130" s="6"/>
      <c r="X130" s="6"/>
      <c r="Y130" s="6"/>
      <c r="Z130" s="6"/>
      <c r="AA130" s="6"/>
      <c r="AB130" s="6"/>
      <c r="AC130" s="6"/>
      <c r="AD130" s="6"/>
      <c r="AE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8"/>
      <c r="U131" s="8"/>
      <c r="V131" s="6"/>
      <c r="W131" s="6"/>
      <c r="X131" s="6"/>
      <c r="Y131" s="6"/>
      <c r="Z131" s="6"/>
      <c r="AA131" s="6"/>
      <c r="AB131" s="6"/>
      <c r="AC131" s="6"/>
      <c r="AD131" s="6"/>
      <c r="AE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8"/>
      <c r="U132" s="8"/>
      <c r="V132" s="6"/>
      <c r="W132" s="6"/>
      <c r="X132" s="6"/>
      <c r="Y132" s="6"/>
      <c r="Z132" s="6"/>
      <c r="AA132" s="6"/>
      <c r="AB132" s="6"/>
      <c r="AC132" s="6"/>
      <c r="AD132" s="6"/>
      <c r="AE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8"/>
      <c r="U133" s="8"/>
      <c r="V133" s="6"/>
      <c r="W133" s="6"/>
      <c r="X133" s="6"/>
      <c r="Y133" s="6"/>
      <c r="Z133" s="6"/>
      <c r="AA133" s="6"/>
      <c r="AB133" s="6"/>
      <c r="AC133" s="6"/>
      <c r="AD133" s="6"/>
      <c r="AE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8"/>
      <c r="U134" s="8"/>
      <c r="V134" s="6"/>
      <c r="W134" s="6"/>
      <c r="X134" s="6"/>
      <c r="Y134" s="6"/>
      <c r="Z134" s="6"/>
      <c r="AA134" s="6"/>
      <c r="AB134" s="6"/>
      <c r="AC134" s="6"/>
      <c r="AD134" s="6"/>
      <c r="AE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8"/>
      <c r="U135" s="8"/>
      <c r="V135" s="6"/>
      <c r="W135" s="6"/>
      <c r="X135" s="6"/>
      <c r="Y135" s="6"/>
      <c r="Z135" s="6"/>
      <c r="AA135" s="6"/>
      <c r="AB135" s="6"/>
      <c r="AC135" s="6"/>
      <c r="AD135" s="6"/>
      <c r="AE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8"/>
      <c r="U136" s="8"/>
      <c r="V136" s="6"/>
      <c r="W136" s="6"/>
      <c r="X136" s="6"/>
      <c r="Y136" s="6"/>
      <c r="Z136" s="6"/>
      <c r="AA136" s="6"/>
      <c r="AB136" s="6"/>
      <c r="AC136" s="6"/>
      <c r="AD136" s="6"/>
      <c r="AE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8"/>
      <c r="U137" s="8"/>
      <c r="V137" s="6"/>
      <c r="W137" s="6"/>
      <c r="X137" s="6"/>
      <c r="Y137" s="6"/>
      <c r="Z137" s="6"/>
      <c r="AA137" s="6"/>
      <c r="AB137" s="6"/>
      <c r="AC137" s="6"/>
      <c r="AD137" s="6"/>
      <c r="AE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8"/>
      <c r="U138" s="8"/>
      <c r="V138" s="6"/>
      <c r="W138" s="6"/>
      <c r="X138" s="6"/>
      <c r="Y138" s="6"/>
      <c r="Z138" s="6"/>
      <c r="AA138" s="6"/>
      <c r="AB138" s="6"/>
      <c r="AC138" s="6"/>
      <c r="AD138" s="6"/>
      <c r="AE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8"/>
      <c r="U139" s="8"/>
      <c r="V139" s="6"/>
      <c r="W139" s="6"/>
      <c r="X139" s="6"/>
      <c r="Y139" s="6"/>
      <c r="Z139" s="6"/>
      <c r="AA139" s="6"/>
      <c r="AB139" s="6"/>
      <c r="AC139" s="6"/>
      <c r="AD139" s="6"/>
      <c r="AE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8"/>
      <c r="U140" s="8"/>
      <c r="V140" s="6"/>
      <c r="W140" s="6"/>
      <c r="X140" s="6"/>
      <c r="Y140" s="6"/>
      <c r="Z140" s="6"/>
      <c r="AA140" s="6"/>
      <c r="AB140" s="6"/>
      <c r="AC140" s="6"/>
      <c r="AD140" s="6"/>
      <c r="AE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8"/>
      <c r="U141" s="8"/>
      <c r="V141" s="6"/>
      <c r="W141" s="6"/>
      <c r="X141" s="6"/>
      <c r="Y141" s="6"/>
      <c r="Z141" s="6"/>
      <c r="AA141" s="6"/>
      <c r="AB141" s="6"/>
      <c r="AC141" s="6"/>
      <c r="AD141" s="6"/>
      <c r="AE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8"/>
      <c r="U142" s="8"/>
      <c r="V142" s="6"/>
      <c r="W142" s="6"/>
      <c r="X142" s="6"/>
      <c r="Y142" s="6"/>
      <c r="Z142" s="6"/>
      <c r="AA142" s="6"/>
      <c r="AB142" s="6"/>
      <c r="AC142" s="6"/>
      <c r="AD142" s="6"/>
      <c r="AE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8"/>
      <c r="U143" s="8"/>
      <c r="V143" s="6"/>
      <c r="W143" s="6"/>
      <c r="X143" s="6"/>
      <c r="Y143" s="6"/>
      <c r="Z143" s="6"/>
      <c r="AA143" s="6"/>
      <c r="AB143" s="6"/>
      <c r="AC143" s="6"/>
      <c r="AD143" s="6"/>
      <c r="AE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8"/>
      <c r="U144" s="8"/>
      <c r="V144" s="6"/>
      <c r="W144" s="6"/>
      <c r="X144" s="6"/>
      <c r="Y144" s="6"/>
      <c r="Z144" s="6"/>
      <c r="AA144" s="6"/>
      <c r="AB144" s="6"/>
      <c r="AC144" s="6"/>
      <c r="AD144" s="6"/>
      <c r="AE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8"/>
      <c r="U145" s="8"/>
      <c r="V145" s="6"/>
      <c r="W145" s="6"/>
      <c r="X145" s="6"/>
      <c r="Y145" s="6"/>
      <c r="Z145" s="6"/>
      <c r="AA145" s="6"/>
      <c r="AB145" s="6"/>
      <c r="AC145" s="6"/>
      <c r="AD145" s="6"/>
      <c r="AE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8"/>
      <c r="U146" s="8"/>
      <c r="V146" s="6"/>
      <c r="W146" s="6"/>
      <c r="X146" s="6"/>
      <c r="Y146" s="6"/>
      <c r="Z146" s="6"/>
      <c r="AA146" s="6"/>
      <c r="AB146" s="6"/>
      <c r="AC146" s="6"/>
      <c r="AD146" s="6"/>
      <c r="AE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8"/>
      <c r="U147" s="8"/>
      <c r="V147" s="6"/>
      <c r="W147" s="6"/>
      <c r="X147" s="6"/>
      <c r="Y147" s="6"/>
      <c r="Z147" s="6"/>
      <c r="AA147" s="6"/>
      <c r="AB147" s="6"/>
      <c r="AC147" s="6"/>
      <c r="AD147" s="6"/>
      <c r="AE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8"/>
      <c r="U148" s="8"/>
      <c r="V148" s="6"/>
      <c r="W148" s="6"/>
      <c r="X148" s="6"/>
      <c r="Y148" s="6"/>
      <c r="Z148" s="6"/>
      <c r="AA148" s="6"/>
      <c r="AB148" s="6"/>
      <c r="AC148" s="6"/>
      <c r="AD148" s="6"/>
      <c r="AE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8"/>
      <c r="U149" s="8"/>
      <c r="V149" s="6"/>
      <c r="W149" s="6"/>
      <c r="X149" s="6"/>
      <c r="Y149" s="6"/>
      <c r="Z149" s="6"/>
      <c r="AA149" s="6"/>
      <c r="AB149" s="6"/>
      <c r="AC149" s="6"/>
      <c r="AD149" s="6"/>
      <c r="AE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8"/>
      <c r="U150" s="8"/>
      <c r="V150" s="6"/>
      <c r="W150" s="6"/>
      <c r="X150" s="6"/>
      <c r="Y150" s="6"/>
      <c r="Z150" s="6"/>
      <c r="AA150" s="6"/>
      <c r="AB150" s="6"/>
      <c r="AC150" s="6"/>
      <c r="AD150" s="6"/>
      <c r="AE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8"/>
      <c r="U151" s="8"/>
      <c r="V151" s="6"/>
      <c r="W151" s="6"/>
      <c r="X151" s="6"/>
      <c r="Y151" s="6"/>
      <c r="Z151" s="6"/>
      <c r="AA151" s="6"/>
      <c r="AB151" s="6"/>
      <c r="AC151" s="6"/>
      <c r="AD151" s="6"/>
      <c r="AE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8"/>
      <c r="U152" s="8"/>
      <c r="V152" s="6"/>
      <c r="W152" s="6"/>
      <c r="X152" s="6"/>
      <c r="Y152" s="6"/>
      <c r="Z152" s="6"/>
      <c r="AA152" s="6"/>
      <c r="AB152" s="6"/>
      <c r="AC152" s="6"/>
      <c r="AD152" s="6"/>
      <c r="AE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8"/>
      <c r="U153" s="8"/>
      <c r="V153" s="6"/>
      <c r="W153" s="6"/>
      <c r="X153" s="6"/>
      <c r="Y153" s="6"/>
      <c r="Z153" s="6"/>
      <c r="AA153" s="6"/>
      <c r="AB153" s="6"/>
      <c r="AC153" s="6"/>
      <c r="AD153" s="6"/>
      <c r="AE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8"/>
      <c r="U154" s="8"/>
      <c r="V154" s="6"/>
      <c r="W154" s="6"/>
      <c r="X154" s="6"/>
      <c r="Y154" s="6"/>
      <c r="Z154" s="6"/>
      <c r="AA154" s="6"/>
      <c r="AB154" s="6"/>
      <c r="AC154" s="6"/>
      <c r="AD154" s="6"/>
      <c r="AE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8"/>
      <c r="U155" s="8"/>
      <c r="V155" s="6"/>
      <c r="W155" s="6"/>
      <c r="X155" s="6"/>
      <c r="Y155" s="6"/>
      <c r="Z155" s="6"/>
      <c r="AA155" s="6"/>
      <c r="AB155" s="6"/>
      <c r="AC155" s="6"/>
      <c r="AD155" s="6"/>
      <c r="AE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8"/>
      <c r="U156" s="8"/>
      <c r="V156" s="6"/>
      <c r="W156" s="6"/>
      <c r="X156" s="6"/>
      <c r="Y156" s="6"/>
      <c r="Z156" s="6"/>
      <c r="AA156" s="6"/>
      <c r="AB156" s="6"/>
      <c r="AC156" s="6"/>
      <c r="AD156" s="6"/>
      <c r="AE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8"/>
      <c r="U157" s="8"/>
      <c r="V157" s="6"/>
      <c r="W157" s="6"/>
      <c r="X157" s="6"/>
      <c r="Y157" s="6"/>
      <c r="Z157" s="6"/>
      <c r="AA157" s="6"/>
      <c r="AB157" s="6"/>
      <c r="AC157" s="6"/>
      <c r="AD157" s="6"/>
      <c r="AE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8"/>
      <c r="U158" s="8"/>
      <c r="V158" s="6"/>
      <c r="W158" s="6"/>
      <c r="X158" s="6"/>
      <c r="Y158" s="6"/>
      <c r="Z158" s="6"/>
      <c r="AA158" s="6"/>
      <c r="AB158" s="6"/>
      <c r="AC158" s="6"/>
      <c r="AD158" s="6"/>
      <c r="AE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8"/>
      <c r="U159" s="8"/>
      <c r="V159" s="6"/>
      <c r="W159" s="6"/>
      <c r="X159" s="6"/>
      <c r="Y159" s="6"/>
      <c r="Z159" s="6"/>
      <c r="AA159" s="6"/>
      <c r="AB159" s="6"/>
      <c r="AC159" s="6"/>
      <c r="AD159" s="6"/>
      <c r="AE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8"/>
      <c r="U160" s="8"/>
      <c r="V160" s="6"/>
      <c r="W160" s="6"/>
      <c r="X160" s="6"/>
      <c r="Y160" s="6"/>
      <c r="Z160" s="6"/>
      <c r="AA160" s="6"/>
      <c r="AB160" s="6"/>
      <c r="AC160" s="6"/>
      <c r="AD160" s="6"/>
      <c r="AE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8"/>
      <c r="U161" s="8"/>
      <c r="V161" s="6"/>
      <c r="W161" s="6"/>
      <c r="X161" s="6"/>
      <c r="Y161" s="6"/>
      <c r="Z161" s="6"/>
      <c r="AA161" s="6"/>
      <c r="AB161" s="6"/>
      <c r="AC161" s="6"/>
      <c r="AD161" s="6"/>
      <c r="AE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8"/>
      <c r="U162" s="8"/>
      <c r="V162" s="6"/>
      <c r="W162" s="6"/>
      <c r="X162" s="6"/>
      <c r="Y162" s="6"/>
      <c r="Z162" s="6"/>
      <c r="AA162" s="6"/>
      <c r="AB162" s="6"/>
      <c r="AC162" s="6"/>
      <c r="AD162" s="6"/>
      <c r="AE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8"/>
      <c r="U163" s="8"/>
      <c r="V163" s="6"/>
      <c r="W163" s="6"/>
      <c r="X163" s="6"/>
      <c r="Y163" s="6"/>
      <c r="Z163" s="6"/>
      <c r="AA163" s="6"/>
      <c r="AB163" s="6"/>
      <c r="AC163" s="6"/>
      <c r="AD163" s="6"/>
      <c r="AE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8"/>
      <c r="U164" s="8"/>
      <c r="V164" s="6"/>
      <c r="W164" s="6"/>
      <c r="X164" s="6"/>
      <c r="Y164" s="6"/>
      <c r="Z164" s="6"/>
      <c r="AA164" s="6"/>
      <c r="AB164" s="6"/>
      <c r="AC164" s="6"/>
      <c r="AD164" s="6"/>
      <c r="AE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8"/>
      <c r="U165" s="8"/>
      <c r="V165" s="6"/>
      <c r="W165" s="6"/>
      <c r="X165" s="6"/>
      <c r="Y165" s="6"/>
      <c r="Z165" s="6"/>
      <c r="AA165" s="6"/>
      <c r="AB165" s="6"/>
      <c r="AC165" s="6"/>
      <c r="AD165" s="6"/>
      <c r="AE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8"/>
      <c r="U166" s="8"/>
      <c r="V166" s="6"/>
      <c r="W166" s="6"/>
      <c r="X166" s="6"/>
      <c r="Y166" s="6"/>
      <c r="Z166" s="6"/>
      <c r="AA166" s="6"/>
      <c r="AB166" s="6"/>
      <c r="AC166" s="6"/>
      <c r="AD166" s="6"/>
      <c r="AE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8"/>
      <c r="U167" s="8"/>
      <c r="V167" s="6"/>
      <c r="W167" s="6"/>
      <c r="X167" s="6"/>
      <c r="Y167" s="6"/>
      <c r="Z167" s="6"/>
      <c r="AA167" s="6"/>
      <c r="AB167" s="6"/>
      <c r="AC167" s="6"/>
      <c r="AD167" s="6"/>
      <c r="AE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8"/>
      <c r="U168" s="8"/>
      <c r="V168" s="6"/>
      <c r="W168" s="6"/>
      <c r="X168" s="6"/>
      <c r="Y168" s="6"/>
      <c r="Z168" s="6"/>
      <c r="AA168" s="6"/>
      <c r="AB168" s="6"/>
      <c r="AC168" s="6"/>
      <c r="AD168" s="6"/>
      <c r="AE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8"/>
      <c r="U169" s="8"/>
      <c r="V169" s="6"/>
      <c r="W169" s="6"/>
      <c r="X169" s="6"/>
      <c r="Y169" s="6"/>
      <c r="Z169" s="6"/>
      <c r="AA169" s="6"/>
      <c r="AB169" s="6"/>
      <c r="AC169" s="6"/>
      <c r="AD169" s="6"/>
      <c r="AE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8"/>
      <c r="U170" s="8"/>
      <c r="V170" s="6"/>
      <c r="W170" s="6"/>
      <c r="X170" s="6"/>
      <c r="Y170" s="6"/>
      <c r="Z170" s="6"/>
      <c r="AA170" s="6"/>
      <c r="AB170" s="6"/>
      <c r="AC170" s="6"/>
      <c r="AD170" s="6"/>
      <c r="AE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8"/>
      <c r="U171" s="8"/>
      <c r="V171" s="6"/>
      <c r="W171" s="6"/>
      <c r="X171" s="6"/>
      <c r="Y171" s="6"/>
      <c r="Z171" s="6"/>
      <c r="AA171" s="6"/>
      <c r="AB171" s="6"/>
      <c r="AC171" s="6"/>
      <c r="AD171" s="6"/>
      <c r="AE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8"/>
      <c r="U172" s="8"/>
      <c r="V172" s="6"/>
      <c r="W172" s="6"/>
      <c r="X172" s="6"/>
      <c r="Y172" s="6"/>
      <c r="Z172" s="6"/>
      <c r="AA172" s="6"/>
      <c r="AB172" s="6"/>
      <c r="AC172" s="6"/>
      <c r="AD172" s="6"/>
      <c r="AE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8"/>
      <c r="U173" s="8"/>
      <c r="V173" s="6"/>
      <c r="W173" s="6"/>
      <c r="X173" s="6"/>
      <c r="Y173" s="6"/>
      <c r="Z173" s="6"/>
      <c r="AA173" s="6"/>
      <c r="AB173" s="6"/>
      <c r="AC173" s="6"/>
      <c r="AD173" s="6"/>
      <c r="AE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8"/>
      <c r="U174" s="8"/>
      <c r="V174" s="6"/>
      <c r="W174" s="6"/>
      <c r="X174" s="6"/>
      <c r="Y174" s="6"/>
      <c r="Z174" s="6"/>
      <c r="AA174" s="6"/>
      <c r="AB174" s="6"/>
      <c r="AC174" s="6"/>
      <c r="AD174" s="6"/>
      <c r="AE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8"/>
      <c r="U175" s="8"/>
      <c r="V175" s="6"/>
      <c r="W175" s="6"/>
      <c r="X175" s="6"/>
      <c r="Y175" s="6"/>
      <c r="Z175" s="6"/>
      <c r="AA175" s="6"/>
      <c r="AB175" s="6"/>
      <c r="AC175" s="6"/>
      <c r="AD175" s="6"/>
      <c r="AE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8"/>
      <c r="U176" s="8"/>
      <c r="V176" s="6"/>
      <c r="W176" s="6"/>
      <c r="X176" s="6"/>
      <c r="Y176" s="6"/>
      <c r="Z176" s="6"/>
      <c r="AA176" s="6"/>
      <c r="AB176" s="6"/>
      <c r="AC176" s="6"/>
      <c r="AD176" s="6"/>
      <c r="AE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8"/>
      <c r="U177" s="8"/>
      <c r="V177" s="6"/>
      <c r="W177" s="6"/>
      <c r="X177" s="6"/>
      <c r="Y177" s="6"/>
      <c r="Z177" s="6"/>
      <c r="AA177" s="6"/>
      <c r="AB177" s="6"/>
      <c r="AC177" s="6"/>
      <c r="AD177" s="6"/>
      <c r="AE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8"/>
      <c r="U178" s="8"/>
      <c r="V178" s="6"/>
      <c r="W178" s="6"/>
      <c r="X178" s="6"/>
      <c r="Y178" s="6"/>
      <c r="Z178" s="6"/>
      <c r="AA178" s="6"/>
      <c r="AB178" s="6"/>
      <c r="AC178" s="6"/>
      <c r="AD178" s="6"/>
      <c r="AE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8"/>
      <c r="U179" s="8"/>
      <c r="V179" s="6"/>
      <c r="W179" s="6"/>
      <c r="X179" s="6"/>
      <c r="Y179" s="6"/>
      <c r="Z179" s="6"/>
      <c r="AA179" s="6"/>
      <c r="AB179" s="6"/>
      <c r="AC179" s="6"/>
      <c r="AD179" s="6"/>
      <c r="AE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8"/>
      <c r="U180" s="8"/>
      <c r="V180" s="6"/>
      <c r="W180" s="6"/>
      <c r="X180" s="6"/>
      <c r="Y180" s="6"/>
      <c r="Z180" s="6"/>
      <c r="AA180" s="6"/>
      <c r="AB180" s="6"/>
      <c r="AC180" s="6"/>
      <c r="AD180" s="6"/>
      <c r="AE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8"/>
      <c r="U181" s="8"/>
      <c r="V181" s="6"/>
      <c r="W181" s="6"/>
      <c r="X181" s="6"/>
      <c r="Y181" s="6"/>
      <c r="Z181" s="6"/>
      <c r="AA181" s="6"/>
      <c r="AB181" s="6"/>
      <c r="AC181" s="6"/>
      <c r="AD181" s="6"/>
      <c r="AE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8"/>
      <c r="U182" s="8"/>
      <c r="V182" s="6"/>
      <c r="W182" s="6"/>
      <c r="X182" s="6"/>
      <c r="Y182" s="6"/>
      <c r="Z182" s="6"/>
      <c r="AA182" s="6"/>
      <c r="AB182" s="6"/>
      <c r="AC182" s="6"/>
      <c r="AD182" s="6"/>
      <c r="AE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8"/>
      <c r="U183" s="8"/>
      <c r="V183" s="6"/>
      <c r="W183" s="6"/>
      <c r="X183" s="6"/>
      <c r="Y183" s="6"/>
      <c r="Z183" s="6"/>
      <c r="AA183" s="6"/>
      <c r="AB183" s="6"/>
      <c r="AC183" s="6"/>
      <c r="AD183" s="6"/>
      <c r="AE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8"/>
      <c r="U184" s="8"/>
      <c r="V184" s="6"/>
      <c r="W184" s="6"/>
      <c r="X184" s="6"/>
      <c r="Y184" s="6"/>
      <c r="Z184" s="6"/>
      <c r="AA184" s="6"/>
      <c r="AB184" s="6"/>
      <c r="AC184" s="6"/>
      <c r="AD184" s="6"/>
      <c r="AE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8"/>
      <c r="U185" s="8"/>
      <c r="V185" s="6"/>
      <c r="W185" s="6"/>
      <c r="X185" s="6"/>
      <c r="Y185" s="6"/>
      <c r="Z185" s="6"/>
      <c r="AA185" s="6"/>
      <c r="AB185" s="6"/>
      <c r="AC185" s="6"/>
      <c r="AD185" s="6"/>
      <c r="AE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8"/>
      <c r="U186" s="8"/>
      <c r="V186" s="6"/>
      <c r="W186" s="6"/>
      <c r="X186" s="6"/>
      <c r="Y186" s="6"/>
      <c r="Z186" s="6"/>
      <c r="AA186" s="6"/>
      <c r="AB186" s="6"/>
      <c r="AC186" s="6"/>
      <c r="AD186" s="6"/>
      <c r="AE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8"/>
      <c r="U187" s="8"/>
      <c r="V187" s="6"/>
      <c r="W187" s="6"/>
      <c r="X187" s="6"/>
      <c r="Y187" s="6"/>
      <c r="Z187" s="6"/>
      <c r="AA187" s="6"/>
      <c r="AB187" s="6"/>
      <c r="AC187" s="6"/>
      <c r="AD187" s="6"/>
      <c r="AE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8"/>
      <c r="U188" s="8"/>
      <c r="V188" s="6"/>
      <c r="W188" s="6"/>
      <c r="X188" s="6"/>
      <c r="Y188" s="6"/>
      <c r="Z188" s="6"/>
      <c r="AA188" s="6"/>
      <c r="AB188" s="6"/>
      <c r="AC188" s="6"/>
      <c r="AD188" s="6"/>
      <c r="AE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8"/>
      <c r="U189" s="8"/>
      <c r="V189" s="6"/>
      <c r="W189" s="6"/>
      <c r="X189" s="6"/>
      <c r="Y189" s="6"/>
      <c r="Z189" s="6"/>
      <c r="AA189" s="6"/>
      <c r="AB189" s="6"/>
      <c r="AC189" s="6"/>
      <c r="AD189" s="6"/>
      <c r="AE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8"/>
      <c r="U190" s="8"/>
      <c r="V190" s="6"/>
      <c r="W190" s="6"/>
      <c r="X190" s="6"/>
      <c r="Y190" s="6"/>
      <c r="Z190" s="6"/>
      <c r="AA190" s="6"/>
      <c r="AB190" s="6"/>
      <c r="AC190" s="6"/>
      <c r="AD190" s="6"/>
      <c r="AE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8"/>
      <c r="U191" s="8"/>
      <c r="V191" s="6"/>
      <c r="W191" s="6"/>
      <c r="X191" s="6"/>
      <c r="Y191" s="6"/>
      <c r="Z191" s="6"/>
      <c r="AA191" s="6"/>
      <c r="AB191" s="6"/>
      <c r="AC191" s="6"/>
      <c r="AD191" s="6"/>
      <c r="AE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8"/>
      <c r="U192" s="8"/>
      <c r="V192" s="6"/>
      <c r="W192" s="6"/>
      <c r="X192" s="6"/>
      <c r="Y192" s="6"/>
      <c r="Z192" s="6"/>
      <c r="AA192" s="6"/>
      <c r="AB192" s="6"/>
      <c r="AC192" s="6"/>
      <c r="AD192" s="6"/>
      <c r="AE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8"/>
      <c r="U193" s="8"/>
      <c r="V193" s="6"/>
      <c r="W193" s="6"/>
      <c r="X193" s="6"/>
      <c r="Y193" s="6"/>
      <c r="Z193" s="6"/>
      <c r="AA193" s="6"/>
      <c r="AB193" s="6"/>
      <c r="AC193" s="6"/>
      <c r="AD193" s="6"/>
      <c r="AE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8"/>
      <c r="U194" s="8"/>
      <c r="V194" s="6"/>
      <c r="W194" s="6"/>
      <c r="X194" s="6"/>
      <c r="Y194" s="6"/>
      <c r="Z194" s="6"/>
      <c r="AA194" s="6"/>
      <c r="AB194" s="6"/>
      <c r="AC194" s="6"/>
      <c r="AD194" s="6"/>
      <c r="AE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8"/>
      <c r="U195" s="8"/>
      <c r="V195" s="6"/>
      <c r="W195" s="6"/>
      <c r="X195" s="6"/>
      <c r="Y195" s="6"/>
      <c r="Z195" s="6"/>
      <c r="AA195" s="6"/>
      <c r="AB195" s="6"/>
      <c r="AC195" s="6"/>
      <c r="AD195" s="6"/>
      <c r="AE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8"/>
      <c r="U196" s="8"/>
      <c r="V196" s="6"/>
      <c r="W196" s="6"/>
      <c r="X196" s="6"/>
      <c r="Y196" s="6"/>
      <c r="Z196" s="6"/>
      <c r="AA196" s="6"/>
      <c r="AB196" s="6"/>
      <c r="AC196" s="6"/>
      <c r="AD196" s="6"/>
      <c r="AE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8"/>
      <c r="U197" s="8"/>
      <c r="V197" s="6"/>
      <c r="W197" s="6"/>
      <c r="X197" s="6"/>
      <c r="Y197" s="6"/>
      <c r="Z197" s="6"/>
      <c r="AA197" s="6"/>
      <c r="AB197" s="6"/>
      <c r="AC197" s="6"/>
      <c r="AD197" s="6"/>
      <c r="AE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8"/>
      <c r="U198" s="8"/>
      <c r="V198" s="6"/>
      <c r="W198" s="6"/>
      <c r="X198" s="6"/>
      <c r="Y198" s="6"/>
      <c r="Z198" s="6"/>
      <c r="AA198" s="6"/>
      <c r="AB198" s="6"/>
      <c r="AC198" s="6"/>
      <c r="AD198" s="6"/>
      <c r="AE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8"/>
      <c r="U199" s="8"/>
      <c r="V199" s="6"/>
      <c r="W199" s="6"/>
      <c r="X199" s="6"/>
      <c r="Y199" s="6"/>
      <c r="Z199" s="6"/>
      <c r="AA199" s="6"/>
      <c r="AB199" s="6"/>
      <c r="AC199" s="6"/>
      <c r="AD199" s="6"/>
      <c r="AE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8"/>
      <c r="U200" s="8"/>
      <c r="V200" s="6"/>
      <c r="W200" s="6"/>
      <c r="X200" s="6"/>
      <c r="Y200" s="6"/>
      <c r="Z200" s="6"/>
      <c r="AA200" s="6"/>
      <c r="AB200" s="6"/>
      <c r="AC200" s="6"/>
      <c r="AD200" s="6"/>
      <c r="AE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8"/>
      <c r="U201" s="8"/>
      <c r="V201" s="6"/>
      <c r="W201" s="6"/>
      <c r="X201" s="6"/>
      <c r="Y201" s="6"/>
      <c r="Z201" s="6"/>
      <c r="AA201" s="6"/>
      <c r="AB201" s="6"/>
      <c r="AC201" s="6"/>
      <c r="AD201" s="6"/>
      <c r="AE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8"/>
      <c r="U202" s="8"/>
      <c r="V202" s="6"/>
      <c r="W202" s="6"/>
      <c r="X202" s="6"/>
      <c r="Y202" s="6"/>
      <c r="Z202" s="6"/>
      <c r="AA202" s="6"/>
      <c r="AB202" s="6"/>
      <c r="AC202" s="6"/>
      <c r="AD202" s="6"/>
      <c r="AE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8"/>
      <c r="U203" s="8"/>
      <c r="V203" s="6"/>
      <c r="W203" s="6"/>
      <c r="X203" s="6"/>
      <c r="Y203" s="6"/>
      <c r="Z203" s="6"/>
      <c r="AA203" s="6"/>
      <c r="AB203" s="6"/>
      <c r="AC203" s="6"/>
      <c r="AD203" s="6"/>
      <c r="AE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8"/>
      <c r="U204" s="8"/>
      <c r="V204" s="6"/>
      <c r="W204" s="6"/>
      <c r="X204" s="6"/>
      <c r="Y204" s="6"/>
      <c r="Z204" s="6"/>
      <c r="AA204" s="6"/>
      <c r="AB204" s="6"/>
      <c r="AC204" s="6"/>
      <c r="AD204" s="6"/>
      <c r="AE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8"/>
      <c r="U205" s="8"/>
      <c r="V205" s="6"/>
      <c r="W205" s="6"/>
      <c r="X205" s="6"/>
      <c r="Y205" s="6"/>
      <c r="Z205" s="6"/>
      <c r="AA205" s="6"/>
      <c r="AB205" s="6"/>
      <c r="AC205" s="6"/>
      <c r="AD205" s="6"/>
      <c r="AE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8"/>
      <c r="U206" s="8"/>
      <c r="V206" s="6"/>
      <c r="W206" s="6"/>
      <c r="X206" s="6"/>
      <c r="Y206" s="6"/>
      <c r="Z206" s="6"/>
      <c r="AA206" s="6"/>
      <c r="AB206" s="6"/>
      <c r="AC206" s="6"/>
      <c r="AD206" s="6"/>
      <c r="AE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8"/>
      <c r="U207" s="8"/>
      <c r="V207" s="6"/>
      <c r="W207" s="6"/>
      <c r="X207" s="6"/>
      <c r="Y207" s="6"/>
      <c r="Z207" s="6"/>
      <c r="AA207" s="6"/>
      <c r="AB207" s="6"/>
      <c r="AC207" s="6"/>
      <c r="AD207" s="6"/>
      <c r="AE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8"/>
      <c r="U208" s="8"/>
      <c r="V208" s="6"/>
      <c r="W208" s="6"/>
      <c r="X208" s="6"/>
      <c r="Y208" s="6"/>
      <c r="Z208" s="6"/>
      <c r="AA208" s="6"/>
      <c r="AB208" s="6"/>
      <c r="AC208" s="6"/>
      <c r="AD208" s="6"/>
      <c r="AE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8"/>
      <c r="U209" s="8"/>
      <c r="V209" s="6"/>
      <c r="W209" s="6"/>
      <c r="X209" s="6"/>
      <c r="Y209" s="6"/>
      <c r="Z209" s="6"/>
      <c r="AA209" s="6"/>
      <c r="AB209" s="6"/>
      <c r="AC209" s="6"/>
      <c r="AD209" s="6"/>
      <c r="AE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8"/>
      <c r="U210" s="8"/>
      <c r="V210" s="6"/>
      <c r="W210" s="6"/>
      <c r="X210" s="6"/>
      <c r="Y210" s="6"/>
      <c r="Z210" s="6"/>
      <c r="AA210" s="6"/>
      <c r="AB210" s="6"/>
      <c r="AC210" s="6"/>
      <c r="AD210" s="6"/>
      <c r="AE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8"/>
      <c r="U211" s="8"/>
      <c r="V211" s="6"/>
      <c r="W211" s="6"/>
      <c r="X211" s="6"/>
      <c r="Y211" s="6"/>
      <c r="Z211" s="6"/>
      <c r="AA211" s="6"/>
      <c r="AB211" s="6"/>
      <c r="AC211" s="6"/>
      <c r="AD211" s="6"/>
      <c r="AE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8"/>
      <c r="U212" s="8"/>
      <c r="V212" s="6"/>
      <c r="W212" s="6"/>
      <c r="X212" s="6"/>
      <c r="Y212" s="6"/>
      <c r="Z212" s="6"/>
      <c r="AA212" s="6"/>
      <c r="AB212" s="6"/>
      <c r="AC212" s="6"/>
      <c r="AD212" s="6"/>
      <c r="AE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8"/>
      <c r="U213" s="8"/>
      <c r="V213" s="6"/>
      <c r="W213" s="6"/>
      <c r="X213" s="6"/>
      <c r="Y213" s="6"/>
      <c r="Z213" s="6"/>
      <c r="AA213" s="6"/>
      <c r="AB213" s="6"/>
      <c r="AC213" s="6"/>
      <c r="AD213" s="6"/>
      <c r="AE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8"/>
      <c r="U214" s="8"/>
      <c r="V214" s="6"/>
      <c r="W214" s="6"/>
      <c r="X214" s="6"/>
      <c r="Y214" s="6"/>
      <c r="Z214" s="6"/>
      <c r="AA214" s="6"/>
      <c r="AB214" s="6"/>
      <c r="AC214" s="6"/>
      <c r="AD214" s="6"/>
      <c r="AE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8"/>
      <c r="U215" s="8"/>
      <c r="V215" s="6"/>
      <c r="W215" s="6"/>
      <c r="X215" s="6"/>
      <c r="Y215" s="6"/>
      <c r="Z215" s="6"/>
      <c r="AA215" s="6"/>
      <c r="AB215" s="6"/>
      <c r="AC215" s="6"/>
      <c r="AD215" s="6"/>
      <c r="AE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8"/>
      <c r="U216" s="8"/>
      <c r="V216" s="6"/>
      <c r="W216" s="6"/>
      <c r="X216" s="6"/>
      <c r="Y216" s="6"/>
      <c r="Z216" s="6"/>
      <c r="AA216" s="6"/>
      <c r="AB216" s="6"/>
      <c r="AC216" s="6"/>
      <c r="AD216" s="6"/>
      <c r="AE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8"/>
      <c r="U217" s="8"/>
      <c r="V217" s="6"/>
      <c r="W217" s="6"/>
      <c r="X217" s="6"/>
      <c r="Y217" s="6"/>
      <c r="Z217" s="6"/>
      <c r="AA217" s="6"/>
      <c r="AB217" s="6"/>
      <c r="AC217" s="6"/>
      <c r="AD217" s="6"/>
      <c r="AE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8"/>
      <c r="U218" s="8"/>
      <c r="V218" s="6"/>
      <c r="W218" s="6"/>
      <c r="X218" s="6"/>
      <c r="Y218" s="6"/>
      <c r="Z218" s="6"/>
      <c r="AA218" s="6"/>
      <c r="AB218" s="6"/>
      <c r="AC218" s="6"/>
      <c r="AD218" s="6"/>
      <c r="AE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8"/>
      <c r="U219" s="8"/>
      <c r="V219" s="6"/>
      <c r="W219" s="6"/>
      <c r="X219" s="6"/>
      <c r="Y219" s="6"/>
      <c r="Z219" s="6"/>
      <c r="AA219" s="6"/>
      <c r="AB219" s="6"/>
      <c r="AC219" s="6"/>
      <c r="AD219" s="6"/>
      <c r="AE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8"/>
      <c r="U220" s="8"/>
      <c r="V220" s="6"/>
      <c r="W220" s="6"/>
      <c r="X220" s="6"/>
      <c r="Y220" s="6"/>
      <c r="Z220" s="6"/>
      <c r="AA220" s="6"/>
      <c r="AB220" s="6"/>
      <c r="AC220" s="6"/>
      <c r="AD220" s="6"/>
      <c r="AE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8"/>
      <c r="U221" s="8"/>
      <c r="V221" s="6"/>
      <c r="W221" s="6"/>
      <c r="X221" s="6"/>
      <c r="Y221" s="6"/>
      <c r="Z221" s="6"/>
      <c r="AA221" s="6"/>
      <c r="AB221" s="6"/>
      <c r="AC221" s="6"/>
      <c r="AD221" s="6"/>
      <c r="AE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8"/>
      <c r="U222" s="8"/>
      <c r="V222" s="6"/>
      <c r="W222" s="6"/>
      <c r="X222" s="6"/>
      <c r="Y222" s="6"/>
      <c r="Z222" s="6"/>
      <c r="AA222" s="6"/>
      <c r="AB222" s="6"/>
      <c r="AC222" s="6"/>
      <c r="AD222" s="6"/>
      <c r="AE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8"/>
      <c r="U223" s="8"/>
      <c r="V223" s="6"/>
      <c r="W223" s="6"/>
      <c r="X223" s="6"/>
      <c r="Y223" s="6"/>
      <c r="Z223" s="6"/>
      <c r="AA223" s="6"/>
      <c r="AB223" s="6"/>
      <c r="AC223" s="6"/>
      <c r="AD223" s="6"/>
      <c r="AE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8"/>
      <c r="U224" s="8"/>
      <c r="V224" s="6"/>
      <c r="W224" s="6"/>
      <c r="X224" s="6"/>
      <c r="Y224" s="6"/>
      <c r="Z224" s="6"/>
      <c r="AA224" s="6"/>
      <c r="AB224" s="6"/>
      <c r="AC224" s="6"/>
      <c r="AD224" s="6"/>
      <c r="AE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8"/>
      <c r="U225" s="8"/>
      <c r="V225" s="6"/>
      <c r="W225" s="6"/>
      <c r="X225" s="6"/>
      <c r="Y225" s="6"/>
      <c r="Z225" s="6"/>
      <c r="AA225" s="6"/>
      <c r="AB225" s="6"/>
      <c r="AC225" s="6"/>
      <c r="AD225" s="6"/>
      <c r="AE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8"/>
      <c r="U226" s="8"/>
      <c r="V226" s="6"/>
      <c r="W226" s="6"/>
      <c r="X226" s="6"/>
      <c r="Y226" s="6"/>
      <c r="Z226" s="6"/>
      <c r="AA226" s="6"/>
      <c r="AB226" s="6"/>
      <c r="AC226" s="6"/>
      <c r="AD226" s="6"/>
      <c r="AE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8"/>
      <c r="U227" s="8"/>
      <c r="V227" s="6"/>
      <c r="W227" s="6"/>
      <c r="X227" s="6"/>
      <c r="Y227" s="6"/>
      <c r="Z227" s="6"/>
      <c r="AA227" s="6"/>
      <c r="AB227" s="6"/>
      <c r="AC227" s="6"/>
      <c r="AD227" s="6"/>
      <c r="AE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8"/>
      <c r="U228" s="8"/>
      <c r="V228" s="6"/>
      <c r="W228" s="6"/>
      <c r="X228" s="6"/>
      <c r="Y228" s="6"/>
      <c r="Z228" s="6"/>
      <c r="AA228" s="6"/>
      <c r="AB228" s="6"/>
      <c r="AC228" s="6"/>
      <c r="AD228" s="6"/>
      <c r="AE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8"/>
      <c r="U229" s="8"/>
      <c r="V229" s="6"/>
      <c r="W229" s="6"/>
      <c r="X229" s="6"/>
      <c r="Y229" s="6"/>
      <c r="Z229" s="6"/>
      <c r="AA229" s="6"/>
      <c r="AB229" s="6"/>
      <c r="AC229" s="6"/>
      <c r="AD229" s="6"/>
      <c r="AE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8"/>
      <c r="U230" s="8"/>
      <c r="V230" s="6"/>
      <c r="W230" s="6"/>
      <c r="X230" s="6"/>
      <c r="Y230" s="6"/>
      <c r="Z230" s="6"/>
      <c r="AA230" s="6"/>
      <c r="AB230" s="6"/>
      <c r="AC230" s="6"/>
      <c r="AD230" s="6"/>
      <c r="AE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8"/>
      <c r="U231" s="8"/>
      <c r="V231" s="6"/>
      <c r="W231" s="6"/>
      <c r="X231" s="6"/>
      <c r="Y231" s="6"/>
      <c r="Z231" s="6"/>
      <c r="AA231" s="6"/>
      <c r="AB231" s="6"/>
      <c r="AC231" s="6"/>
      <c r="AD231" s="6"/>
      <c r="AE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8"/>
      <c r="U232" s="8"/>
      <c r="V232" s="6"/>
      <c r="W232" s="6"/>
      <c r="X232" s="6"/>
      <c r="Y232" s="6"/>
      <c r="Z232" s="6"/>
      <c r="AA232" s="6"/>
      <c r="AB232" s="6"/>
      <c r="AC232" s="6"/>
      <c r="AD232" s="6"/>
      <c r="AE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8"/>
      <c r="U233" s="8"/>
      <c r="V233" s="6"/>
      <c r="W233" s="6"/>
      <c r="X233" s="6"/>
      <c r="Y233" s="6"/>
      <c r="Z233" s="6"/>
      <c r="AA233" s="6"/>
      <c r="AB233" s="6"/>
      <c r="AC233" s="6"/>
      <c r="AD233" s="6"/>
      <c r="AE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8"/>
      <c r="U234" s="8"/>
      <c r="V234" s="6"/>
      <c r="W234" s="6"/>
      <c r="X234" s="6"/>
      <c r="Y234" s="6"/>
      <c r="Z234" s="6"/>
      <c r="AA234" s="6"/>
      <c r="AB234" s="6"/>
      <c r="AC234" s="6"/>
      <c r="AD234" s="6"/>
      <c r="AE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8"/>
      <c r="U235" s="8"/>
      <c r="V235" s="6"/>
      <c r="W235" s="6"/>
      <c r="X235" s="6"/>
      <c r="Y235" s="6"/>
      <c r="Z235" s="6"/>
      <c r="AA235" s="6"/>
      <c r="AB235" s="6"/>
      <c r="AC235" s="6"/>
      <c r="AD235" s="6"/>
      <c r="AE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8"/>
      <c r="U236" s="8"/>
      <c r="V236" s="6"/>
      <c r="W236" s="6"/>
      <c r="X236" s="6"/>
      <c r="Y236" s="6"/>
      <c r="Z236" s="6"/>
      <c r="AA236" s="6"/>
      <c r="AB236" s="6"/>
      <c r="AC236" s="6"/>
      <c r="AD236" s="6"/>
      <c r="AE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8"/>
      <c r="U237" s="8"/>
      <c r="V237" s="6"/>
      <c r="W237" s="6"/>
      <c r="X237" s="6"/>
      <c r="Y237" s="6"/>
      <c r="Z237" s="6"/>
      <c r="AA237" s="6"/>
      <c r="AB237" s="6"/>
      <c r="AC237" s="6"/>
      <c r="AD237" s="6"/>
      <c r="AE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8"/>
      <c r="U238" s="8"/>
      <c r="V238" s="6"/>
      <c r="W238" s="6"/>
      <c r="X238" s="6"/>
      <c r="Y238" s="6"/>
      <c r="Z238" s="6"/>
      <c r="AA238" s="6"/>
      <c r="AB238" s="6"/>
      <c r="AC238" s="6"/>
      <c r="AD238" s="6"/>
      <c r="AE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8"/>
      <c r="U239" s="8"/>
      <c r="V239" s="6"/>
      <c r="W239" s="6"/>
      <c r="X239" s="6"/>
      <c r="Y239" s="6"/>
      <c r="Z239" s="6"/>
      <c r="AA239" s="6"/>
      <c r="AB239" s="6"/>
      <c r="AC239" s="6"/>
      <c r="AD239" s="6"/>
      <c r="AE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8"/>
      <c r="U240" s="8"/>
      <c r="V240" s="6"/>
      <c r="W240" s="6"/>
      <c r="X240" s="6"/>
      <c r="Y240" s="6"/>
      <c r="Z240" s="6"/>
      <c r="AA240" s="6"/>
      <c r="AB240" s="6"/>
      <c r="AC240" s="6"/>
      <c r="AD240" s="6"/>
      <c r="AE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8"/>
      <c r="U241" s="8"/>
      <c r="V241" s="6"/>
      <c r="W241" s="6"/>
      <c r="X241" s="6"/>
      <c r="Y241" s="6"/>
      <c r="Z241" s="6"/>
      <c r="AA241" s="6"/>
      <c r="AB241" s="6"/>
      <c r="AC241" s="6"/>
      <c r="AD241" s="6"/>
      <c r="AE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8"/>
      <c r="U242" s="8"/>
      <c r="V242" s="6"/>
      <c r="W242" s="6"/>
      <c r="X242" s="6"/>
      <c r="Y242" s="6"/>
      <c r="Z242" s="6"/>
      <c r="AA242" s="6"/>
      <c r="AB242" s="6"/>
      <c r="AC242" s="6"/>
      <c r="AD242" s="6"/>
      <c r="AE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8"/>
      <c r="U243" s="8"/>
      <c r="V243" s="6"/>
      <c r="W243" s="6"/>
      <c r="X243" s="6"/>
      <c r="Y243" s="6"/>
      <c r="Z243" s="6"/>
      <c r="AA243" s="6"/>
      <c r="AB243" s="6"/>
      <c r="AC243" s="6"/>
      <c r="AD243" s="6"/>
      <c r="AE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8"/>
      <c r="U244" s="8"/>
      <c r="V244" s="6"/>
      <c r="W244" s="6"/>
      <c r="X244" s="6"/>
      <c r="Y244" s="6"/>
      <c r="Z244" s="6"/>
      <c r="AA244" s="6"/>
      <c r="AB244" s="6"/>
      <c r="AC244" s="6"/>
      <c r="AD244" s="6"/>
      <c r="AE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8"/>
      <c r="U245" s="8"/>
      <c r="V245" s="6"/>
      <c r="W245" s="6"/>
      <c r="X245" s="6"/>
      <c r="Y245" s="6"/>
      <c r="Z245" s="6"/>
      <c r="AA245" s="6"/>
      <c r="AB245" s="6"/>
      <c r="AC245" s="6"/>
      <c r="AD245" s="6"/>
      <c r="AE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8"/>
      <c r="U246" s="8"/>
      <c r="V246" s="6"/>
      <c r="W246" s="6"/>
      <c r="X246" s="6"/>
      <c r="Y246" s="6"/>
      <c r="Z246" s="6"/>
      <c r="AA246" s="6"/>
      <c r="AB246" s="6"/>
      <c r="AC246" s="6"/>
      <c r="AD246" s="6"/>
      <c r="AE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8"/>
      <c r="U247" s="8"/>
      <c r="V247" s="6"/>
      <c r="W247" s="6"/>
      <c r="X247" s="6"/>
      <c r="Y247" s="6"/>
      <c r="Z247" s="6"/>
      <c r="AA247" s="6"/>
      <c r="AB247" s="6"/>
      <c r="AC247" s="6"/>
      <c r="AD247" s="6"/>
      <c r="AE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8"/>
      <c r="U248" s="8"/>
      <c r="V248" s="6"/>
      <c r="W248" s="6"/>
      <c r="X248" s="6"/>
      <c r="Y248" s="6"/>
      <c r="Z248" s="6"/>
      <c r="AA248" s="6"/>
      <c r="AB248" s="6"/>
      <c r="AC248" s="6"/>
      <c r="AD248" s="6"/>
      <c r="AE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8"/>
      <c r="U249" s="8"/>
      <c r="V249" s="6"/>
      <c r="W249" s="6"/>
      <c r="X249" s="6"/>
      <c r="Y249" s="6"/>
      <c r="Z249" s="6"/>
      <c r="AA249" s="6"/>
      <c r="AB249" s="6"/>
      <c r="AC249" s="6"/>
      <c r="AD249" s="6"/>
      <c r="AE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8"/>
      <c r="U250" s="8"/>
      <c r="V250" s="6"/>
      <c r="W250" s="6"/>
      <c r="X250" s="6"/>
      <c r="Y250" s="6"/>
      <c r="Z250" s="6"/>
      <c r="AA250" s="6"/>
      <c r="AB250" s="6"/>
      <c r="AC250" s="6"/>
      <c r="AD250" s="6"/>
      <c r="AE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8"/>
      <c r="U251" s="8"/>
      <c r="V251" s="6"/>
      <c r="W251" s="6"/>
      <c r="X251" s="6"/>
      <c r="Y251" s="6"/>
      <c r="Z251" s="6"/>
      <c r="AA251" s="6"/>
      <c r="AB251" s="6"/>
      <c r="AC251" s="6"/>
      <c r="AD251" s="6"/>
      <c r="AE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8"/>
      <c r="U252" s="8"/>
      <c r="V252" s="6"/>
      <c r="W252" s="6"/>
      <c r="X252" s="6"/>
      <c r="Y252" s="6"/>
      <c r="Z252" s="6"/>
      <c r="AA252" s="6"/>
      <c r="AB252" s="6"/>
      <c r="AC252" s="6"/>
      <c r="AD252" s="6"/>
      <c r="AE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8"/>
      <c r="U253" s="8"/>
      <c r="V253" s="6"/>
      <c r="W253" s="6"/>
      <c r="X253" s="6"/>
      <c r="Y253" s="6"/>
      <c r="Z253" s="6"/>
      <c r="AA253" s="6"/>
      <c r="AB253" s="6"/>
      <c r="AC253" s="6"/>
      <c r="AD253" s="6"/>
      <c r="AE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8"/>
      <c r="U254" s="8"/>
      <c r="V254" s="6"/>
      <c r="W254" s="6"/>
      <c r="X254" s="6"/>
      <c r="Y254" s="6"/>
      <c r="Z254" s="6"/>
      <c r="AA254" s="6"/>
      <c r="AB254" s="6"/>
      <c r="AC254" s="6"/>
      <c r="AD254" s="6"/>
      <c r="AE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8"/>
      <c r="U255" s="8"/>
      <c r="V255" s="6"/>
      <c r="W255" s="6"/>
      <c r="X255" s="6"/>
      <c r="Y255" s="6"/>
      <c r="Z255" s="6"/>
      <c r="AA255" s="6"/>
      <c r="AB255" s="6"/>
      <c r="AC255" s="6"/>
      <c r="AD255" s="6"/>
      <c r="AE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8"/>
      <c r="U256" s="8"/>
      <c r="V256" s="6"/>
      <c r="W256" s="6"/>
      <c r="X256" s="6"/>
      <c r="Y256" s="6"/>
      <c r="Z256" s="6"/>
      <c r="AA256" s="6"/>
      <c r="AB256" s="6"/>
      <c r="AC256" s="6"/>
      <c r="AD256" s="6"/>
      <c r="AE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8"/>
      <c r="U257" s="8"/>
      <c r="V257" s="6"/>
      <c r="W257" s="6"/>
      <c r="X257" s="6"/>
      <c r="Y257" s="6"/>
      <c r="Z257" s="6"/>
      <c r="AA257" s="6"/>
      <c r="AB257" s="6"/>
      <c r="AC257" s="6"/>
      <c r="AD257" s="6"/>
      <c r="AE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8"/>
      <c r="U258" s="8"/>
      <c r="V258" s="6"/>
      <c r="W258" s="6"/>
      <c r="X258" s="6"/>
      <c r="Y258" s="6"/>
      <c r="Z258" s="6"/>
      <c r="AA258" s="6"/>
      <c r="AB258" s="6"/>
      <c r="AC258" s="6"/>
      <c r="AD258" s="6"/>
      <c r="AE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8"/>
      <c r="U259" s="8"/>
      <c r="V259" s="6"/>
      <c r="W259" s="6"/>
      <c r="X259" s="6"/>
      <c r="Y259" s="6"/>
      <c r="Z259" s="6"/>
      <c r="AA259" s="6"/>
      <c r="AB259" s="6"/>
      <c r="AC259" s="6"/>
      <c r="AD259" s="6"/>
      <c r="AE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8"/>
      <c r="U260" s="8"/>
      <c r="V260" s="6"/>
      <c r="W260" s="6"/>
      <c r="X260" s="6"/>
      <c r="Y260" s="6"/>
      <c r="Z260" s="6"/>
      <c r="AA260" s="6"/>
      <c r="AB260" s="6"/>
      <c r="AC260" s="6"/>
      <c r="AD260" s="6"/>
      <c r="AE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8"/>
      <c r="U261" s="8"/>
      <c r="V261" s="6"/>
      <c r="W261" s="6"/>
      <c r="X261" s="6"/>
      <c r="Y261" s="6"/>
      <c r="Z261" s="6"/>
      <c r="AA261" s="6"/>
      <c r="AB261" s="6"/>
      <c r="AC261" s="6"/>
      <c r="AD261" s="6"/>
      <c r="AE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8"/>
      <c r="U262" s="8"/>
      <c r="V262" s="6"/>
      <c r="W262" s="6"/>
      <c r="X262" s="6"/>
      <c r="Y262" s="6"/>
      <c r="Z262" s="6"/>
      <c r="AA262" s="6"/>
      <c r="AB262" s="6"/>
      <c r="AC262" s="6"/>
      <c r="AD262" s="6"/>
      <c r="AE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8"/>
      <c r="U263" s="8"/>
      <c r="V263" s="6"/>
      <c r="W263" s="6"/>
      <c r="X263" s="6"/>
      <c r="Y263" s="6"/>
      <c r="Z263" s="6"/>
      <c r="AA263" s="6"/>
      <c r="AB263" s="6"/>
      <c r="AC263" s="6"/>
      <c r="AD263" s="6"/>
      <c r="AE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8"/>
      <c r="U264" s="8"/>
      <c r="V264" s="6"/>
      <c r="W264" s="6"/>
      <c r="X264" s="6"/>
      <c r="Y264" s="6"/>
      <c r="Z264" s="6"/>
      <c r="AA264" s="6"/>
      <c r="AB264" s="6"/>
      <c r="AC264" s="6"/>
      <c r="AD264" s="6"/>
      <c r="AE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8"/>
      <c r="U265" s="8"/>
      <c r="V265" s="6"/>
      <c r="W265" s="6"/>
      <c r="X265" s="6"/>
      <c r="Y265" s="6"/>
      <c r="Z265" s="6"/>
      <c r="AA265" s="6"/>
      <c r="AB265" s="6"/>
      <c r="AC265" s="6"/>
      <c r="AD265" s="6"/>
      <c r="AE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8"/>
      <c r="U266" s="8"/>
      <c r="V266" s="6"/>
      <c r="W266" s="6"/>
      <c r="X266" s="6"/>
      <c r="Y266" s="6"/>
      <c r="Z266" s="6"/>
      <c r="AA266" s="6"/>
      <c r="AB266" s="6"/>
      <c r="AC266" s="6"/>
      <c r="AD266" s="6"/>
      <c r="AE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8"/>
      <c r="U267" s="8"/>
      <c r="V267" s="6"/>
      <c r="W267" s="6"/>
      <c r="X267" s="6"/>
      <c r="Y267" s="6"/>
      <c r="Z267" s="6"/>
      <c r="AA267" s="6"/>
      <c r="AB267" s="6"/>
      <c r="AC267" s="6"/>
      <c r="AD267" s="6"/>
      <c r="AE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8"/>
      <c r="U268" s="8"/>
      <c r="V268" s="6"/>
      <c r="W268" s="6"/>
      <c r="X268" s="6"/>
      <c r="Y268" s="6"/>
      <c r="Z268" s="6"/>
      <c r="AA268" s="6"/>
      <c r="AB268" s="6"/>
      <c r="AC268" s="6"/>
      <c r="AD268" s="6"/>
      <c r="AE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8"/>
      <c r="U269" s="8"/>
      <c r="V269" s="6"/>
      <c r="W269" s="6"/>
      <c r="X269" s="6"/>
      <c r="Y269" s="6"/>
      <c r="Z269" s="6"/>
      <c r="AA269" s="6"/>
      <c r="AB269" s="6"/>
      <c r="AC269" s="6"/>
      <c r="AD269" s="6"/>
      <c r="AE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8"/>
      <c r="U270" s="8"/>
      <c r="V270" s="6"/>
      <c r="W270" s="6"/>
      <c r="X270" s="6"/>
      <c r="Y270" s="6"/>
      <c r="Z270" s="6"/>
      <c r="AA270" s="6"/>
      <c r="AB270" s="6"/>
      <c r="AC270" s="6"/>
      <c r="AD270" s="6"/>
      <c r="AE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8"/>
      <c r="U271" s="8"/>
      <c r="V271" s="6"/>
      <c r="W271" s="6"/>
      <c r="X271" s="6"/>
      <c r="Y271" s="6"/>
      <c r="Z271" s="6"/>
      <c r="AA271" s="6"/>
      <c r="AB271" s="6"/>
      <c r="AC271" s="6"/>
      <c r="AD271" s="6"/>
      <c r="AE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8"/>
      <c r="U272" s="8"/>
      <c r="V272" s="6"/>
      <c r="W272" s="6"/>
      <c r="X272" s="6"/>
      <c r="Y272" s="6"/>
      <c r="Z272" s="6"/>
      <c r="AA272" s="6"/>
      <c r="AB272" s="6"/>
      <c r="AC272" s="6"/>
      <c r="AD272" s="6"/>
      <c r="AE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8"/>
      <c r="U273" s="8"/>
      <c r="V273" s="6"/>
      <c r="W273" s="6"/>
      <c r="X273" s="6"/>
      <c r="Y273" s="6"/>
      <c r="Z273" s="6"/>
      <c r="AA273" s="6"/>
      <c r="AB273" s="6"/>
      <c r="AC273" s="6"/>
      <c r="AD273" s="6"/>
      <c r="AE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8"/>
      <c r="U274" s="8"/>
      <c r="V274" s="6"/>
      <c r="W274" s="6"/>
      <c r="X274" s="6"/>
      <c r="Y274" s="6"/>
      <c r="Z274" s="6"/>
      <c r="AA274" s="6"/>
      <c r="AB274" s="6"/>
      <c r="AC274" s="6"/>
      <c r="AD274" s="6"/>
      <c r="AE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8"/>
      <c r="U275" s="8"/>
      <c r="V275" s="6"/>
      <c r="W275" s="6"/>
      <c r="X275" s="6"/>
      <c r="Y275" s="6"/>
      <c r="Z275" s="6"/>
      <c r="AA275" s="6"/>
      <c r="AB275" s="6"/>
      <c r="AC275" s="6"/>
      <c r="AD275" s="6"/>
      <c r="AE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8"/>
      <c r="U276" s="8"/>
      <c r="V276" s="6"/>
      <c r="W276" s="6"/>
      <c r="X276" s="6"/>
      <c r="Y276" s="6"/>
      <c r="Z276" s="6"/>
      <c r="AA276" s="6"/>
      <c r="AB276" s="6"/>
      <c r="AC276" s="6"/>
      <c r="AD276" s="6"/>
      <c r="AE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8"/>
      <c r="U277" s="8"/>
      <c r="V277" s="6"/>
      <c r="W277" s="6"/>
      <c r="X277" s="6"/>
      <c r="Y277" s="6"/>
      <c r="Z277" s="6"/>
      <c r="AA277" s="6"/>
      <c r="AB277" s="6"/>
      <c r="AC277" s="6"/>
      <c r="AD277" s="6"/>
      <c r="AE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8"/>
      <c r="U278" s="8"/>
      <c r="V278" s="6"/>
      <c r="W278" s="6"/>
      <c r="X278" s="6"/>
      <c r="Y278" s="6"/>
      <c r="Z278" s="6"/>
      <c r="AA278" s="6"/>
      <c r="AB278" s="6"/>
      <c r="AC278" s="6"/>
      <c r="AD278" s="6"/>
      <c r="AE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8"/>
      <c r="U279" s="8"/>
      <c r="V279" s="6"/>
      <c r="W279" s="6"/>
      <c r="X279" s="6"/>
      <c r="Y279" s="6"/>
      <c r="Z279" s="6"/>
      <c r="AA279" s="6"/>
      <c r="AB279" s="6"/>
      <c r="AC279" s="6"/>
      <c r="AD279" s="6"/>
      <c r="AE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8"/>
      <c r="U280" s="8"/>
      <c r="V280" s="6"/>
      <c r="W280" s="6"/>
      <c r="X280" s="6"/>
      <c r="Y280" s="6"/>
      <c r="Z280" s="6"/>
      <c r="AA280" s="6"/>
      <c r="AB280" s="6"/>
      <c r="AC280" s="6"/>
      <c r="AD280" s="6"/>
      <c r="AE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8"/>
      <c r="U281" s="8"/>
      <c r="V281" s="6"/>
      <c r="W281" s="6"/>
      <c r="X281" s="6"/>
      <c r="Y281" s="6"/>
      <c r="Z281" s="6"/>
      <c r="AA281" s="6"/>
      <c r="AB281" s="6"/>
      <c r="AC281" s="6"/>
      <c r="AD281" s="6"/>
      <c r="AE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8"/>
      <c r="U282" s="8"/>
      <c r="V282" s="6"/>
      <c r="W282" s="6"/>
      <c r="X282" s="6"/>
      <c r="Y282" s="6"/>
      <c r="Z282" s="6"/>
      <c r="AA282" s="6"/>
      <c r="AB282" s="6"/>
      <c r="AC282" s="6"/>
      <c r="AD282" s="6"/>
      <c r="AE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8"/>
      <c r="U283" s="8"/>
      <c r="V283" s="6"/>
      <c r="W283" s="6"/>
      <c r="X283" s="6"/>
      <c r="Y283" s="6"/>
      <c r="Z283" s="6"/>
      <c r="AA283" s="6"/>
      <c r="AB283" s="6"/>
      <c r="AC283" s="6"/>
      <c r="AD283" s="6"/>
      <c r="AE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8"/>
      <c r="U284" s="8"/>
      <c r="V284" s="6"/>
      <c r="W284" s="6"/>
      <c r="X284" s="6"/>
      <c r="Y284" s="6"/>
      <c r="Z284" s="6"/>
      <c r="AA284" s="6"/>
      <c r="AB284" s="6"/>
      <c r="AC284" s="6"/>
      <c r="AD284" s="6"/>
      <c r="AE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8"/>
      <c r="U285" s="8"/>
      <c r="V285" s="6"/>
      <c r="W285" s="6"/>
      <c r="X285" s="6"/>
      <c r="Y285" s="6"/>
      <c r="Z285" s="6"/>
      <c r="AA285" s="6"/>
      <c r="AB285" s="6"/>
      <c r="AC285" s="6"/>
      <c r="AD285" s="6"/>
      <c r="AE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8"/>
      <c r="U286" s="8"/>
      <c r="V286" s="6"/>
      <c r="W286" s="6"/>
      <c r="X286" s="6"/>
      <c r="Y286" s="6"/>
      <c r="Z286" s="6"/>
      <c r="AA286" s="6"/>
      <c r="AB286" s="6"/>
      <c r="AC286" s="6"/>
      <c r="AD286" s="6"/>
      <c r="AE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8"/>
      <c r="U287" s="8"/>
      <c r="V287" s="6"/>
      <c r="W287" s="6"/>
      <c r="X287" s="6"/>
      <c r="Y287" s="6"/>
      <c r="Z287" s="6"/>
      <c r="AA287" s="6"/>
      <c r="AB287" s="6"/>
      <c r="AC287" s="6"/>
      <c r="AD287" s="6"/>
      <c r="AE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8"/>
      <c r="U288" s="8"/>
      <c r="V288" s="6"/>
      <c r="W288" s="6"/>
      <c r="X288" s="6"/>
      <c r="Y288" s="6"/>
      <c r="Z288" s="6"/>
      <c r="AA288" s="6"/>
      <c r="AB288" s="6"/>
      <c r="AC288" s="6"/>
      <c r="AD288" s="6"/>
      <c r="AE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8"/>
      <c r="U289" s="8"/>
      <c r="V289" s="6"/>
      <c r="W289" s="6"/>
      <c r="X289" s="6"/>
      <c r="Y289" s="6"/>
      <c r="Z289" s="6"/>
      <c r="AA289" s="6"/>
      <c r="AB289" s="6"/>
      <c r="AC289" s="6"/>
      <c r="AD289" s="6"/>
      <c r="AE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8"/>
      <c r="U290" s="8"/>
      <c r="V290" s="6"/>
      <c r="W290" s="6"/>
      <c r="X290" s="6"/>
      <c r="Y290" s="6"/>
      <c r="Z290" s="6"/>
      <c r="AA290" s="6"/>
      <c r="AB290" s="6"/>
      <c r="AC290" s="6"/>
      <c r="AD290" s="6"/>
      <c r="AE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8"/>
      <c r="U291" s="8"/>
      <c r="V291" s="6"/>
      <c r="W291" s="6"/>
      <c r="X291" s="6"/>
      <c r="Y291" s="6"/>
      <c r="Z291" s="6"/>
      <c r="AA291" s="6"/>
      <c r="AB291" s="6"/>
      <c r="AC291" s="6"/>
      <c r="AD291" s="6"/>
      <c r="AE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8"/>
      <c r="U292" s="8"/>
      <c r="V292" s="6"/>
      <c r="W292" s="6"/>
      <c r="X292" s="6"/>
      <c r="Y292" s="6"/>
      <c r="Z292" s="6"/>
      <c r="AA292" s="6"/>
      <c r="AB292" s="6"/>
      <c r="AC292" s="6"/>
      <c r="AD292" s="6"/>
      <c r="AE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8"/>
      <c r="U293" s="8"/>
      <c r="V293" s="6"/>
      <c r="W293" s="6"/>
      <c r="X293" s="6"/>
      <c r="Y293" s="6"/>
      <c r="Z293" s="6"/>
      <c r="AA293" s="6"/>
      <c r="AB293" s="6"/>
      <c r="AC293" s="6"/>
      <c r="AD293" s="6"/>
      <c r="AE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8"/>
      <c r="U294" s="8"/>
      <c r="V294" s="6"/>
      <c r="W294" s="6"/>
      <c r="X294" s="6"/>
      <c r="Y294" s="6"/>
      <c r="Z294" s="6"/>
      <c r="AA294" s="6"/>
      <c r="AB294" s="6"/>
      <c r="AC294" s="6"/>
      <c r="AD294" s="6"/>
      <c r="AE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8"/>
      <c r="U295" s="8"/>
      <c r="V295" s="6"/>
      <c r="W295" s="6"/>
      <c r="X295" s="6"/>
      <c r="Y295" s="6"/>
      <c r="Z295" s="6"/>
      <c r="AA295" s="6"/>
      <c r="AB295" s="6"/>
      <c r="AC295" s="6"/>
      <c r="AD295" s="6"/>
      <c r="AE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8"/>
      <c r="U296" s="8"/>
      <c r="V296" s="6"/>
      <c r="W296" s="6"/>
      <c r="X296" s="6"/>
      <c r="Y296" s="6"/>
      <c r="Z296" s="6"/>
      <c r="AA296" s="6"/>
      <c r="AB296" s="6"/>
      <c r="AC296" s="6"/>
      <c r="AD296" s="6"/>
      <c r="AE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8"/>
      <c r="U297" s="8"/>
      <c r="V297" s="6"/>
      <c r="W297" s="6"/>
      <c r="X297" s="6"/>
      <c r="Y297" s="6"/>
      <c r="Z297" s="6"/>
      <c r="AA297" s="6"/>
      <c r="AB297" s="6"/>
      <c r="AC297" s="6"/>
      <c r="AD297" s="6"/>
      <c r="AE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8"/>
      <c r="U298" s="8"/>
      <c r="V298" s="6"/>
      <c r="W298" s="6"/>
      <c r="X298" s="6"/>
      <c r="Y298" s="6"/>
      <c r="Z298" s="6"/>
      <c r="AA298" s="6"/>
      <c r="AB298" s="6"/>
      <c r="AC298" s="6"/>
      <c r="AD298" s="6"/>
      <c r="AE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8"/>
      <c r="U299" s="8"/>
      <c r="V299" s="6"/>
      <c r="W299" s="6"/>
      <c r="X299" s="6"/>
      <c r="Y299" s="6"/>
      <c r="Z299" s="6"/>
      <c r="AA299" s="6"/>
      <c r="AB299" s="6"/>
      <c r="AC299" s="6"/>
      <c r="AD299" s="6"/>
      <c r="AE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8"/>
      <c r="U300" s="8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8"/>
      <c r="U301" s="8"/>
      <c r="V301" s="6"/>
      <c r="W301" s="6"/>
      <c r="X301" s="6"/>
      <c r="Y301" s="6"/>
      <c r="Z301" s="6"/>
      <c r="AA301" s="6"/>
      <c r="AB301" s="6"/>
      <c r="AC301" s="6"/>
      <c r="AD301" s="6"/>
      <c r="AE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8"/>
      <c r="U302" s="8"/>
      <c r="V302" s="6"/>
      <c r="W302" s="6"/>
      <c r="X302" s="6"/>
      <c r="Y302" s="6"/>
      <c r="Z302" s="6"/>
      <c r="AA302" s="6"/>
      <c r="AB302" s="6"/>
      <c r="AC302" s="6"/>
      <c r="AD302" s="6"/>
      <c r="AE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8"/>
      <c r="U303" s="8"/>
      <c r="V303" s="6"/>
      <c r="W303" s="6"/>
      <c r="X303" s="6"/>
      <c r="Y303" s="6"/>
      <c r="Z303" s="6"/>
      <c r="AA303" s="6"/>
      <c r="AB303" s="6"/>
      <c r="AC303" s="6"/>
      <c r="AD303" s="6"/>
      <c r="AE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8"/>
      <c r="U304" s="8"/>
      <c r="V304" s="6"/>
      <c r="W304" s="6"/>
      <c r="X304" s="6"/>
      <c r="Y304" s="6"/>
      <c r="Z304" s="6"/>
      <c r="AA304" s="6"/>
      <c r="AB304" s="6"/>
      <c r="AC304" s="6"/>
      <c r="AD304" s="6"/>
      <c r="AE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8"/>
      <c r="U305" s="8"/>
      <c r="V305" s="6"/>
      <c r="W305" s="6"/>
      <c r="X305" s="6"/>
      <c r="Y305" s="6"/>
      <c r="Z305" s="6"/>
      <c r="AA305" s="6"/>
      <c r="AB305" s="6"/>
      <c r="AC305" s="6"/>
      <c r="AD305" s="6"/>
      <c r="AE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8"/>
      <c r="U306" s="8"/>
      <c r="V306" s="6"/>
      <c r="W306" s="6"/>
      <c r="X306" s="6"/>
      <c r="Y306" s="6"/>
      <c r="Z306" s="6"/>
      <c r="AA306" s="6"/>
      <c r="AB306" s="6"/>
      <c r="AC306" s="6"/>
      <c r="AD306" s="6"/>
      <c r="AE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8"/>
      <c r="U307" s="8"/>
      <c r="V307" s="6"/>
      <c r="W307" s="6"/>
      <c r="X307" s="6"/>
      <c r="Y307" s="6"/>
      <c r="Z307" s="6"/>
      <c r="AA307" s="6"/>
      <c r="AB307" s="6"/>
      <c r="AC307" s="6"/>
      <c r="AD307" s="6"/>
      <c r="AE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8"/>
      <c r="U308" s="8"/>
      <c r="V308" s="6"/>
      <c r="W308" s="6"/>
      <c r="X308" s="6"/>
      <c r="Y308" s="6"/>
      <c r="Z308" s="6"/>
      <c r="AA308" s="6"/>
      <c r="AB308" s="6"/>
      <c r="AC308" s="6"/>
      <c r="AD308" s="6"/>
      <c r="AE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8"/>
      <c r="U309" s="8"/>
      <c r="V309" s="6"/>
      <c r="W309" s="6"/>
      <c r="X309" s="6"/>
      <c r="Y309" s="6"/>
      <c r="Z309" s="6"/>
      <c r="AA309" s="6"/>
      <c r="AB309" s="6"/>
      <c r="AC309" s="6"/>
      <c r="AD309" s="6"/>
      <c r="AE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8"/>
      <c r="U310" s="8"/>
      <c r="V310" s="6"/>
      <c r="W310" s="6"/>
      <c r="X310" s="6"/>
      <c r="Y310" s="6"/>
      <c r="Z310" s="6"/>
      <c r="AA310" s="6"/>
      <c r="AB310" s="6"/>
      <c r="AC310" s="6"/>
      <c r="AD310" s="6"/>
      <c r="AE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8"/>
      <c r="U311" s="8"/>
      <c r="V311" s="6"/>
      <c r="W311" s="6"/>
      <c r="X311" s="6"/>
      <c r="Y311" s="6"/>
      <c r="Z311" s="6"/>
      <c r="AA311" s="6"/>
      <c r="AB311" s="6"/>
      <c r="AC311" s="6"/>
      <c r="AD311" s="6"/>
      <c r="AE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8"/>
      <c r="U312" s="8"/>
      <c r="V312" s="6"/>
      <c r="W312" s="6"/>
      <c r="X312" s="6"/>
      <c r="Y312" s="6"/>
      <c r="Z312" s="6"/>
      <c r="AA312" s="6"/>
      <c r="AB312" s="6"/>
      <c r="AC312" s="6"/>
      <c r="AD312" s="6"/>
      <c r="AE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8"/>
      <c r="U313" s="8"/>
      <c r="V313" s="6"/>
      <c r="W313" s="6"/>
      <c r="X313" s="6"/>
      <c r="Y313" s="6"/>
      <c r="Z313" s="6"/>
      <c r="AA313" s="6"/>
      <c r="AB313" s="6"/>
      <c r="AC313" s="6"/>
      <c r="AD313" s="6"/>
      <c r="AE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8"/>
      <c r="U314" s="8"/>
      <c r="V314" s="6"/>
      <c r="W314" s="6"/>
      <c r="X314" s="6"/>
      <c r="Y314" s="6"/>
      <c r="Z314" s="6"/>
      <c r="AA314" s="6"/>
      <c r="AB314" s="6"/>
      <c r="AC314" s="6"/>
      <c r="AD314" s="6"/>
      <c r="AE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8"/>
      <c r="U315" s="8"/>
      <c r="V315" s="6"/>
      <c r="W315" s="6"/>
      <c r="X315" s="6"/>
      <c r="Y315" s="6"/>
      <c r="Z315" s="6"/>
      <c r="AA315" s="6"/>
      <c r="AB315" s="6"/>
      <c r="AC315" s="6"/>
      <c r="AD315" s="6"/>
      <c r="AE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8"/>
      <c r="U316" s="8"/>
      <c r="V316" s="6"/>
      <c r="W316" s="6"/>
      <c r="X316" s="6"/>
      <c r="Y316" s="6"/>
      <c r="Z316" s="6"/>
      <c r="AA316" s="6"/>
      <c r="AB316" s="6"/>
      <c r="AC316" s="6"/>
      <c r="AD316" s="6"/>
      <c r="AE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8"/>
      <c r="U317" s="8"/>
      <c r="V317" s="6"/>
      <c r="W317" s="6"/>
      <c r="X317" s="6"/>
      <c r="Y317" s="6"/>
      <c r="Z317" s="6"/>
      <c r="AA317" s="6"/>
      <c r="AB317" s="6"/>
      <c r="AC317" s="6"/>
      <c r="AD317" s="6"/>
      <c r="AE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8"/>
      <c r="U318" s="8"/>
      <c r="V318" s="6"/>
      <c r="W318" s="6"/>
      <c r="X318" s="6"/>
      <c r="Y318" s="6"/>
      <c r="Z318" s="6"/>
      <c r="AA318" s="6"/>
      <c r="AB318" s="6"/>
      <c r="AC318" s="6"/>
      <c r="AD318" s="6"/>
      <c r="AE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8"/>
      <c r="U319" s="8"/>
      <c r="V319" s="6"/>
      <c r="W319" s="6"/>
      <c r="X319" s="6"/>
      <c r="Y319" s="6"/>
      <c r="Z319" s="6"/>
      <c r="AA319" s="6"/>
      <c r="AB319" s="6"/>
      <c r="AC319" s="6"/>
      <c r="AD319" s="6"/>
      <c r="AE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8"/>
      <c r="U320" s="8"/>
      <c r="V320" s="6"/>
      <c r="W320" s="6"/>
      <c r="X320" s="6"/>
      <c r="Y320" s="6"/>
      <c r="Z320" s="6"/>
      <c r="AA320" s="6"/>
      <c r="AB320" s="6"/>
      <c r="AC320" s="6"/>
      <c r="AD320" s="6"/>
      <c r="AE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8"/>
      <c r="U321" s="8"/>
      <c r="V321" s="6"/>
      <c r="W321" s="6"/>
      <c r="X321" s="6"/>
      <c r="Y321" s="6"/>
      <c r="Z321" s="6"/>
      <c r="AA321" s="6"/>
      <c r="AB321" s="6"/>
      <c r="AC321" s="6"/>
      <c r="AD321" s="6"/>
      <c r="AE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8"/>
      <c r="U322" s="8"/>
      <c r="V322" s="6"/>
      <c r="W322" s="6"/>
      <c r="X322" s="6"/>
      <c r="Y322" s="6"/>
      <c r="Z322" s="6"/>
      <c r="AA322" s="6"/>
      <c r="AB322" s="6"/>
      <c r="AC322" s="6"/>
      <c r="AD322" s="6"/>
      <c r="AE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8"/>
      <c r="U323" s="8"/>
      <c r="V323" s="6"/>
      <c r="W323" s="6"/>
      <c r="X323" s="6"/>
      <c r="Y323" s="6"/>
      <c r="Z323" s="6"/>
      <c r="AA323" s="6"/>
      <c r="AB323" s="6"/>
      <c r="AC323" s="6"/>
      <c r="AD323" s="6"/>
      <c r="AE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8"/>
      <c r="U324" s="8"/>
      <c r="V324" s="6"/>
      <c r="W324" s="6"/>
      <c r="X324" s="6"/>
      <c r="Y324" s="6"/>
      <c r="Z324" s="6"/>
      <c r="AA324" s="6"/>
      <c r="AB324" s="6"/>
      <c r="AC324" s="6"/>
      <c r="AD324" s="6"/>
      <c r="AE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8"/>
      <c r="U325" s="8"/>
      <c r="V325" s="6"/>
      <c r="W325" s="6"/>
      <c r="X325" s="6"/>
      <c r="Y325" s="6"/>
      <c r="Z325" s="6"/>
      <c r="AA325" s="6"/>
      <c r="AB325" s="6"/>
      <c r="AC325" s="6"/>
      <c r="AD325" s="6"/>
      <c r="AE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8"/>
      <c r="U326" s="8"/>
      <c r="V326" s="6"/>
      <c r="W326" s="6"/>
      <c r="X326" s="6"/>
      <c r="Y326" s="6"/>
      <c r="Z326" s="6"/>
      <c r="AA326" s="6"/>
      <c r="AB326" s="6"/>
      <c r="AC326" s="6"/>
      <c r="AD326" s="6"/>
      <c r="AE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8"/>
      <c r="U327" s="8"/>
      <c r="V327" s="6"/>
      <c r="W327" s="6"/>
      <c r="X327" s="6"/>
      <c r="Y327" s="6"/>
      <c r="Z327" s="6"/>
      <c r="AA327" s="6"/>
      <c r="AB327" s="6"/>
      <c r="AC327" s="6"/>
      <c r="AD327" s="6"/>
      <c r="AE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8"/>
      <c r="U328" s="8"/>
      <c r="V328" s="6"/>
      <c r="W328" s="6"/>
      <c r="X328" s="6"/>
      <c r="Y328" s="6"/>
      <c r="Z328" s="6"/>
      <c r="AA328" s="6"/>
      <c r="AB328" s="6"/>
      <c r="AC328" s="6"/>
      <c r="AD328" s="6"/>
      <c r="AE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8"/>
      <c r="U329" s="8"/>
      <c r="V329" s="6"/>
      <c r="W329" s="6"/>
      <c r="X329" s="6"/>
      <c r="Y329" s="6"/>
      <c r="Z329" s="6"/>
      <c r="AA329" s="6"/>
      <c r="AB329" s="6"/>
      <c r="AC329" s="6"/>
      <c r="AD329" s="6"/>
      <c r="AE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8"/>
      <c r="U330" s="8"/>
      <c r="V330" s="6"/>
      <c r="W330" s="6"/>
      <c r="X330" s="6"/>
      <c r="Y330" s="6"/>
      <c r="Z330" s="6"/>
      <c r="AA330" s="6"/>
      <c r="AB330" s="6"/>
      <c r="AC330" s="6"/>
      <c r="AD330" s="6"/>
      <c r="AE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8"/>
      <c r="U331" s="8"/>
      <c r="V331" s="6"/>
      <c r="W331" s="6"/>
      <c r="X331" s="6"/>
      <c r="Y331" s="6"/>
      <c r="Z331" s="6"/>
      <c r="AA331" s="6"/>
      <c r="AB331" s="6"/>
      <c r="AC331" s="6"/>
      <c r="AD331" s="6"/>
      <c r="AE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8"/>
      <c r="U332" s="8"/>
      <c r="V332" s="6"/>
      <c r="W332" s="6"/>
      <c r="X332" s="6"/>
      <c r="Y332" s="6"/>
      <c r="Z332" s="6"/>
      <c r="AA332" s="6"/>
      <c r="AB332" s="6"/>
      <c r="AC332" s="6"/>
      <c r="AD332" s="6"/>
      <c r="AE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8"/>
      <c r="U333" s="8"/>
      <c r="V333" s="6"/>
      <c r="W333" s="6"/>
      <c r="X333" s="6"/>
      <c r="Y333" s="6"/>
      <c r="Z333" s="6"/>
      <c r="AA333" s="6"/>
      <c r="AB333" s="6"/>
      <c r="AC333" s="6"/>
      <c r="AD333" s="6"/>
      <c r="AE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8"/>
      <c r="U334" s="8"/>
      <c r="V334" s="6"/>
      <c r="W334" s="6"/>
      <c r="X334" s="6"/>
      <c r="Y334" s="6"/>
      <c r="Z334" s="6"/>
      <c r="AA334" s="6"/>
      <c r="AB334" s="6"/>
      <c r="AC334" s="6"/>
      <c r="AD334" s="6"/>
      <c r="AE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8"/>
      <c r="U335" s="8"/>
      <c r="V335" s="6"/>
      <c r="W335" s="6"/>
      <c r="X335" s="6"/>
      <c r="Y335" s="6"/>
      <c r="Z335" s="6"/>
      <c r="AA335" s="6"/>
      <c r="AB335" s="6"/>
      <c r="AC335" s="6"/>
      <c r="AD335" s="6"/>
      <c r="AE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8"/>
      <c r="U336" s="8"/>
      <c r="V336" s="6"/>
      <c r="W336" s="6"/>
      <c r="X336" s="6"/>
      <c r="Y336" s="6"/>
      <c r="Z336" s="6"/>
      <c r="AA336" s="6"/>
      <c r="AB336" s="6"/>
      <c r="AC336" s="6"/>
      <c r="AD336" s="6"/>
      <c r="AE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8"/>
      <c r="U337" s="8"/>
      <c r="V337" s="6"/>
      <c r="W337" s="6"/>
      <c r="X337" s="6"/>
      <c r="Y337" s="6"/>
      <c r="Z337" s="6"/>
      <c r="AA337" s="6"/>
      <c r="AB337" s="6"/>
      <c r="AC337" s="6"/>
      <c r="AD337" s="6"/>
      <c r="AE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8"/>
      <c r="U338" s="8"/>
      <c r="V338" s="6"/>
      <c r="W338" s="6"/>
      <c r="X338" s="6"/>
      <c r="Y338" s="6"/>
      <c r="Z338" s="6"/>
      <c r="AA338" s="6"/>
      <c r="AB338" s="6"/>
      <c r="AC338" s="6"/>
      <c r="AD338" s="6"/>
      <c r="AE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8"/>
      <c r="U339" s="8"/>
      <c r="V339" s="6"/>
      <c r="W339" s="6"/>
      <c r="X339" s="6"/>
      <c r="Y339" s="6"/>
      <c r="Z339" s="6"/>
      <c r="AA339" s="6"/>
      <c r="AB339" s="6"/>
      <c r="AC339" s="6"/>
      <c r="AD339" s="6"/>
      <c r="AE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8"/>
      <c r="U340" s="8"/>
      <c r="V340" s="6"/>
      <c r="W340" s="6"/>
      <c r="X340" s="6"/>
      <c r="Y340" s="6"/>
      <c r="Z340" s="6"/>
      <c r="AA340" s="6"/>
      <c r="AB340" s="6"/>
      <c r="AC340" s="6"/>
      <c r="AD340" s="6"/>
      <c r="AE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8"/>
      <c r="U341" s="8"/>
      <c r="V341" s="6"/>
      <c r="W341" s="6"/>
      <c r="X341" s="6"/>
      <c r="Y341" s="6"/>
      <c r="Z341" s="6"/>
      <c r="AA341" s="6"/>
      <c r="AB341" s="6"/>
      <c r="AC341" s="6"/>
      <c r="AD341" s="6"/>
      <c r="AE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8"/>
      <c r="U342" s="8"/>
      <c r="V342" s="6"/>
      <c r="W342" s="6"/>
      <c r="X342" s="6"/>
      <c r="Y342" s="6"/>
      <c r="Z342" s="6"/>
      <c r="AA342" s="6"/>
      <c r="AB342" s="6"/>
      <c r="AC342" s="6"/>
      <c r="AD342" s="6"/>
      <c r="AE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8"/>
      <c r="U343" s="8"/>
      <c r="V343" s="6"/>
      <c r="W343" s="6"/>
      <c r="X343" s="6"/>
      <c r="Y343" s="6"/>
      <c r="Z343" s="6"/>
      <c r="AA343" s="6"/>
      <c r="AB343" s="6"/>
      <c r="AC343" s="6"/>
      <c r="AD343" s="6"/>
      <c r="AE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8"/>
      <c r="U344" s="8"/>
      <c r="V344" s="6"/>
      <c r="W344" s="6"/>
      <c r="X344" s="6"/>
      <c r="Y344" s="6"/>
      <c r="Z344" s="6"/>
      <c r="AA344" s="6"/>
      <c r="AB344" s="6"/>
      <c r="AC344" s="6"/>
      <c r="AD344" s="6"/>
      <c r="AE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8"/>
      <c r="U345" s="8"/>
      <c r="V345" s="6"/>
      <c r="W345" s="6"/>
      <c r="X345" s="6"/>
      <c r="Y345" s="6"/>
      <c r="Z345" s="6"/>
      <c r="AA345" s="6"/>
      <c r="AB345" s="6"/>
      <c r="AC345" s="6"/>
      <c r="AD345" s="6"/>
      <c r="AE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8"/>
      <c r="U346" s="8"/>
      <c r="V346" s="6"/>
      <c r="W346" s="6"/>
      <c r="X346" s="6"/>
      <c r="Y346" s="6"/>
      <c r="Z346" s="6"/>
      <c r="AA346" s="6"/>
      <c r="AB346" s="6"/>
      <c r="AC346" s="6"/>
      <c r="AD346" s="6"/>
      <c r="AE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8"/>
      <c r="U347" s="8"/>
      <c r="V347" s="6"/>
      <c r="W347" s="6"/>
      <c r="X347" s="6"/>
      <c r="Y347" s="6"/>
      <c r="Z347" s="6"/>
      <c r="AA347" s="6"/>
      <c r="AB347" s="6"/>
      <c r="AC347" s="6"/>
      <c r="AD347" s="6"/>
      <c r="AE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8"/>
      <c r="U348" s="8"/>
      <c r="V348" s="6"/>
      <c r="W348" s="6"/>
      <c r="X348" s="6"/>
      <c r="Y348" s="6"/>
      <c r="Z348" s="6"/>
      <c r="AA348" s="6"/>
      <c r="AB348" s="6"/>
      <c r="AC348" s="6"/>
      <c r="AD348" s="6"/>
      <c r="AE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8"/>
      <c r="U349" s="8"/>
      <c r="V349" s="6"/>
      <c r="W349" s="6"/>
      <c r="X349" s="6"/>
      <c r="Y349" s="6"/>
      <c r="Z349" s="6"/>
      <c r="AA349" s="6"/>
      <c r="AB349" s="6"/>
      <c r="AC349" s="6"/>
      <c r="AD349" s="6"/>
      <c r="AE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8"/>
      <c r="U350" s="8"/>
      <c r="V350" s="6"/>
      <c r="W350" s="6"/>
      <c r="X350" s="6"/>
      <c r="Y350" s="6"/>
      <c r="Z350" s="6"/>
      <c r="AA350" s="6"/>
      <c r="AB350" s="6"/>
      <c r="AC350" s="6"/>
      <c r="AD350" s="6"/>
      <c r="AE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8"/>
      <c r="U351" s="8"/>
      <c r="V351" s="6"/>
      <c r="W351" s="6"/>
      <c r="X351" s="6"/>
      <c r="Y351" s="6"/>
      <c r="Z351" s="6"/>
      <c r="AA351" s="6"/>
      <c r="AB351" s="6"/>
      <c r="AC351" s="6"/>
      <c r="AD351" s="6"/>
      <c r="AE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8"/>
      <c r="U352" s="8"/>
      <c r="V352" s="6"/>
      <c r="W352" s="6"/>
      <c r="X352" s="6"/>
      <c r="Y352" s="6"/>
      <c r="Z352" s="6"/>
      <c r="AA352" s="6"/>
      <c r="AB352" s="6"/>
      <c r="AC352" s="6"/>
      <c r="AD352" s="6"/>
      <c r="AE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8"/>
      <c r="U353" s="8"/>
      <c r="V353" s="6"/>
      <c r="W353" s="6"/>
      <c r="X353" s="6"/>
      <c r="Y353" s="6"/>
      <c r="Z353" s="6"/>
      <c r="AA353" s="6"/>
      <c r="AB353" s="6"/>
      <c r="AC353" s="6"/>
      <c r="AD353" s="6"/>
      <c r="AE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8"/>
      <c r="U354" s="8"/>
      <c r="V354" s="6"/>
      <c r="W354" s="6"/>
      <c r="X354" s="6"/>
      <c r="Y354" s="6"/>
      <c r="Z354" s="6"/>
      <c r="AA354" s="6"/>
      <c r="AB354" s="6"/>
      <c r="AC354" s="6"/>
      <c r="AD354" s="6"/>
      <c r="AE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8"/>
      <c r="U355" s="8"/>
      <c r="V355" s="6"/>
      <c r="W355" s="6"/>
      <c r="X355" s="6"/>
      <c r="Y355" s="6"/>
      <c r="Z355" s="6"/>
      <c r="AA355" s="6"/>
      <c r="AB355" s="6"/>
      <c r="AC355" s="6"/>
      <c r="AD355" s="6"/>
      <c r="AE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8"/>
      <c r="U356" s="8"/>
      <c r="V356" s="6"/>
      <c r="W356" s="6"/>
      <c r="X356" s="6"/>
      <c r="Y356" s="6"/>
      <c r="Z356" s="6"/>
      <c r="AA356" s="6"/>
      <c r="AB356" s="6"/>
      <c r="AC356" s="6"/>
      <c r="AD356" s="6"/>
      <c r="AE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8"/>
      <c r="U357" s="8"/>
      <c r="V357" s="6"/>
      <c r="W357" s="6"/>
      <c r="X357" s="6"/>
      <c r="Y357" s="6"/>
      <c r="Z357" s="6"/>
      <c r="AA357" s="6"/>
      <c r="AB357" s="6"/>
      <c r="AC357" s="6"/>
      <c r="AD357" s="6"/>
      <c r="AE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8"/>
      <c r="U358" s="8"/>
      <c r="V358" s="6"/>
      <c r="W358" s="6"/>
      <c r="X358" s="6"/>
      <c r="Y358" s="6"/>
      <c r="Z358" s="6"/>
      <c r="AA358" s="6"/>
      <c r="AB358" s="6"/>
      <c r="AC358" s="6"/>
      <c r="AD358" s="6"/>
      <c r="AE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8"/>
      <c r="U359" s="8"/>
      <c r="V359" s="6"/>
      <c r="W359" s="6"/>
      <c r="X359" s="6"/>
      <c r="Y359" s="6"/>
      <c r="Z359" s="6"/>
      <c r="AA359" s="6"/>
      <c r="AB359" s="6"/>
      <c r="AC359" s="6"/>
      <c r="AD359" s="6"/>
      <c r="AE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8"/>
      <c r="U360" s="8"/>
      <c r="V360" s="6"/>
      <c r="W360" s="6"/>
      <c r="X360" s="6"/>
      <c r="Y360" s="6"/>
      <c r="Z360" s="6"/>
      <c r="AA360" s="6"/>
      <c r="AB360" s="6"/>
      <c r="AC360" s="6"/>
      <c r="AD360" s="6"/>
      <c r="AE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8"/>
      <c r="U361" s="8"/>
      <c r="V361" s="6"/>
      <c r="W361" s="6"/>
      <c r="X361" s="6"/>
      <c r="Y361" s="6"/>
      <c r="Z361" s="6"/>
      <c r="AA361" s="6"/>
      <c r="AB361" s="6"/>
      <c r="AC361" s="6"/>
      <c r="AD361" s="6"/>
      <c r="AE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8"/>
      <c r="U362" s="8"/>
      <c r="V362" s="6"/>
      <c r="W362" s="6"/>
      <c r="X362" s="6"/>
      <c r="Y362" s="6"/>
      <c r="Z362" s="6"/>
      <c r="AA362" s="6"/>
      <c r="AB362" s="6"/>
      <c r="AC362" s="6"/>
      <c r="AD362" s="6"/>
      <c r="AE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8"/>
      <c r="U363" s="8"/>
      <c r="V363" s="6"/>
      <c r="W363" s="6"/>
      <c r="X363" s="6"/>
      <c r="Y363" s="6"/>
      <c r="Z363" s="6"/>
      <c r="AA363" s="6"/>
      <c r="AB363" s="6"/>
      <c r="AC363" s="6"/>
      <c r="AD363" s="6"/>
      <c r="AE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8"/>
      <c r="U364" s="8"/>
      <c r="V364" s="6"/>
      <c r="W364" s="6"/>
      <c r="X364" s="6"/>
      <c r="Y364" s="6"/>
      <c r="Z364" s="6"/>
      <c r="AA364" s="6"/>
      <c r="AB364" s="6"/>
      <c r="AC364" s="6"/>
      <c r="AD364" s="6"/>
      <c r="AE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8"/>
      <c r="U365" s="8"/>
      <c r="V365" s="6"/>
      <c r="W365" s="6"/>
      <c r="X365" s="6"/>
      <c r="Y365" s="6"/>
      <c r="Z365" s="6"/>
      <c r="AA365" s="6"/>
      <c r="AB365" s="6"/>
      <c r="AC365" s="6"/>
      <c r="AD365" s="6"/>
      <c r="AE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8"/>
      <c r="U366" s="8"/>
      <c r="V366" s="6"/>
      <c r="W366" s="6"/>
      <c r="X366" s="6"/>
      <c r="Y366" s="6"/>
      <c r="Z366" s="6"/>
      <c r="AA366" s="6"/>
      <c r="AB366" s="6"/>
      <c r="AC366" s="6"/>
      <c r="AD366" s="6"/>
      <c r="AE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8"/>
      <c r="U367" s="8"/>
      <c r="V367" s="6"/>
      <c r="W367" s="6"/>
      <c r="X367" s="6"/>
      <c r="Y367" s="6"/>
      <c r="Z367" s="6"/>
      <c r="AA367" s="6"/>
      <c r="AB367" s="6"/>
      <c r="AC367" s="6"/>
      <c r="AD367" s="6"/>
      <c r="AE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8"/>
      <c r="U368" s="8"/>
      <c r="V368" s="6"/>
      <c r="W368" s="6"/>
      <c r="X368" s="6"/>
      <c r="Y368" s="6"/>
      <c r="Z368" s="6"/>
      <c r="AA368" s="6"/>
      <c r="AB368" s="6"/>
      <c r="AC368" s="6"/>
      <c r="AD368" s="6"/>
      <c r="AE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8"/>
      <c r="U369" s="8"/>
      <c r="V369" s="6"/>
      <c r="W369" s="6"/>
      <c r="X369" s="6"/>
      <c r="Y369" s="6"/>
      <c r="Z369" s="6"/>
      <c r="AA369" s="6"/>
      <c r="AB369" s="6"/>
      <c r="AC369" s="6"/>
      <c r="AD369" s="6"/>
      <c r="AE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8"/>
      <c r="U370" s="8"/>
      <c r="V370" s="6"/>
      <c r="W370" s="6"/>
      <c r="X370" s="6"/>
      <c r="Y370" s="6"/>
      <c r="Z370" s="6"/>
      <c r="AA370" s="6"/>
      <c r="AB370" s="6"/>
      <c r="AC370" s="6"/>
      <c r="AD370" s="6"/>
      <c r="AE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8"/>
      <c r="U371" s="8"/>
      <c r="V371" s="6"/>
      <c r="W371" s="6"/>
      <c r="X371" s="6"/>
      <c r="Y371" s="6"/>
      <c r="Z371" s="6"/>
      <c r="AA371" s="6"/>
      <c r="AB371" s="6"/>
      <c r="AC371" s="6"/>
      <c r="AD371" s="6"/>
      <c r="AE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8"/>
      <c r="U372" s="8"/>
      <c r="V372" s="6"/>
      <c r="W372" s="6"/>
      <c r="X372" s="6"/>
      <c r="Y372" s="6"/>
      <c r="Z372" s="6"/>
      <c r="AA372" s="6"/>
      <c r="AB372" s="6"/>
      <c r="AC372" s="6"/>
      <c r="AD372" s="6"/>
      <c r="AE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8"/>
      <c r="U373" s="8"/>
      <c r="V373" s="6"/>
      <c r="W373" s="6"/>
      <c r="X373" s="6"/>
      <c r="Y373" s="6"/>
      <c r="Z373" s="6"/>
      <c r="AA373" s="6"/>
      <c r="AB373" s="6"/>
      <c r="AC373" s="6"/>
      <c r="AD373" s="6"/>
      <c r="AE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8"/>
      <c r="U374" s="8"/>
      <c r="V374" s="6"/>
      <c r="W374" s="6"/>
      <c r="X374" s="6"/>
      <c r="Y374" s="6"/>
      <c r="Z374" s="6"/>
      <c r="AA374" s="6"/>
      <c r="AB374" s="6"/>
      <c r="AC374" s="6"/>
      <c r="AD374" s="6"/>
      <c r="AE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8"/>
      <c r="U375" s="8"/>
      <c r="V375" s="6"/>
      <c r="W375" s="6"/>
      <c r="X375" s="6"/>
      <c r="Y375" s="6"/>
      <c r="Z375" s="6"/>
      <c r="AA375" s="6"/>
      <c r="AB375" s="6"/>
      <c r="AC375" s="6"/>
      <c r="AD375" s="6"/>
      <c r="AE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8"/>
      <c r="U376" s="8"/>
      <c r="V376" s="6"/>
      <c r="W376" s="6"/>
      <c r="X376" s="6"/>
      <c r="Y376" s="6"/>
      <c r="Z376" s="6"/>
      <c r="AA376" s="6"/>
      <c r="AB376" s="6"/>
      <c r="AC376" s="6"/>
      <c r="AD376" s="6"/>
      <c r="AE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8"/>
      <c r="U377" s="8"/>
      <c r="V377" s="6"/>
      <c r="W377" s="6"/>
      <c r="X377" s="6"/>
      <c r="Y377" s="6"/>
      <c r="Z377" s="6"/>
      <c r="AA377" s="6"/>
      <c r="AB377" s="6"/>
      <c r="AC377" s="6"/>
      <c r="AD377" s="6"/>
      <c r="AE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8"/>
      <c r="U378" s="8"/>
      <c r="V378" s="6"/>
      <c r="W378" s="6"/>
      <c r="X378" s="6"/>
      <c r="Y378" s="6"/>
      <c r="Z378" s="6"/>
      <c r="AA378" s="6"/>
      <c r="AB378" s="6"/>
      <c r="AC378" s="6"/>
      <c r="AD378" s="6"/>
      <c r="AE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8"/>
      <c r="U379" s="8"/>
      <c r="V379" s="6"/>
      <c r="W379" s="6"/>
      <c r="X379" s="6"/>
      <c r="Y379" s="6"/>
      <c r="Z379" s="6"/>
      <c r="AA379" s="6"/>
      <c r="AB379" s="6"/>
      <c r="AC379" s="6"/>
      <c r="AD379" s="6"/>
      <c r="AE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8"/>
      <c r="U380" s="8"/>
      <c r="V380" s="6"/>
      <c r="W380" s="6"/>
      <c r="X380" s="6"/>
      <c r="Y380" s="6"/>
      <c r="Z380" s="6"/>
      <c r="AA380" s="6"/>
      <c r="AB380" s="6"/>
      <c r="AC380" s="6"/>
      <c r="AD380" s="6"/>
      <c r="AE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8"/>
      <c r="U381" s="8"/>
      <c r="V381" s="6"/>
      <c r="W381" s="6"/>
      <c r="X381" s="6"/>
      <c r="Y381" s="6"/>
      <c r="Z381" s="6"/>
      <c r="AA381" s="6"/>
      <c r="AB381" s="6"/>
      <c r="AC381" s="6"/>
      <c r="AD381" s="6"/>
      <c r="AE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8"/>
      <c r="U382" s="8"/>
      <c r="V382" s="6"/>
      <c r="W382" s="6"/>
      <c r="X382" s="6"/>
      <c r="Y382" s="6"/>
      <c r="Z382" s="6"/>
      <c r="AA382" s="6"/>
      <c r="AB382" s="6"/>
      <c r="AC382" s="6"/>
      <c r="AD382" s="6"/>
      <c r="AE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8"/>
      <c r="U383" s="8"/>
      <c r="V383" s="6"/>
      <c r="W383" s="6"/>
      <c r="X383" s="6"/>
      <c r="Y383" s="6"/>
      <c r="Z383" s="6"/>
      <c r="AA383" s="6"/>
      <c r="AB383" s="6"/>
      <c r="AC383" s="6"/>
      <c r="AD383" s="6"/>
      <c r="AE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8"/>
      <c r="U384" s="8"/>
      <c r="V384" s="6"/>
      <c r="W384" s="6"/>
      <c r="X384" s="6"/>
      <c r="Y384" s="6"/>
      <c r="Z384" s="6"/>
      <c r="AA384" s="6"/>
      <c r="AB384" s="6"/>
      <c r="AC384" s="6"/>
      <c r="AD384" s="6"/>
      <c r="AE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8"/>
      <c r="U385" s="8"/>
      <c r="V385" s="6"/>
      <c r="W385" s="6"/>
      <c r="X385" s="6"/>
      <c r="Y385" s="6"/>
      <c r="Z385" s="6"/>
      <c r="AA385" s="6"/>
      <c r="AB385" s="6"/>
      <c r="AC385" s="6"/>
      <c r="AD385" s="6"/>
      <c r="AE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8"/>
      <c r="U386" s="8"/>
      <c r="V386" s="6"/>
      <c r="W386" s="6"/>
      <c r="X386" s="6"/>
      <c r="Y386" s="6"/>
      <c r="Z386" s="6"/>
      <c r="AA386" s="6"/>
      <c r="AB386" s="6"/>
      <c r="AC386" s="6"/>
      <c r="AD386" s="6"/>
      <c r="AE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8"/>
      <c r="U387" s="8"/>
      <c r="V387" s="6"/>
      <c r="W387" s="6"/>
      <c r="X387" s="6"/>
      <c r="Y387" s="6"/>
      <c r="Z387" s="6"/>
      <c r="AA387" s="6"/>
      <c r="AB387" s="6"/>
      <c r="AC387" s="6"/>
      <c r="AD387" s="6"/>
      <c r="AE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8"/>
      <c r="U388" s="8"/>
      <c r="V388" s="6"/>
      <c r="W388" s="6"/>
      <c r="X388" s="6"/>
      <c r="Y388" s="6"/>
      <c r="Z388" s="6"/>
      <c r="AA388" s="6"/>
      <c r="AB388" s="6"/>
      <c r="AC388" s="6"/>
      <c r="AD388" s="6"/>
      <c r="AE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8"/>
      <c r="U389" s="8"/>
      <c r="V389" s="6"/>
      <c r="W389" s="6"/>
      <c r="X389" s="6"/>
      <c r="Y389" s="6"/>
      <c r="Z389" s="6"/>
      <c r="AA389" s="6"/>
      <c r="AB389" s="6"/>
      <c r="AC389" s="6"/>
      <c r="AD389" s="6"/>
      <c r="AE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8"/>
      <c r="U390" s="8"/>
      <c r="V390" s="6"/>
      <c r="W390" s="6"/>
      <c r="X390" s="6"/>
      <c r="Y390" s="6"/>
      <c r="Z390" s="6"/>
      <c r="AA390" s="6"/>
      <c r="AB390" s="6"/>
      <c r="AC390" s="6"/>
      <c r="AD390" s="6"/>
      <c r="AE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8"/>
      <c r="U391" s="8"/>
      <c r="V391" s="6"/>
      <c r="W391" s="6"/>
      <c r="X391" s="6"/>
      <c r="Y391" s="6"/>
      <c r="Z391" s="6"/>
      <c r="AA391" s="6"/>
      <c r="AB391" s="6"/>
      <c r="AC391" s="6"/>
      <c r="AD391" s="6"/>
      <c r="AE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8"/>
      <c r="U392" s="8"/>
      <c r="V392" s="6"/>
      <c r="W392" s="6"/>
      <c r="X392" s="6"/>
      <c r="Y392" s="6"/>
      <c r="Z392" s="6"/>
      <c r="AA392" s="6"/>
      <c r="AB392" s="6"/>
      <c r="AC392" s="6"/>
      <c r="AD392" s="6"/>
      <c r="AE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8"/>
      <c r="U393" s="8"/>
      <c r="V393" s="6"/>
      <c r="W393" s="6"/>
      <c r="X393" s="6"/>
      <c r="Y393" s="6"/>
      <c r="Z393" s="6"/>
      <c r="AA393" s="6"/>
      <c r="AB393" s="6"/>
      <c r="AC393" s="6"/>
      <c r="AD393" s="6"/>
      <c r="AE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8"/>
      <c r="U394" s="8"/>
      <c r="V394" s="6"/>
      <c r="W394" s="6"/>
      <c r="X394" s="6"/>
      <c r="Y394" s="6"/>
      <c r="Z394" s="6"/>
      <c r="AA394" s="6"/>
      <c r="AB394" s="6"/>
      <c r="AC394" s="6"/>
      <c r="AD394" s="6"/>
      <c r="AE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8"/>
      <c r="U395" s="8"/>
      <c r="V395" s="6"/>
      <c r="W395" s="6"/>
      <c r="X395" s="6"/>
      <c r="Y395" s="6"/>
      <c r="Z395" s="6"/>
      <c r="AA395" s="6"/>
      <c r="AB395" s="6"/>
      <c r="AC395" s="6"/>
      <c r="AD395" s="6"/>
      <c r="AE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8"/>
      <c r="U396" s="8"/>
      <c r="V396" s="6"/>
      <c r="W396" s="6"/>
      <c r="X396" s="6"/>
      <c r="Y396" s="6"/>
      <c r="Z396" s="6"/>
      <c r="AA396" s="6"/>
      <c r="AB396" s="6"/>
      <c r="AC396" s="6"/>
      <c r="AD396" s="6"/>
      <c r="AE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8"/>
      <c r="U397" s="8"/>
      <c r="V397" s="6"/>
      <c r="W397" s="6"/>
      <c r="X397" s="6"/>
      <c r="Y397" s="6"/>
      <c r="Z397" s="6"/>
      <c r="AA397" s="6"/>
      <c r="AB397" s="6"/>
      <c r="AC397" s="6"/>
      <c r="AD397" s="6"/>
      <c r="AE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8"/>
      <c r="U398" s="8"/>
      <c r="V398" s="6"/>
      <c r="W398" s="6"/>
      <c r="X398" s="6"/>
      <c r="Y398" s="6"/>
      <c r="Z398" s="6"/>
      <c r="AA398" s="6"/>
      <c r="AB398" s="6"/>
      <c r="AC398" s="6"/>
      <c r="AD398" s="6"/>
      <c r="AE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8"/>
      <c r="U399" s="8"/>
      <c r="V399" s="6"/>
      <c r="W399" s="6"/>
      <c r="X399" s="6"/>
      <c r="Y399" s="6"/>
      <c r="Z399" s="6"/>
      <c r="AA399" s="6"/>
      <c r="AB399" s="6"/>
      <c r="AC399" s="6"/>
      <c r="AD399" s="6"/>
      <c r="AE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8"/>
      <c r="U400" s="8"/>
      <c r="V400" s="6"/>
      <c r="W400" s="6"/>
      <c r="X400" s="6"/>
      <c r="Y400" s="6"/>
      <c r="Z400" s="6"/>
      <c r="AA400" s="6"/>
      <c r="AB400" s="6"/>
      <c r="AC400" s="6"/>
      <c r="AD400" s="6"/>
      <c r="AE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8"/>
      <c r="U401" s="8"/>
      <c r="V401" s="6"/>
      <c r="W401" s="6"/>
      <c r="X401" s="6"/>
      <c r="Y401" s="6"/>
      <c r="Z401" s="6"/>
      <c r="AA401" s="6"/>
      <c r="AB401" s="6"/>
      <c r="AC401" s="6"/>
      <c r="AD401" s="6"/>
      <c r="AE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8"/>
      <c r="U402" s="8"/>
      <c r="V402" s="6"/>
      <c r="W402" s="6"/>
      <c r="X402" s="6"/>
      <c r="Y402" s="6"/>
      <c r="Z402" s="6"/>
      <c r="AA402" s="6"/>
      <c r="AB402" s="6"/>
      <c r="AC402" s="6"/>
      <c r="AD402" s="6"/>
      <c r="AE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8"/>
      <c r="U403" s="8"/>
      <c r="V403" s="6"/>
      <c r="W403" s="6"/>
      <c r="X403" s="6"/>
      <c r="Y403" s="6"/>
      <c r="Z403" s="6"/>
      <c r="AA403" s="6"/>
      <c r="AB403" s="6"/>
      <c r="AC403" s="6"/>
      <c r="AD403" s="6"/>
      <c r="AE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8"/>
      <c r="U404" s="8"/>
      <c r="V404" s="6"/>
      <c r="W404" s="6"/>
      <c r="X404" s="6"/>
      <c r="Y404" s="6"/>
      <c r="Z404" s="6"/>
      <c r="AA404" s="6"/>
      <c r="AB404" s="6"/>
      <c r="AC404" s="6"/>
      <c r="AD404" s="6"/>
      <c r="AE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8"/>
      <c r="U405" s="8"/>
      <c r="V405" s="6"/>
      <c r="W405" s="6"/>
      <c r="X405" s="6"/>
      <c r="Y405" s="6"/>
      <c r="Z405" s="6"/>
      <c r="AA405" s="6"/>
      <c r="AB405" s="6"/>
      <c r="AC405" s="6"/>
      <c r="AD405" s="6"/>
      <c r="AE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8"/>
      <c r="U406" s="8"/>
      <c r="V406" s="6"/>
      <c r="W406" s="6"/>
      <c r="X406" s="6"/>
      <c r="Y406" s="6"/>
      <c r="Z406" s="6"/>
      <c r="AA406" s="6"/>
      <c r="AB406" s="6"/>
      <c r="AC406" s="6"/>
      <c r="AD406" s="6"/>
      <c r="AE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8"/>
      <c r="U407" s="8"/>
      <c r="V407" s="6"/>
      <c r="W407" s="6"/>
      <c r="X407" s="6"/>
      <c r="Y407" s="6"/>
      <c r="Z407" s="6"/>
      <c r="AA407" s="6"/>
      <c r="AB407" s="6"/>
      <c r="AC407" s="6"/>
      <c r="AD407" s="6"/>
      <c r="AE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8"/>
      <c r="U408" s="8"/>
      <c r="V408" s="6"/>
      <c r="W408" s="6"/>
      <c r="X408" s="6"/>
      <c r="Y408" s="6"/>
      <c r="Z408" s="6"/>
      <c r="AA408" s="6"/>
      <c r="AB408" s="6"/>
      <c r="AC408" s="6"/>
      <c r="AD408" s="6"/>
      <c r="AE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8"/>
      <c r="U409" s="8"/>
      <c r="V409" s="6"/>
      <c r="W409" s="6"/>
      <c r="X409" s="6"/>
      <c r="Y409" s="6"/>
      <c r="Z409" s="6"/>
      <c r="AA409" s="6"/>
      <c r="AB409" s="6"/>
      <c r="AC409" s="6"/>
      <c r="AD409" s="6"/>
      <c r="AE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8"/>
      <c r="U410" s="8"/>
      <c r="V410" s="6"/>
      <c r="W410" s="6"/>
      <c r="X410" s="6"/>
      <c r="Y410" s="6"/>
      <c r="Z410" s="6"/>
      <c r="AA410" s="6"/>
      <c r="AB410" s="6"/>
      <c r="AC410" s="6"/>
      <c r="AD410" s="6"/>
      <c r="AE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8"/>
      <c r="U411" s="8"/>
      <c r="V411" s="6"/>
      <c r="W411" s="6"/>
      <c r="X411" s="6"/>
      <c r="Y411" s="6"/>
      <c r="Z411" s="6"/>
      <c r="AA411" s="6"/>
      <c r="AB411" s="6"/>
      <c r="AC411" s="6"/>
      <c r="AD411" s="6"/>
      <c r="AE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8"/>
      <c r="U412" s="8"/>
      <c r="V412" s="6"/>
      <c r="W412" s="6"/>
      <c r="X412" s="6"/>
      <c r="Y412" s="6"/>
      <c r="Z412" s="6"/>
      <c r="AA412" s="6"/>
      <c r="AB412" s="6"/>
      <c r="AC412" s="6"/>
      <c r="AD412" s="6"/>
      <c r="AE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8"/>
      <c r="U413" s="8"/>
      <c r="V413" s="6"/>
      <c r="W413" s="6"/>
      <c r="X413" s="6"/>
      <c r="Y413" s="6"/>
      <c r="Z413" s="6"/>
      <c r="AA413" s="6"/>
      <c r="AB413" s="6"/>
      <c r="AC413" s="6"/>
      <c r="AD413" s="6"/>
      <c r="AE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8"/>
      <c r="U414" s="8"/>
      <c r="V414" s="6"/>
      <c r="W414" s="6"/>
      <c r="X414" s="6"/>
      <c r="Y414" s="6"/>
      <c r="Z414" s="6"/>
      <c r="AA414" s="6"/>
      <c r="AB414" s="6"/>
      <c r="AC414" s="6"/>
      <c r="AD414" s="6"/>
      <c r="AE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8"/>
      <c r="U415" s="8"/>
      <c r="V415" s="6"/>
      <c r="W415" s="6"/>
      <c r="X415" s="6"/>
      <c r="Y415" s="6"/>
      <c r="Z415" s="6"/>
      <c r="AA415" s="6"/>
      <c r="AB415" s="6"/>
      <c r="AC415" s="6"/>
      <c r="AD415" s="6"/>
      <c r="AE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8"/>
      <c r="U416" s="8"/>
      <c r="V416" s="6"/>
      <c r="W416" s="6"/>
      <c r="X416" s="6"/>
      <c r="Y416" s="6"/>
      <c r="Z416" s="6"/>
      <c r="AA416" s="6"/>
      <c r="AB416" s="6"/>
      <c r="AC416" s="6"/>
      <c r="AD416" s="6"/>
      <c r="AE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8"/>
      <c r="U417" s="8"/>
      <c r="V417" s="6"/>
      <c r="W417" s="6"/>
      <c r="X417" s="6"/>
      <c r="Y417" s="6"/>
      <c r="Z417" s="6"/>
      <c r="AA417" s="6"/>
      <c r="AB417" s="6"/>
      <c r="AC417" s="6"/>
      <c r="AD417" s="6"/>
      <c r="AE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8"/>
      <c r="U418" s="8"/>
      <c r="V418" s="6"/>
      <c r="W418" s="6"/>
      <c r="X418" s="6"/>
      <c r="Y418" s="6"/>
      <c r="Z418" s="6"/>
      <c r="AA418" s="6"/>
      <c r="AB418" s="6"/>
      <c r="AC418" s="6"/>
      <c r="AD418" s="6"/>
      <c r="AE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8"/>
      <c r="U419" s="8"/>
      <c r="V419" s="6"/>
      <c r="W419" s="6"/>
      <c r="X419" s="6"/>
      <c r="Y419" s="6"/>
      <c r="Z419" s="6"/>
      <c r="AA419" s="6"/>
      <c r="AB419" s="6"/>
      <c r="AC419" s="6"/>
      <c r="AD419" s="6"/>
      <c r="AE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8"/>
      <c r="U420" s="8"/>
      <c r="V420" s="6"/>
      <c r="W420" s="6"/>
      <c r="X420" s="6"/>
      <c r="Y420" s="6"/>
      <c r="Z420" s="6"/>
      <c r="AA420" s="6"/>
      <c r="AB420" s="6"/>
      <c r="AC420" s="6"/>
      <c r="AD420" s="6"/>
      <c r="AE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8"/>
      <c r="U421" s="8"/>
      <c r="V421" s="6"/>
      <c r="W421" s="6"/>
      <c r="X421" s="6"/>
      <c r="Y421" s="6"/>
      <c r="Z421" s="6"/>
      <c r="AA421" s="6"/>
      <c r="AB421" s="6"/>
      <c r="AC421" s="6"/>
      <c r="AD421" s="6"/>
      <c r="AE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8"/>
      <c r="U422" s="8"/>
      <c r="V422" s="6"/>
      <c r="W422" s="6"/>
      <c r="X422" s="6"/>
      <c r="Y422" s="6"/>
      <c r="Z422" s="6"/>
      <c r="AA422" s="6"/>
      <c r="AB422" s="6"/>
      <c r="AC422" s="6"/>
      <c r="AD422" s="6"/>
      <c r="AE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8"/>
      <c r="U423" s="8"/>
      <c r="V423" s="6"/>
      <c r="W423" s="6"/>
      <c r="X423" s="6"/>
      <c r="Y423" s="6"/>
      <c r="Z423" s="6"/>
      <c r="AA423" s="6"/>
      <c r="AB423" s="6"/>
      <c r="AC423" s="6"/>
      <c r="AD423" s="6"/>
      <c r="AE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8"/>
      <c r="U424" s="8"/>
      <c r="V424" s="6"/>
      <c r="W424" s="6"/>
      <c r="X424" s="6"/>
      <c r="Y424" s="6"/>
      <c r="Z424" s="6"/>
      <c r="AA424" s="6"/>
      <c r="AB424" s="6"/>
      <c r="AC424" s="6"/>
      <c r="AD424" s="6"/>
      <c r="AE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8"/>
      <c r="U425" s="8"/>
      <c r="V425" s="6"/>
      <c r="W425" s="6"/>
      <c r="X425" s="6"/>
      <c r="Y425" s="6"/>
      <c r="Z425" s="6"/>
      <c r="AA425" s="6"/>
      <c r="AB425" s="6"/>
      <c r="AC425" s="6"/>
      <c r="AD425" s="6"/>
      <c r="AE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8"/>
      <c r="U426" s="8"/>
      <c r="V426" s="6"/>
      <c r="W426" s="6"/>
      <c r="X426" s="6"/>
      <c r="Y426" s="6"/>
      <c r="Z426" s="6"/>
      <c r="AA426" s="6"/>
      <c r="AB426" s="6"/>
      <c r="AC426" s="6"/>
      <c r="AD426" s="6"/>
      <c r="AE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8"/>
      <c r="U427" s="8"/>
      <c r="V427" s="6"/>
      <c r="W427" s="6"/>
      <c r="X427" s="6"/>
      <c r="Y427" s="6"/>
      <c r="Z427" s="6"/>
      <c r="AA427" s="6"/>
      <c r="AB427" s="6"/>
      <c r="AC427" s="6"/>
      <c r="AD427" s="6"/>
      <c r="AE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8"/>
      <c r="U428" s="8"/>
      <c r="V428" s="6"/>
      <c r="W428" s="6"/>
      <c r="X428" s="6"/>
      <c r="Y428" s="6"/>
      <c r="Z428" s="6"/>
      <c r="AA428" s="6"/>
      <c r="AB428" s="6"/>
      <c r="AC428" s="6"/>
      <c r="AD428" s="6"/>
      <c r="AE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8"/>
      <c r="U429" s="8"/>
      <c r="V429" s="6"/>
      <c r="W429" s="6"/>
      <c r="X429" s="6"/>
      <c r="Y429" s="6"/>
      <c r="Z429" s="6"/>
      <c r="AA429" s="6"/>
      <c r="AB429" s="6"/>
      <c r="AC429" s="6"/>
      <c r="AD429" s="6"/>
      <c r="AE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8"/>
      <c r="U430" s="8"/>
      <c r="V430" s="6"/>
      <c r="W430" s="6"/>
      <c r="X430" s="6"/>
      <c r="Y430" s="6"/>
      <c r="Z430" s="6"/>
      <c r="AA430" s="6"/>
      <c r="AB430" s="6"/>
      <c r="AC430" s="6"/>
      <c r="AD430" s="6"/>
      <c r="AE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8"/>
      <c r="U431" s="8"/>
      <c r="V431" s="6"/>
      <c r="W431" s="6"/>
      <c r="X431" s="6"/>
      <c r="Y431" s="6"/>
      <c r="Z431" s="6"/>
      <c r="AA431" s="6"/>
      <c r="AB431" s="6"/>
      <c r="AC431" s="6"/>
      <c r="AD431" s="6"/>
      <c r="AE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8"/>
      <c r="U432" s="8"/>
      <c r="V432" s="6"/>
      <c r="W432" s="6"/>
      <c r="X432" s="6"/>
      <c r="Y432" s="6"/>
      <c r="Z432" s="6"/>
      <c r="AA432" s="6"/>
      <c r="AB432" s="6"/>
      <c r="AC432" s="6"/>
      <c r="AD432" s="6"/>
      <c r="AE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8"/>
      <c r="U433" s="8"/>
      <c r="V433" s="6"/>
      <c r="W433" s="6"/>
      <c r="X433" s="6"/>
      <c r="Y433" s="6"/>
      <c r="Z433" s="6"/>
      <c r="AA433" s="6"/>
      <c r="AB433" s="6"/>
      <c r="AC433" s="6"/>
      <c r="AD433" s="6"/>
      <c r="AE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8"/>
      <c r="U434" s="8"/>
      <c r="V434" s="6"/>
      <c r="W434" s="6"/>
      <c r="X434" s="6"/>
      <c r="Y434" s="6"/>
      <c r="Z434" s="6"/>
      <c r="AA434" s="6"/>
      <c r="AB434" s="6"/>
      <c r="AC434" s="6"/>
      <c r="AD434" s="6"/>
      <c r="AE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8"/>
      <c r="U435" s="8"/>
      <c r="V435" s="6"/>
      <c r="W435" s="6"/>
      <c r="X435" s="6"/>
      <c r="Y435" s="6"/>
      <c r="Z435" s="6"/>
      <c r="AA435" s="6"/>
      <c r="AB435" s="6"/>
      <c r="AC435" s="6"/>
      <c r="AD435" s="6"/>
      <c r="AE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8"/>
      <c r="U436" s="8"/>
      <c r="V436" s="6"/>
      <c r="W436" s="6"/>
      <c r="X436" s="6"/>
      <c r="Y436" s="6"/>
      <c r="Z436" s="6"/>
      <c r="AA436" s="6"/>
      <c r="AB436" s="6"/>
      <c r="AC436" s="6"/>
      <c r="AD436" s="6"/>
      <c r="AE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8"/>
      <c r="U437" s="8"/>
      <c r="V437" s="6"/>
      <c r="W437" s="6"/>
      <c r="X437" s="6"/>
      <c r="Y437" s="6"/>
      <c r="Z437" s="6"/>
      <c r="AA437" s="6"/>
      <c r="AB437" s="6"/>
      <c r="AC437" s="6"/>
      <c r="AD437" s="6"/>
      <c r="AE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8"/>
      <c r="U438" s="8"/>
      <c r="V438" s="6"/>
      <c r="W438" s="6"/>
      <c r="X438" s="6"/>
      <c r="Y438" s="6"/>
      <c r="Z438" s="6"/>
      <c r="AA438" s="6"/>
      <c r="AB438" s="6"/>
      <c r="AC438" s="6"/>
      <c r="AD438" s="6"/>
      <c r="AE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8"/>
      <c r="U439" s="8"/>
      <c r="V439" s="6"/>
      <c r="W439" s="6"/>
      <c r="X439" s="6"/>
      <c r="Y439" s="6"/>
      <c r="Z439" s="6"/>
      <c r="AA439" s="6"/>
      <c r="AB439" s="6"/>
      <c r="AC439" s="6"/>
      <c r="AD439" s="6"/>
      <c r="AE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8"/>
      <c r="U440" s="8"/>
      <c r="V440" s="6"/>
      <c r="W440" s="6"/>
      <c r="X440" s="6"/>
      <c r="Y440" s="6"/>
      <c r="Z440" s="6"/>
      <c r="AA440" s="6"/>
      <c r="AB440" s="6"/>
      <c r="AC440" s="6"/>
      <c r="AD440" s="6"/>
      <c r="AE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8"/>
      <c r="U441" s="8"/>
      <c r="V441" s="6"/>
      <c r="W441" s="6"/>
      <c r="X441" s="6"/>
      <c r="Y441" s="6"/>
      <c r="Z441" s="6"/>
      <c r="AA441" s="6"/>
      <c r="AB441" s="6"/>
      <c r="AC441" s="6"/>
      <c r="AD441" s="6"/>
      <c r="AE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8"/>
      <c r="U442" s="8"/>
      <c r="V442" s="6"/>
      <c r="W442" s="6"/>
      <c r="X442" s="6"/>
      <c r="Y442" s="6"/>
      <c r="Z442" s="6"/>
      <c r="AA442" s="6"/>
      <c r="AB442" s="6"/>
      <c r="AC442" s="6"/>
      <c r="AD442" s="6"/>
      <c r="AE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8"/>
      <c r="U443" s="8"/>
      <c r="V443" s="6"/>
      <c r="W443" s="6"/>
      <c r="X443" s="6"/>
      <c r="Y443" s="6"/>
      <c r="Z443" s="6"/>
      <c r="AA443" s="6"/>
      <c r="AB443" s="6"/>
      <c r="AC443" s="6"/>
      <c r="AD443" s="6"/>
      <c r="AE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8"/>
      <c r="U444" s="8"/>
      <c r="V444" s="6"/>
      <c r="W444" s="6"/>
      <c r="X444" s="6"/>
      <c r="Y444" s="6"/>
      <c r="Z444" s="6"/>
      <c r="AA444" s="6"/>
      <c r="AB444" s="6"/>
      <c r="AC444" s="6"/>
      <c r="AD444" s="6"/>
      <c r="AE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8"/>
      <c r="U445" s="8"/>
      <c r="V445" s="6"/>
      <c r="W445" s="6"/>
      <c r="X445" s="6"/>
      <c r="Y445" s="6"/>
      <c r="Z445" s="6"/>
      <c r="AA445" s="6"/>
      <c r="AB445" s="6"/>
      <c r="AC445" s="6"/>
      <c r="AD445" s="6"/>
      <c r="AE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8"/>
      <c r="U446" s="8"/>
      <c r="V446" s="6"/>
      <c r="W446" s="6"/>
      <c r="X446" s="6"/>
      <c r="Y446" s="6"/>
      <c r="Z446" s="6"/>
      <c r="AA446" s="6"/>
      <c r="AB446" s="6"/>
      <c r="AC446" s="6"/>
      <c r="AD446" s="6"/>
      <c r="AE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8"/>
      <c r="U447" s="8"/>
      <c r="V447" s="6"/>
      <c r="W447" s="6"/>
      <c r="X447" s="6"/>
      <c r="Y447" s="6"/>
      <c r="Z447" s="6"/>
      <c r="AA447" s="6"/>
      <c r="AB447" s="6"/>
      <c r="AC447" s="6"/>
      <c r="AD447" s="6"/>
      <c r="AE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8"/>
      <c r="U448" s="8"/>
      <c r="V448" s="6"/>
      <c r="W448" s="6"/>
      <c r="X448" s="6"/>
      <c r="Y448" s="6"/>
      <c r="Z448" s="6"/>
      <c r="AA448" s="6"/>
      <c r="AB448" s="6"/>
      <c r="AC448" s="6"/>
      <c r="AD448" s="6"/>
      <c r="AE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8"/>
      <c r="U449" s="8"/>
      <c r="V449" s="6"/>
      <c r="W449" s="6"/>
      <c r="X449" s="6"/>
      <c r="Y449" s="6"/>
      <c r="Z449" s="6"/>
      <c r="AA449" s="6"/>
      <c r="AB449" s="6"/>
      <c r="AC449" s="6"/>
      <c r="AD449" s="6"/>
      <c r="AE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8"/>
      <c r="U450" s="8"/>
      <c r="V450" s="6"/>
      <c r="W450" s="6"/>
      <c r="X450" s="6"/>
      <c r="Y450" s="6"/>
      <c r="Z450" s="6"/>
      <c r="AA450" s="6"/>
      <c r="AB450" s="6"/>
      <c r="AC450" s="6"/>
      <c r="AD450" s="6"/>
      <c r="AE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8"/>
      <c r="U451" s="8"/>
      <c r="V451" s="6"/>
      <c r="W451" s="6"/>
      <c r="X451" s="6"/>
      <c r="Y451" s="6"/>
      <c r="Z451" s="6"/>
      <c r="AA451" s="6"/>
      <c r="AB451" s="6"/>
      <c r="AC451" s="6"/>
      <c r="AD451" s="6"/>
      <c r="AE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8"/>
      <c r="U452" s="8"/>
      <c r="V452" s="6"/>
      <c r="W452" s="6"/>
      <c r="X452" s="6"/>
      <c r="Y452" s="6"/>
      <c r="Z452" s="6"/>
      <c r="AA452" s="6"/>
      <c r="AB452" s="6"/>
      <c r="AC452" s="6"/>
      <c r="AD452" s="6"/>
      <c r="AE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8"/>
      <c r="U453" s="8"/>
      <c r="V453" s="6"/>
      <c r="W453" s="6"/>
      <c r="X453" s="6"/>
      <c r="Y453" s="6"/>
      <c r="Z453" s="6"/>
      <c r="AA453" s="6"/>
      <c r="AB453" s="6"/>
      <c r="AC453" s="6"/>
      <c r="AD453" s="6"/>
      <c r="AE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8"/>
      <c r="U454" s="8"/>
      <c r="V454" s="6"/>
      <c r="W454" s="6"/>
      <c r="X454" s="6"/>
      <c r="Y454" s="6"/>
      <c r="Z454" s="6"/>
      <c r="AA454" s="6"/>
      <c r="AB454" s="6"/>
      <c r="AC454" s="6"/>
      <c r="AD454" s="6"/>
      <c r="AE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8"/>
      <c r="U455" s="8"/>
      <c r="V455" s="6"/>
      <c r="W455" s="6"/>
      <c r="X455" s="6"/>
      <c r="Y455" s="6"/>
      <c r="Z455" s="6"/>
      <c r="AA455" s="6"/>
      <c r="AB455" s="6"/>
      <c r="AC455" s="6"/>
      <c r="AD455" s="6"/>
      <c r="AE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8"/>
      <c r="U456" s="8"/>
      <c r="V456" s="6"/>
      <c r="W456" s="6"/>
      <c r="X456" s="6"/>
      <c r="Y456" s="6"/>
      <c r="Z456" s="6"/>
      <c r="AA456" s="6"/>
      <c r="AB456" s="6"/>
      <c r="AC456" s="6"/>
      <c r="AD456" s="6"/>
      <c r="AE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8"/>
      <c r="U457" s="8"/>
      <c r="V457" s="6"/>
      <c r="W457" s="6"/>
      <c r="X457" s="6"/>
      <c r="Y457" s="6"/>
      <c r="Z457" s="6"/>
      <c r="AA457" s="6"/>
      <c r="AB457" s="6"/>
      <c r="AC457" s="6"/>
      <c r="AD457" s="6"/>
      <c r="AE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8"/>
      <c r="U458" s="8"/>
      <c r="V458" s="6"/>
      <c r="W458" s="6"/>
      <c r="X458" s="6"/>
      <c r="Y458" s="6"/>
      <c r="Z458" s="6"/>
      <c r="AA458" s="6"/>
      <c r="AB458" s="6"/>
      <c r="AC458" s="6"/>
      <c r="AD458" s="6"/>
      <c r="AE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8"/>
      <c r="U459" s="8"/>
      <c r="V459" s="6"/>
      <c r="W459" s="6"/>
      <c r="X459" s="6"/>
      <c r="Y459" s="6"/>
      <c r="Z459" s="6"/>
      <c r="AA459" s="6"/>
      <c r="AB459" s="6"/>
      <c r="AC459" s="6"/>
      <c r="AD459" s="6"/>
      <c r="AE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8"/>
      <c r="U460" s="8"/>
      <c r="V460" s="6"/>
      <c r="W460" s="6"/>
      <c r="X460" s="6"/>
      <c r="Y460" s="6"/>
      <c r="Z460" s="6"/>
      <c r="AA460" s="6"/>
      <c r="AB460" s="6"/>
      <c r="AC460" s="6"/>
      <c r="AD460" s="6"/>
      <c r="AE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8"/>
      <c r="U461" s="8"/>
      <c r="V461" s="6"/>
      <c r="W461" s="6"/>
      <c r="X461" s="6"/>
      <c r="Y461" s="6"/>
      <c r="Z461" s="6"/>
      <c r="AA461" s="6"/>
      <c r="AB461" s="6"/>
      <c r="AC461" s="6"/>
      <c r="AD461" s="6"/>
      <c r="AE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8"/>
      <c r="U462" s="8"/>
      <c r="V462" s="6"/>
      <c r="W462" s="6"/>
      <c r="X462" s="6"/>
      <c r="Y462" s="6"/>
      <c r="Z462" s="6"/>
      <c r="AA462" s="6"/>
      <c r="AB462" s="6"/>
      <c r="AC462" s="6"/>
      <c r="AD462" s="6"/>
      <c r="AE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8"/>
      <c r="U463" s="8"/>
      <c r="V463" s="6"/>
      <c r="W463" s="6"/>
      <c r="X463" s="6"/>
      <c r="Y463" s="6"/>
      <c r="Z463" s="6"/>
      <c r="AA463" s="6"/>
      <c r="AB463" s="6"/>
      <c r="AC463" s="6"/>
      <c r="AD463" s="6"/>
      <c r="AE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8"/>
      <c r="U464" s="8"/>
      <c r="V464" s="6"/>
      <c r="W464" s="6"/>
      <c r="X464" s="6"/>
      <c r="Y464" s="6"/>
      <c r="Z464" s="6"/>
      <c r="AA464" s="6"/>
      <c r="AB464" s="6"/>
      <c r="AC464" s="6"/>
      <c r="AD464" s="6"/>
      <c r="AE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8"/>
      <c r="U465" s="8"/>
      <c r="V465" s="6"/>
      <c r="W465" s="6"/>
      <c r="X465" s="6"/>
      <c r="Y465" s="6"/>
      <c r="Z465" s="6"/>
      <c r="AA465" s="6"/>
      <c r="AB465" s="6"/>
      <c r="AC465" s="6"/>
      <c r="AD465" s="6"/>
      <c r="AE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8"/>
      <c r="U466" s="8"/>
      <c r="V466" s="6"/>
      <c r="W466" s="6"/>
      <c r="X466" s="6"/>
      <c r="Y466" s="6"/>
      <c r="Z466" s="6"/>
      <c r="AA466" s="6"/>
      <c r="AB466" s="6"/>
      <c r="AC466" s="6"/>
      <c r="AD466" s="6"/>
      <c r="AE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8"/>
      <c r="U467" s="8"/>
      <c r="V467" s="6"/>
      <c r="W467" s="6"/>
      <c r="X467" s="6"/>
      <c r="Y467" s="6"/>
      <c r="Z467" s="6"/>
      <c r="AA467" s="6"/>
      <c r="AB467" s="6"/>
      <c r="AC467" s="6"/>
      <c r="AD467" s="6"/>
      <c r="AE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8"/>
      <c r="U468" s="8"/>
      <c r="V468" s="6"/>
      <c r="W468" s="6"/>
      <c r="X468" s="6"/>
      <c r="Y468" s="6"/>
      <c r="Z468" s="6"/>
      <c r="AA468" s="6"/>
      <c r="AB468" s="6"/>
      <c r="AC468" s="6"/>
      <c r="AD468" s="6"/>
      <c r="AE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8"/>
      <c r="U469" s="8"/>
      <c r="V469" s="6"/>
      <c r="W469" s="6"/>
      <c r="X469" s="6"/>
      <c r="Y469" s="6"/>
      <c r="Z469" s="6"/>
      <c r="AA469" s="6"/>
      <c r="AB469" s="6"/>
      <c r="AC469" s="6"/>
      <c r="AD469" s="6"/>
      <c r="AE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8"/>
      <c r="U470" s="8"/>
      <c r="V470" s="6"/>
      <c r="W470" s="6"/>
      <c r="X470" s="6"/>
      <c r="Y470" s="6"/>
      <c r="Z470" s="6"/>
      <c r="AA470" s="6"/>
      <c r="AB470" s="6"/>
      <c r="AC470" s="6"/>
      <c r="AD470" s="6"/>
      <c r="AE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8"/>
      <c r="U471" s="8"/>
      <c r="V471" s="6"/>
      <c r="W471" s="6"/>
      <c r="X471" s="6"/>
      <c r="Y471" s="6"/>
      <c r="Z471" s="6"/>
      <c r="AA471" s="6"/>
      <c r="AB471" s="6"/>
      <c r="AC471" s="6"/>
      <c r="AD471" s="6"/>
      <c r="AE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8"/>
      <c r="U472" s="8"/>
      <c r="V472" s="6"/>
      <c r="W472" s="6"/>
      <c r="X472" s="6"/>
      <c r="Y472" s="6"/>
      <c r="Z472" s="6"/>
      <c r="AA472" s="6"/>
      <c r="AB472" s="6"/>
      <c r="AC472" s="6"/>
      <c r="AD472" s="6"/>
      <c r="AE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8"/>
      <c r="U473" s="8"/>
      <c r="V473" s="6"/>
      <c r="W473" s="6"/>
      <c r="X473" s="6"/>
      <c r="Y473" s="6"/>
      <c r="Z473" s="6"/>
      <c r="AA473" s="6"/>
      <c r="AB473" s="6"/>
      <c r="AC473" s="6"/>
      <c r="AD473" s="6"/>
      <c r="AE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8"/>
      <c r="U474" s="8"/>
      <c r="V474" s="6"/>
      <c r="W474" s="6"/>
      <c r="X474" s="6"/>
      <c r="Y474" s="6"/>
      <c r="Z474" s="6"/>
      <c r="AA474" s="6"/>
      <c r="AB474" s="6"/>
      <c r="AC474" s="6"/>
      <c r="AD474" s="6"/>
      <c r="AE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8"/>
      <c r="U475" s="8"/>
      <c r="V475" s="6"/>
      <c r="W475" s="6"/>
      <c r="X475" s="6"/>
      <c r="Y475" s="6"/>
      <c r="Z475" s="6"/>
      <c r="AA475" s="6"/>
      <c r="AB475" s="6"/>
      <c r="AC475" s="6"/>
      <c r="AD475" s="6"/>
      <c r="AE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8"/>
      <c r="U476" s="8"/>
      <c r="V476" s="6"/>
      <c r="W476" s="6"/>
      <c r="X476" s="6"/>
      <c r="Y476" s="6"/>
      <c r="Z476" s="6"/>
      <c r="AA476" s="6"/>
      <c r="AB476" s="6"/>
      <c r="AC476" s="6"/>
      <c r="AD476" s="6"/>
      <c r="AE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8"/>
      <c r="U477" s="8"/>
      <c r="V477" s="6"/>
      <c r="W477" s="6"/>
      <c r="X477" s="6"/>
      <c r="Y477" s="6"/>
      <c r="Z477" s="6"/>
      <c r="AA477" s="6"/>
      <c r="AB477" s="6"/>
      <c r="AC477" s="6"/>
      <c r="AD477" s="6"/>
      <c r="AE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8"/>
      <c r="U478" s="8"/>
      <c r="V478" s="6"/>
      <c r="W478" s="6"/>
      <c r="X478" s="6"/>
      <c r="Y478" s="6"/>
      <c r="Z478" s="6"/>
      <c r="AA478" s="6"/>
      <c r="AB478" s="6"/>
      <c r="AC478" s="6"/>
      <c r="AD478" s="6"/>
      <c r="AE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8"/>
      <c r="U479" s="8"/>
      <c r="V479" s="6"/>
      <c r="W479" s="6"/>
      <c r="X479" s="6"/>
      <c r="Y479" s="6"/>
      <c r="Z479" s="6"/>
      <c r="AA479" s="6"/>
      <c r="AB479" s="6"/>
      <c r="AC479" s="6"/>
      <c r="AD479" s="6"/>
      <c r="AE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8"/>
      <c r="U480" s="8"/>
      <c r="V480" s="6"/>
      <c r="W480" s="6"/>
      <c r="X480" s="6"/>
      <c r="Y480" s="6"/>
      <c r="Z480" s="6"/>
      <c r="AA480" s="6"/>
      <c r="AB480" s="6"/>
      <c r="AC480" s="6"/>
      <c r="AD480" s="6"/>
      <c r="AE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8"/>
      <c r="U481" s="8"/>
      <c r="V481" s="6"/>
      <c r="W481" s="6"/>
      <c r="X481" s="6"/>
      <c r="Y481" s="6"/>
      <c r="Z481" s="6"/>
      <c r="AA481" s="6"/>
      <c r="AB481" s="6"/>
      <c r="AC481" s="6"/>
      <c r="AD481" s="6"/>
      <c r="AE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8"/>
      <c r="U482" s="8"/>
      <c r="V482" s="6"/>
      <c r="W482" s="6"/>
      <c r="X482" s="6"/>
      <c r="Y482" s="6"/>
      <c r="Z482" s="6"/>
      <c r="AA482" s="6"/>
      <c r="AB482" s="6"/>
      <c r="AC482" s="6"/>
      <c r="AD482" s="6"/>
      <c r="AE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8"/>
      <c r="U483" s="8"/>
      <c r="V483" s="6"/>
      <c r="W483" s="6"/>
      <c r="X483" s="6"/>
      <c r="Y483" s="6"/>
      <c r="Z483" s="6"/>
      <c r="AA483" s="6"/>
      <c r="AB483" s="6"/>
      <c r="AC483" s="6"/>
      <c r="AD483" s="6"/>
      <c r="AE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8"/>
      <c r="U484" s="8"/>
      <c r="V484" s="6"/>
      <c r="W484" s="6"/>
      <c r="X484" s="6"/>
      <c r="Y484" s="6"/>
      <c r="Z484" s="6"/>
      <c r="AA484" s="6"/>
      <c r="AB484" s="6"/>
      <c r="AC484" s="6"/>
      <c r="AD484" s="6"/>
      <c r="AE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8"/>
      <c r="U485" s="8"/>
      <c r="V485" s="6"/>
      <c r="W485" s="6"/>
      <c r="X485" s="6"/>
      <c r="Y485" s="6"/>
      <c r="Z485" s="6"/>
      <c r="AA485" s="6"/>
      <c r="AB485" s="6"/>
      <c r="AC485" s="6"/>
      <c r="AD485" s="6"/>
      <c r="AE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8"/>
      <c r="U486" s="8"/>
      <c r="V486" s="6"/>
      <c r="W486" s="6"/>
      <c r="X486" s="6"/>
      <c r="Y486" s="6"/>
      <c r="Z486" s="6"/>
      <c r="AA486" s="6"/>
      <c r="AB486" s="6"/>
      <c r="AC486" s="6"/>
      <c r="AD486" s="6"/>
      <c r="AE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8"/>
      <c r="U487" s="8"/>
      <c r="V487" s="6"/>
      <c r="W487" s="6"/>
      <c r="X487" s="6"/>
      <c r="Y487" s="6"/>
      <c r="Z487" s="6"/>
      <c r="AA487" s="6"/>
      <c r="AB487" s="6"/>
      <c r="AC487" s="6"/>
      <c r="AD487" s="6"/>
      <c r="AE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8"/>
      <c r="U488" s="8"/>
      <c r="V488" s="6"/>
      <c r="W488" s="6"/>
      <c r="X488" s="6"/>
      <c r="Y488" s="6"/>
      <c r="Z488" s="6"/>
      <c r="AA488" s="6"/>
      <c r="AB488" s="6"/>
      <c r="AC488" s="6"/>
      <c r="AD488" s="6"/>
      <c r="AE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8"/>
      <c r="U489" s="8"/>
      <c r="V489" s="6"/>
      <c r="W489" s="6"/>
      <c r="X489" s="6"/>
      <c r="Y489" s="6"/>
      <c r="Z489" s="6"/>
      <c r="AA489" s="6"/>
      <c r="AB489" s="6"/>
      <c r="AC489" s="6"/>
      <c r="AD489" s="6"/>
      <c r="AE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8"/>
      <c r="U490" s="8"/>
      <c r="V490" s="6"/>
      <c r="W490" s="6"/>
      <c r="X490" s="6"/>
      <c r="Y490" s="6"/>
      <c r="Z490" s="6"/>
      <c r="AA490" s="6"/>
      <c r="AB490" s="6"/>
      <c r="AC490" s="6"/>
      <c r="AD490" s="6"/>
      <c r="AE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8"/>
      <c r="U491" s="8"/>
      <c r="V491" s="6"/>
      <c r="W491" s="6"/>
      <c r="X491" s="6"/>
      <c r="Y491" s="6"/>
      <c r="Z491" s="6"/>
      <c r="AA491" s="6"/>
      <c r="AB491" s="6"/>
      <c r="AC491" s="6"/>
      <c r="AD491" s="6"/>
      <c r="AE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8"/>
      <c r="U492" s="8"/>
      <c r="V492" s="6"/>
      <c r="W492" s="6"/>
      <c r="X492" s="6"/>
      <c r="Y492" s="6"/>
      <c r="Z492" s="6"/>
      <c r="AA492" s="6"/>
      <c r="AB492" s="6"/>
      <c r="AC492" s="6"/>
      <c r="AD492" s="6"/>
      <c r="AE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8"/>
      <c r="U493" s="8"/>
      <c r="V493" s="6"/>
      <c r="W493" s="6"/>
      <c r="X493" s="6"/>
      <c r="Y493" s="6"/>
      <c r="Z493" s="6"/>
      <c r="AA493" s="6"/>
      <c r="AB493" s="6"/>
      <c r="AC493" s="6"/>
      <c r="AD493" s="6"/>
      <c r="AE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8"/>
      <c r="U494" s="8"/>
      <c r="V494" s="6"/>
      <c r="W494" s="6"/>
      <c r="X494" s="6"/>
      <c r="Y494" s="6"/>
      <c r="Z494" s="6"/>
      <c r="AA494" s="6"/>
      <c r="AB494" s="6"/>
      <c r="AC494" s="6"/>
      <c r="AD494" s="6"/>
      <c r="AE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8"/>
      <c r="U495" s="8"/>
      <c r="V495" s="6"/>
      <c r="W495" s="6"/>
      <c r="X495" s="6"/>
      <c r="Y495" s="6"/>
      <c r="Z495" s="6"/>
      <c r="AA495" s="6"/>
      <c r="AB495" s="6"/>
      <c r="AC495" s="6"/>
      <c r="AD495" s="6"/>
      <c r="AE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8"/>
      <c r="U496" s="8"/>
      <c r="V496" s="6"/>
      <c r="W496" s="6"/>
      <c r="X496" s="6"/>
      <c r="Y496" s="6"/>
      <c r="Z496" s="6"/>
      <c r="AA496" s="6"/>
      <c r="AB496" s="6"/>
      <c r="AC496" s="6"/>
      <c r="AD496" s="6"/>
      <c r="AE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8"/>
      <c r="U497" s="8"/>
      <c r="V497" s="6"/>
      <c r="W497" s="6"/>
      <c r="X497" s="6"/>
      <c r="Y497" s="6"/>
      <c r="Z497" s="6"/>
      <c r="AA497" s="6"/>
      <c r="AB497" s="6"/>
      <c r="AC497" s="6"/>
      <c r="AD497" s="6"/>
      <c r="AE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8"/>
      <c r="U498" s="8"/>
      <c r="V498" s="6"/>
      <c r="W498" s="6"/>
      <c r="X498" s="6"/>
      <c r="Y498" s="6"/>
      <c r="Z498" s="6"/>
      <c r="AA498" s="6"/>
      <c r="AB498" s="6"/>
      <c r="AC498" s="6"/>
      <c r="AD498" s="6"/>
      <c r="AE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8"/>
      <c r="U499" s="8"/>
      <c r="V499" s="6"/>
      <c r="W499" s="6"/>
      <c r="X499" s="6"/>
      <c r="Y499" s="6"/>
      <c r="Z499" s="6"/>
      <c r="AA499" s="6"/>
      <c r="AB499" s="6"/>
      <c r="AC499" s="6"/>
      <c r="AD499" s="6"/>
      <c r="AE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8"/>
      <c r="U500" s="8"/>
      <c r="V500" s="6"/>
      <c r="W500" s="6"/>
      <c r="X500" s="6"/>
      <c r="Y500" s="6"/>
      <c r="Z500" s="6"/>
      <c r="AA500" s="6"/>
      <c r="AB500" s="6"/>
      <c r="AC500" s="6"/>
      <c r="AD500" s="6"/>
      <c r="AE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8"/>
      <c r="U501" s="8"/>
      <c r="V501" s="6"/>
      <c r="W501" s="6"/>
      <c r="X501" s="6"/>
      <c r="Y501" s="6"/>
      <c r="Z501" s="6"/>
      <c r="AA501" s="6"/>
      <c r="AB501" s="6"/>
      <c r="AC501" s="6"/>
      <c r="AD501" s="6"/>
      <c r="AE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8"/>
      <c r="U502" s="8"/>
      <c r="V502" s="6"/>
      <c r="W502" s="6"/>
      <c r="X502" s="6"/>
      <c r="Y502" s="6"/>
      <c r="Z502" s="6"/>
      <c r="AA502" s="6"/>
      <c r="AB502" s="6"/>
      <c r="AC502" s="6"/>
      <c r="AD502" s="6"/>
      <c r="AE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8"/>
      <c r="U503" s="8"/>
      <c r="V503" s="6"/>
      <c r="W503" s="6"/>
      <c r="X503" s="6"/>
      <c r="Y503" s="6"/>
      <c r="Z503" s="6"/>
      <c r="AA503" s="6"/>
      <c r="AB503" s="6"/>
      <c r="AC503" s="6"/>
      <c r="AD503" s="6"/>
      <c r="AE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8"/>
      <c r="U504" s="8"/>
      <c r="V504" s="6"/>
      <c r="W504" s="6"/>
      <c r="X504" s="6"/>
      <c r="Y504" s="6"/>
      <c r="Z504" s="6"/>
      <c r="AA504" s="6"/>
      <c r="AB504" s="6"/>
      <c r="AC504" s="6"/>
      <c r="AD504" s="6"/>
      <c r="AE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8"/>
      <c r="U505" s="8"/>
      <c r="V505" s="6"/>
      <c r="W505" s="6"/>
      <c r="X505" s="6"/>
      <c r="Y505" s="6"/>
      <c r="Z505" s="6"/>
      <c r="AA505" s="6"/>
      <c r="AB505" s="6"/>
      <c r="AC505" s="6"/>
      <c r="AD505" s="6"/>
      <c r="AE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8"/>
      <c r="U506" s="8"/>
      <c r="V506" s="6"/>
      <c r="W506" s="6"/>
      <c r="X506" s="6"/>
      <c r="Y506" s="6"/>
      <c r="Z506" s="6"/>
      <c r="AA506" s="6"/>
      <c r="AB506" s="6"/>
      <c r="AC506" s="6"/>
      <c r="AD506" s="6"/>
      <c r="AE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8"/>
      <c r="U507" s="8"/>
      <c r="V507" s="6"/>
      <c r="W507" s="6"/>
      <c r="X507" s="6"/>
      <c r="Y507" s="6"/>
      <c r="Z507" s="6"/>
      <c r="AA507" s="6"/>
      <c r="AB507" s="6"/>
      <c r="AC507" s="6"/>
      <c r="AD507" s="6"/>
      <c r="AE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8"/>
      <c r="U508" s="8"/>
      <c r="V508" s="6"/>
      <c r="W508" s="6"/>
      <c r="X508" s="6"/>
      <c r="Y508" s="6"/>
      <c r="Z508" s="6"/>
      <c r="AA508" s="6"/>
      <c r="AB508" s="6"/>
      <c r="AC508" s="6"/>
      <c r="AD508" s="6"/>
      <c r="AE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8"/>
      <c r="U509" s="8"/>
      <c r="V509" s="6"/>
      <c r="W509" s="6"/>
      <c r="X509" s="6"/>
      <c r="Y509" s="6"/>
      <c r="Z509" s="6"/>
      <c r="AA509" s="6"/>
      <c r="AB509" s="6"/>
      <c r="AC509" s="6"/>
      <c r="AD509" s="6"/>
      <c r="AE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8"/>
      <c r="U510" s="8"/>
      <c r="V510" s="6"/>
      <c r="W510" s="6"/>
      <c r="X510" s="6"/>
      <c r="Y510" s="6"/>
      <c r="Z510" s="6"/>
      <c r="AA510" s="6"/>
      <c r="AB510" s="6"/>
      <c r="AC510" s="6"/>
      <c r="AD510" s="6"/>
      <c r="AE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8"/>
      <c r="U511" s="8"/>
      <c r="V511" s="6"/>
      <c r="W511" s="6"/>
      <c r="X511" s="6"/>
      <c r="Y511" s="6"/>
      <c r="Z511" s="6"/>
      <c r="AA511" s="6"/>
      <c r="AB511" s="6"/>
      <c r="AC511" s="6"/>
      <c r="AD511" s="6"/>
      <c r="AE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8"/>
      <c r="U512" s="8"/>
      <c r="V512" s="6"/>
      <c r="W512" s="6"/>
      <c r="X512" s="6"/>
      <c r="Y512" s="6"/>
      <c r="Z512" s="6"/>
      <c r="AA512" s="6"/>
      <c r="AB512" s="6"/>
      <c r="AC512" s="6"/>
      <c r="AD512" s="6"/>
      <c r="AE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8"/>
      <c r="U513" s="8"/>
      <c r="V513" s="6"/>
      <c r="W513" s="6"/>
      <c r="X513" s="6"/>
      <c r="Y513" s="6"/>
      <c r="Z513" s="6"/>
      <c r="AA513" s="6"/>
      <c r="AB513" s="6"/>
      <c r="AC513" s="6"/>
      <c r="AD513" s="6"/>
      <c r="AE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8"/>
      <c r="U514" s="8"/>
      <c r="V514" s="6"/>
      <c r="W514" s="6"/>
      <c r="X514" s="6"/>
      <c r="Y514" s="6"/>
      <c r="Z514" s="6"/>
      <c r="AA514" s="6"/>
      <c r="AB514" s="6"/>
      <c r="AC514" s="6"/>
      <c r="AD514" s="6"/>
      <c r="AE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8"/>
      <c r="U515" s="8"/>
      <c r="V515" s="6"/>
      <c r="W515" s="6"/>
      <c r="X515" s="6"/>
      <c r="Y515" s="6"/>
      <c r="Z515" s="6"/>
      <c r="AA515" s="6"/>
      <c r="AB515" s="6"/>
      <c r="AC515" s="6"/>
      <c r="AD515" s="6"/>
      <c r="AE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8"/>
      <c r="U516" s="8"/>
      <c r="V516" s="6"/>
      <c r="W516" s="6"/>
      <c r="X516" s="6"/>
      <c r="Y516" s="6"/>
      <c r="Z516" s="6"/>
      <c r="AA516" s="6"/>
      <c r="AB516" s="6"/>
      <c r="AC516" s="6"/>
      <c r="AD516" s="6"/>
      <c r="AE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8"/>
      <c r="U517" s="8"/>
      <c r="V517" s="6"/>
      <c r="W517" s="6"/>
      <c r="X517" s="6"/>
      <c r="Y517" s="6"/>
      <c r="Z517" s="6"/>
      <c r="AA517" s="6"/>
      <c r="AB517" s="6"/>
      <c r="AC517" s="6"/>
      <c r="AD517" s="6"/>
      <c r="AE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8"/>
      <c r="U518" s="8"/>
      <c r="V518" s="6"/>
      <c r="W518" s="6"/>
      <c r="X518" s="6"/>
      <c r="Y518" s="6"/>
      <c r="Z518" s="6"/>
      <c r="AA518" s="6"/>
      <c r="AB518" s="6"/>
      <c r="AC518" s="6"/>
      <c r="AD518" s="6"/>
      <c r="AE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8"/>
      <c r="U519" s="8"/>
      <c r="V519" s="6"/>
      <c r="W519" s="6"/>
      <c r="X519" s="6"/>
      <c r="Y519" s="6"/>
      <c r="Z519" s="6"/>
      <c r="AA519" s="6"/>
      <c r="AB519" s="6"/>
      <c r="AC519" s="6"/>
      <c r="AD519" s="6"/>
      <c r="AE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8"/>
      <c r="U520" s="8"/>
      <c r="V520" s="6"/>
      <c r="W520" s="6"/>
      <c r="X520" s="6"/>
      <c r="Y520" s="6"/>
      <c r="Z520" s="6"/>
      <c r="AA520" s="6"/>
      <c r="AB520" s="6"/>
      <c r="AC520" s="6"/>
      <c r="AD520" s="6"/>
      <c r="AE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8"/>
      <c r="U521" s="8"/>
      <c r="V521" s="6"/>
      <c r="W521" s="6"/>
      <c r="X521" s="6"/>
      <c r="Y521" s="6"/>
      <c r="Z521" s="6"/>
      <c r="AA521" s="6"/>
      <c r="AB521" s="6"/>
      <c r="AC521" s="6"/>
      <c r="AD521" s="6"/>
      <c r="AE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8"/>
      <c r="U522" s="8"/>
      <c r="V522" s="6"/>
      <c r="W522" s="6"/>
      <c r="X522" s="6"/>
      <c r="Y522" s="6"/>
      <c r="Z522" s="6"/>
      <c r="AA522" s="6"/>
      <c r="AB522" s="6"/>
      <c r="AC522" s="6"/>
      <c r="AD522" s="6"/>
      <c r="AE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8"/>
      <c r="U523" s="8"/>
      <c r="V523" s="6"/>
      <c r="W523" s="6"/>
      <c r="X523" s="6"/>
      <c r="Y523" s="6"/>
      <c r="Z523" s="6"/>
      <c r="AA523" s="6"/>
      <c r="AB523" s="6"/>
      <c r="AC523" s="6"/>
      <c r="AD523" s="6"/>
      <c r="AE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8"/>
      <c r="U524" s="8"/>
      <c r="V524" s="6"/>
      <c r="W524" s="6"/>
      <c r="X524" s="6"/>
      <c r="Y524" s="6"/>
      <c r="Z524" s="6"/>
      <c r="AA524" s="6"/>
      <c r="AB524" s="6"/>
      <c r="AC524" s="6"/>
      <c r="AD524" s="6"/>
      <c r="AE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8"/>
      <c r="U525" s="8"/>
      <c r="V525" s="6"/>
      <c r="W525" s="6"/>
      <c r="X525" s="6"/>
      <c r="Y525" s="6"/>
      <c r="Z525" s="6"/>
      <c r="AA525" s="6"/>
      <c r="AB525" s="6"/>
      <c r="AC525" s="6"/>
      <c r="AD525" s="6"/>
      <c r="AE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8"/>
      <c r="U526" s="8"/>
      <c r="V526" s="6"/>
      <c r="W526" s="6"/>
      <c r="X526" s="6"/>
      <c r="Y526" s="6"/>
      <c r="Z526" s="6"/>
      <c r="AA526" s="6"/>
      <c r="AB526" s="6"/>
      <c r="AC526" s="6"/>
      <c r="AD526" s="6"/>
      <c r="AE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8"/>
      <c r="U527" s="8"/>
      <c r="V527" s="6"/>
      <c r="W527" s="6"/>
      <c r="X527" s="6"/>
      <c r="Y527" s="6"/>
      <c r="Z527" s="6"/>
      <c r="AA527" s="6"/>
      <c r="AB527" s="6"/>
      <c r="AC527" s="6"/>
      <c r="AD527" s="6"/>
      <c r="AE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8"/>
      <c r="U528" s="8"/>
      <c r="V528" s="6"/>
      <c r="W528" s="6"/>
      <c r="X528" s="6"/>
      <c r="Y528" s="6"/>
      <c r="Z528" s="6"/>
      <c r="AA528" s="6"/>
      <c r="AB528" s="6"/>
      <c r="AC528" s="6"/>
      <c r="AD528" s="6"/>
      <c r="AE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8"/>
      <c r="U529" s="8"/>
      <c r="V529" s="6"/>
      <c r="W529" s="6"/>
      <c r="X529" s="6"/>
      <c r="Y529" s="6"/>
      <c r="Z529" s="6"/>
      <c r="AA529" s="6"/>
      <c r="AB529" s="6"/>
      <c r="AC529" s="6"/>
      <c r="AD529" s="6"/>
      <c r="AE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8"/>
      <c r="U530" s="8"/>
      <c r="V530" s="6"/>
      <c r="W530" s="6"/>
      <c r="X530" s="6"/>
      <c r="Y530" s="6"/>
      <c r="Z530" s="6"/>
      <c r="AA530" s="6"/>
      <c r="AB530" s="6"/>
      <c r="AC530" s="6"/>
      <c r="AD530" s="6"/>
      <c r="AE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8"/>
      <c r="U531" s="8"/>
      <c r="V531" s="6"/>
      <c r="W531" s="6"/>
      <c r="X531" s="6"/>
      <c r="Y531" s="6"/>
      <c r="Z531" s="6"/>
      <c r="AA531" s="6"/>
      <c r="AB531" s="6"/>
      <c r="AC531" s="6"/>
      <c r="AD531" s="6"/>
      <c r="AE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8"/>
      <c r="U532" s="8"/>
      <c r="V532" s="6"/>
      <c r="W532" s="6"/>
      <c r="X532" s="6"/>
      <c r="Y532" s="6"/>
      <c r="Z532" s="6"/>
      <c r="AA532" s="6"/>
      <c r="AB532" s="6"/>
      <c r="AC532" s="6"/>
      <c r="AD532" s="6"/>
      <c r="AE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8"/>
      <c r="U533" s="8"/>
      <c r="V533" s="6"/>
      <c r="W533" s="6"/>
      <c r="X533" s="6"/>
      <c r="Y533" s="6"/>
      <c r="Z533" s="6"/>
      <c r="AA533" s="6"/>
      <c r="AB533" s="6"/>
      <c r="AC533" s="6"/>
      <c r="AD533" s="6"/>
      <c r="AE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8"/>
      <c r="U534" s="8"/>
      <c r="V534" s="6"/>
      <c r="W534" s="6"/>
      <c r="X534" s="6"/>
      <c r="Y534" s="6"/>
      <c r="Z534" s="6"/>
      <c r="AA534" s="6"/>
      <c r="AB534" s="6"/>
      <c r="AC534" s="6"/>
      <c r="AD534" s="6"/>
      <c r="AE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8"/>
      <c r="U535" s="8"/>
      <c r="V535" s="6"/>
      <c r="W535" s="6"/>
      <c r="X535" s="6"/>
      <c r="Y535" s="6"/>
      <c r="Z535" s="6"/>
      <c r="AA535" s="6"/>
      <c r="AB535" s="6"/>
      <c r="AC535" s="6"/>
      <c r="AD535" s="6"/>
      <c r="AE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8"/>
      <c r="U536" s="8"/>
      <c r="V536" s="6"/>
      <c r="W536" s="6"/>
      <c r="X536" s="6"/>
      <c r="Y536" s="6"/>
      <c r="Z536" s="6"/>
      <c r="AA536" s="6"/>
      <c r="AB536" s="6"/>
      <c r="AC536" s="6"/>
      <c r="AD536" s="6"/>
      <c r="AE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8"/>
      <c r="U537" s="8"/>
      <c r="V537" s="6"/>
      <c r="W537" s="6"/>
      <c r="X537" s="6"/>
      <c r="Y537" s="6"/>
      <c r="Z537" s="6"/>
      <c r="AA537" s="6"/>
      <c r="AB537" s="6"/>
      <c r="AC537" s="6"/>
      <c r="AD537" s="6"/>
      <c r="AE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8"/>
      <c r="U538" s="8"/>
      <c r="V538" s="6"/>
      <c r="W538" s="6"/>
      <c r="X538" s="6"/>
      <c r="Y538" s="6"/>
      <c r="Z538" s="6"/>
      <c r="AA538" s="6"/>
      <c r="AB538" s="6"/>
      <c r="AC538" s="6"/>
      <c r="AD538" s="6"/>
      <c r="AE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8"/>
      <c r="U539" s="8"/>
      <c r="V539" s="6"/>
      <c r="W539" s="6"/>
      <c r="X539" s="6"/>
      <c r="Y539" s="6"/>
      <c r="Z539" s="6"/>
      <c r="AA539" s="6"/>
      <c r="AB539" s="6"/>
      <c r="AC539" s="6"/>
      <c r="AD539" s="6"/>
      <c r="AE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8"/>
      <c r="U540" s="8"/>
      <c r="V540" s="6"/>
      <c r="W540" s="6"/>
      <c r="X540" s="6"/>
      <c r="Y540" s="6"/>
      <c r="Z540" s="6"/>
      <c r="AA540" s="6"/>
      <c r="AB540" s="6"/>
      <c r="AC540" s="6"/>
      <c r="AD540" s="6"/>
      <c r="AE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8"/>
      <c r="U541" s="8"/>
      <c r="V541" s="6"/>
      <c r="W541" s="6"/>
      <c r="X541" s="6"/>
      <c r="Y541" s="6"/>
      <c r="Z541" s="6"/>
      <c r="AA541" s="6"/>
      <c r="AB541" s="6"/>
      <c r="AC541" s="6"/>
      <c r="AD541" s="6"/>
      <c r="AE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8"/>
      <c r="U542" s="8"/>
      <c r="V542" s="6"/>
      <c r="W542" s="6"/>
      <c r="X542" s="6"/>
      <c r="Y542" s="6"/>
      <c r="Z542" s="6"/>
      <c r="AA542" s="6"/>
      <c r="AB542" s="6"/>
      <c r="AC542" s="6"/>
      <c r="AD542" s="6"/>
      <c r="AE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8"/>
      <c r="U543" s="8"/>
      <c r="V543" s="6"/>
      <c r="W543" s="6"/>
      <c r="X543" s="6"/>
      <c r="Y543" s="6"/>
      <c r="Z543" s="6"/>
      <c r="AA543" s="6"/>
      <c r="AB543" s="6"/>
      <c r="AC543" s="6"/>
      <c r="AD543" s="6"/>
      <c r="AE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8"/>
      <c r="U544" s="8"/>
      <c r="V544" s="6"/>
      <c r="W544" s="6"/>
      <c r="X544" s="6"/>
      <c r="Y544" s="6"/>
      <c r="Z544" s="6"/>
      <c r="AA544" s="6"/>
      <c r="AB544" s="6"/>
      <c r="AC544" s="6"/>
      <c r="AD544" s="6"/>
      <c r="AE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8"/>
      <c r="U545" s="8"/>
      <c r="V545" s="6"/>
      <c r="W545" s="6"/>
      <c r="X545" s="6"/>
      <c r="Y545" s="6"/>
      <c r="Z545" s="6"/>
      <c r="AA545" s="6"/>
      <c r="AB545" s="6"/>
      <c r="AC545" s="6"/>
      <c r="AD545" s="6"/>
      <c r="AE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8"/>
      <c r="U546" s="8"/>
      <c r="V546" s="6"/>
      <c r="W546" s="6"/>
      <c r="X546" s="6"/>
      <c r="Y546" s="6"/>
      <c r="Z546" s="6"/>
      <c r="AA546" s="6"/>
      <c r="AB546" s="6"/>
      <c r="AC546" s="6"/>
      <c r="AD546" s="6"/>
      <c r="AE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8"/>
      <c r="U547" s="8"/>
      <c r="V547" s="6"/>
      <c r="W547" s="6"/>
      <c r="X547" s="6"/>
      <c r="Y547" s="6"/>
      <c r="Z547" s="6"/>
      <c r="AA547" s="6"/>
      <c r="AB547" s="6"/>
      <c r="AC547" s="6"/>
      <c r="AD547" s="6"/>
      <c r="AE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8"/>
      <c r="U548" s="8"/>
      <c r="V548" s="6"/>
      <c r="W548" s="6"/>
      <c r="X548" s="6"/>
      <c r="Y548" s="6"/>
      <c r="Z548" s="6"/>
      <c r="AA548" s="6"/>
      <c r="AB548" s="6"/>
      <c r="AC548" s="6"/>
      <c r="AD548" s="6"/>
      <c r="AE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8"/>
      <c r="U549" s="8"/>
      <c r="V549" s="6"/>
      <c r="W549" s="6"/>
      <c r="X549" s="6"/>
      <c r="Y549" s="6"/>
      <c r="Z549" s="6"/>
      <c r="AA549" s="6"/>
      <c r="AB549" s="6"/>
      <c r="AC549" s="6"/>
      <c r="AD549" s="6"/>
      <c r="AE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8"/>
      <c r="U550" s="8"/>
      <c r="V550" s="6"/>
      <c r="W550" s="6"/>
      <c r="X550" s="6"/>
      <c r="Y550" s="6"/>
      <c r="Z550" s="6"/>
      <c r="AA550" s="6"/>
      <c r="AB550" s="6"/>
      <c r="AC550" s="6"/>
      <c r="AD550" s="6"/>
      <c r="AE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8"/>
      <c r="U551" s="8"/>
      <c r="V551" s="6"/>
      <c r="W551" s="6"/>
      <c r="X551" s="6"/>
      <c r="Y551" s="6"/>
      <c r="Z551" s="6"/>
      <c r="AA551" s="6"/>
      <c r="AB551" s="6"/>
      <c r="AC551" s="6"/>
      <c r="AD551" s="6"/>
      <c r="AE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8"/>
      <c r="U552" s="8"/>
      <c r="V552" s="6"/>
      <c r="W552" s="6"/>
      <c r="X552" s="6"/>
      <c r="Y552" s="6"/>
      <c r="Z552" s="6"/>
      <c r="AA552" s="6"/>
      <c r="AB552" s="6"/>
      <c r="AC552" s="6"/>
      <c r="AD552" s="6"/>
      <c r="AE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8"/>
      <c r="U553" s="8"/>
      <c r="V553" s="6"/>
      <c r="W553" s="6"/>
      <c r="X553" s="6"/>
      <c r="Y553" s="6"/>
      <c r="Z553" s="6"/>
      <c r="AA553" s="6"/>
      <c r="AB553" s="6"/>
      <c r="AC553" s="6"/>
      <c r="AD553" s="6"/>
      <c r="AE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8"/>
      <c r="U554" s="8"/>
      <c r="V554" s="6"/>
      <c r="W554" s="6"/>
      <c r="X554" s="6"/>
      <c r="Y554" s="6"/>
      <c r="Z554" s="6"/>
      <c r="AA554" s="6"/>
      <c r="AB554" s="6"/>
      <c r="AC554" s="6"/>
      <c r="AD554" s="6"/>
      <c r="AE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8"/>
      <c r="U555" s="8"/>
      <c r="V555" s="6"/>
      <c r="W555" s="6"/>
      <c r="X555" s="6"/>
      <c r="Y555" s="6"/>
      <c r="Z555" s="6"/>
      <c r="AA555" s="6"/>
      <c r="AB555" s="6"/>
      <c r="AC555" s="6"/>
      <c r="AD555" s="6"/>
      <c r="AE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8"/>
      <c r="U556" s="8"/>
      <c r="V556" s="6"/>
      <c r="W556" s="6"/>
      <c r="X556" s="6"/>
      <c r="Y556" s="6"/>
      <c r="Z556" s="6"/>
      <c r="AA556" s="6"/>
      <c r="AB556" s="6"/>
      <c r="AC556" s="6"/>
      <c r="AD556" s="6"/>
      <c r="AE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8"/>
      <c r="U557" s="8"/>
      <c r="V557" s="6"/>
      <c r="W557" s="6"/>
      <c r="X557" s="6"/>
      <c r="Y557" s="6"/>
      <c r="Z557" s="6"/>
      <c r="AA557" s="6"/>
      <c r="AB557" s="6"/>
      <c r="AC557" s="6"/>
      <c r="AD557" s="6"/>
      <c r="AE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8"/>
      <c r="U558" s="8"/>
      <c r="V558" s="6"/>
      <c r="W558" s="6"/>
      <c r="X558" s="6"/>
      <c r="Y558" s="6"/>
      <c r="Z558" s="6"/>
      <c r="AA558" s="6"/>
      <c r="AB558" s="6"/>
      <c r="AC558" s="6"/>
      <c r="AD558" s="6"/>
      <c r="AE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8"/>
      <c r="U559" s="8"/>
      <c r="V559" s="6"/>
      <c r="W559" s="6"/>
      <c r="X559" s="6"/>
      <c r="Y559" s="6"/>
      <c r="Z559" s="6"/>
      <c r="AA559" s="6"/>
      <c r="AB559" s="6"/>
      <c r="AC559" s="6"/>
      <c r="AD559" s="6"/>
      <c r="AE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8"/>
      <c r="U560" s="8"/>
      <c r="V560" s="6"/>
      <c r="W560" s="6"/>
      <c r="X560" s="6"/>
      <c r="Y560" s="6"/>
      <c r="Z560" s="6"/>
      <c r="AA560" s="6"/>
      <c r="AB560" s="6"/>
      <c r="AC560" s="6"/>
      <c r="AD560" s="6"/>
      <c r="AE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8"/>
      <c r="U561" s="8"/>
      <c r="V561" s="6"/>
      <c r="W561" s="6"/>
      <c r="X561" s="6"/>
      <c r="Y561" s="6"/>
      <c r="Z561" s="6"/>
      <c r="AA561" s="6"/>
      <c r="AB561" s="6"/>
      <c r="AC561" s="6"/>
      <c r="AD561" s="6"/>
      <c r="AE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8"/>
      <c r="U562" s="8"/>
      <c r="V562" s="6"/>
      <c r="W562" s="6"/>
      <c r="X562" s="6"/>
      <c r="Y562" s="6"/>
      <c r="Z562" s="6"/>
      <c r="AA562" s="6"/>
      <c r="AB562" s="6"/>
      <c r="AC562" s="6"/>
      <c r="AD562" s="6"/>
      <c r="AE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8"/>
      <c r="U563" s="8"/>
      <c r="V563" s="6"/>
      <c r="W563" s="6"/>
      <c r="X563" s="6"/>
      <c r="Y563" s="6"/>
      <c r="Z563" s="6"/>
      <c r="AA563" s="6"/>
      <c r="AB563" s="6"/>
      <c r="AC563" s="6"/>
      <c r="AD563" s="6"/>
      <c r="AE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8"/>
      <c r="U564" s="8"/>
      <c r="V564" s="6"/>
      <c r="W564" s="6"/>
      <c r="X564" s="6"/>
      <c r="Y564" s="6"/>
      <c r="Z564" s="6"/>
      <c r="AA564" s="6"/>
      <c r="AB564" s="6"/>
      <c r="AC564" s="6"/>
      <c r="AD564" s="6"/>
      <c r="AE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8"/>
      <c r="U565" s="8"/>
      <c r="V565" s="6"/>
      <c r="W565" s="6"/>
      <c r="X565" s="6"/>
      <c r="Y565" s="6"/>
      <c r="Z565" s="6"/>
      <c r="AA565" s="6"/>
      <c r="AB565" s="6"/>
      <c r="AC565" s="6"/>
      <c r="AD565" s="6"/>
      <c r="AE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8"/>
      <c r="U566" s="8"/>
      <c r="V566" s="6"/>
      <c r="W566" s="6"/>
      <c r="X566" s="6"/>
      <c r="Y566" s="6"/>
      <c r="Z566" s="6"/>
      <c r="AA566" s="6"/>
      <c r="AB566" s="6"/>
      <c r="AC566" s="6"/>
      <c r="AD566" s="6"/>
      <c r="AE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8"/>
      <c r="U567" s="8"/>
      <c r="V567" s="6"/>
      <c r="W567" s="6"/>
      <c r="X567" s="6"/>
      <c r="Y567" s="6"/>
      <c r="Z567" s="6"/>
      <c r="AA567" s="6"/>
      <c r="AB567" s="6"/>
      <c r="AC567" s="6"/>
      <c r="AD567" s="6"/>
      <c r="AE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8"/>
      <c r="U568" s="8"/>
      <c r="V568" s="6"/>
      <c r="W568" s="6"/>
      <c r="X568" s="6"/>
      <c r="Y568" s="6"/>
      <c r="Z568" s="6"/>
      <c r="AA568" s="6"/>
      <c r="AB568" s="6"/>
      <c r="AC568" s="6"/>
      <c r="AD568" s="6"/>
      <c r="AE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8"/>
      <c r="U569" s="8"/>
      <c r="V569" s="6"/>
      <c r="W569" s="6"/>
      <c r="X569" s="6"/>
      <c r="Y569" s="6"/>
      <c r="Z569" s="6"/>
      <c r="AA569" s="6"/>
      <c r="AB569" s="6"/>
      <c r="AC569" s="6"/>
      <c r="AD569" s="6"/>
      <c r="AE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8"/>
      <c r="U570" s="8"/>
      <c r="V570" s="6"/>
      <c r="W570" s="6"/>
      <c r="X570" s="6"/>
      <c r="Y570" s="6"/>
      <c r="Z570" s="6"/>
      <c r="AA570" s="6"/>
      <c r="AB570" s="6"/>
      <c r="AC570" s="6"/>
      <c r="AD570" s="6"/>
      <c r="AE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8"/>
      <c r="U571" s="8"/>
      <c r="V571" s="6"/>
      <c r="W571" s="6"/>
      <c r="X571" s="6"/>
      <c r="Y571" s="6"/>
      <c r="Z571" s="6"/>
      <c r="AA571" s="6"/>
      <c r="AB571" s="6"/>
      <c r="AC571" s="6"/>
      <c r="AD571" s="6"/>
      <c r="AE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8"/>
      <c r="U572" s="8"/>
      <c r="V572" s="6"/>
      <c r="W572" s="6"/>
      <c r="X572" s="6"/>
      <c r="Y572" s="6"/>
      <c r="Z572" s="6"/>
      <c r="AA572" s="6"/>
      <c r="AB572" s="6"/>
      <c r="AC572" s="6"/>
      <c r="AD572" s="6"/>
      <c r="AE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8"/>
      <c r="U573" s="8"/>
      <c r="V573" s="6"/>
      <c r="W573" s="6"/>
      <c r="X573" s="6"/>
      <c r="Y573" s="6"/>
      <c r="Z573" s="6"/>
      <c r="AA573" s="6"/>
      <c r="AB573" s="6"/>
      <c r="AC573" s="6"/>
      <c r="AD573" s="6"/>
      <c r="AE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8"/>
      <c r="U574" s="8"/>
      <c r="V574" s="6"/>
      <c r="W574" s="6"/>
      <c r="X574" s="6"/>
      <c r="Y574" s="6"/>
      <c r="Z574" s="6"/>
      <c r="AA574" s="6"/>
      <c r="AB574" s="6"/>
      <c r="AC574" s="6"/>
      <c r="AD574" s="6"/>
      <c r="AE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8"/>
      <c r="U575" s="8"/>
      <c r="V575" s="6"/>
      <c r="W575" s="6"/>
      <c r="X575" s="6"/>
      <c r="Y575" s="6"/>
      <c r="Z575" s="6"/>
      <c r="AA575" s="6"/>
      <c r="AB575" s="6"/>
      <c r="AC575" s="6"/>
      <c r="AD575" s="6"/>
      <c r="AE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8"/>
      <c r="U576" s="8"/>
      <c r="V576" s="6"/>
      <c r="W576" s="6"/>
      <c r="X576" s="6"/>
      <c r="Y576" s="6"/>
      <c r="Z576" s="6"/>
      <c r="AA576" s="6"/>
      <c r="AB576" s="6"/>
      <c r="AC576" s="6"/>
      <c r="AD576" s="6"/>
      <c r="AE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8"/>
      <c r="U577" s="8"/>
      <c r="V577" s="6"/>
      <c r="W577" s="6"/>
      <c r="X577" s="6"/>
      <c r="Y577" s="6"/>
      <c r="Z577" s="6"/>
      <c r="AA577" s="6"/>
      <c r="AB577" s="6"/>
      <c r="AC577" s="6"/>
      <c r="AD577" s="6"/>
      <c r="AE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8"/>
      <c r="U578" s="8"/>
      <c r="V578" s="6"/>
      <c r="W578" s="6"/>
      <c r="X578" s="6"/>
      <c r="Y578" s="6"/>
      <c r="Z578" s="6"/>
      <c r="AA578" s="6"/>
      <c r="AB578" s="6"/>
      <c r="AC578" s="6"/>
      <c r="AD578" s="6"/>
      <c r="AE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8"/>
      <c r="U579" s="8"/>
      <c r="V579" s="6"/>
      <c r="W579" s="6"/>
      <c r="X579" s="6"/>
      <c r="Y579" s="6"/>
      <c r="Z579" s="6"/>
      <c r="AA579" s="6"/>
      <c r="AB579" s="6"/>
      <c r="AC579" s="6"/>
      <c r="AD579" s="6"/>
      <c r="AE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8"/>
      <c r="U580" s="8"/>
      <c r="V580" s="6"/>
      <c r="W580" s="6"/>
      <c r="X580" s="6"/>
      <c r="Y580" s="6"/>
      <c r="Z580" s="6"/>
      <c r="AA580" s="6"/>
      <c r="AB580" s="6"/>
      <c r="AC580" s="6"/>
      <c r="AD580" s="6"/>
      <c r="AE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8"/>
      <c r="U581" s="8"/>
      <c r="V581" s="6"/>
      <c r="W581" s="6"/>
      <c r="X581" s="6"/>
      <c r="Y581" s="6"/>
      <c r="Z581" s="6"/>
      <c r="AA581" s="6"/>
      <c r="AB581" s="6"/>
      <c r="AC581" s="6"/>
      <c r="AD581" s="6"/>
      <c r="AE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8"/>
      <c r="U582" s="8"/>
      <c r="V582" s="6"/>
      <c r="W582" s="6"/>
      <c r="X582" s="6"/>
      <c r="Y582" s="6"/>
      <c r="Z582" s="6"/>
      <c r="AA582" s="6"/>
      <c r="AB582" s="6"/>
      <c r="AC582" s="6"/>
      <c r="AD582" s="6"/>
      <c r="AE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8"/>
      <c r="U583" s="8"/>
      <c r="V583" s="6"/>
      <c r="W583" s="6"/>
      <c r="X583" s="6"/>
      <c r="Y583" s="6"/>
      <c r="Z583" s="6"/>
      <c r="AA583" s="6"/>
      <c r="AB583" s="6"/>
      <c r="AC583" s="6"/>
      <c r="AD583" s="6"/>
      <c r="AE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8"/>
      <c r="U584" s="8"/>
      <c r="V584" s="6"/>
      <c r="W584" s="6"/>
      <c r="X584" s="6"/>
      <c r="Y584" s="6"/>
      <c r="Z584" s="6"/>
      <c r="AA584" s="6"/>
      <c r="AB584" s="6"/>
      <c r="AC584" s="6"/>
      <c r="AD584" s="6"/>
      <c r="AE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8"/>
      <c r="U585" s="8"/>
      <c r="V585" s="6"/>
      <c r="W585" s="6"/>
      <c r="X585" s="6"/>
      <c r="Y585" s="6"/>
      <c r="Z585" s="6"/>
      <c r="AA585" s="6"/>
      <c r="AB585" s="6"/>
      <c r="AC585" s="6"/>
      <c r="AD585" s="6"/>
      <c r="AE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8"/>
      <c r="U586" s="8"/>
      <c r="V586" s="6"/>
      <c r="W586" s="6"/>
      <c r="X586" s="6"/>
      <c r="Y586" s="6"/>
      <c r="Z586" s="6"/>
      <c r="AA586" s="6"/>
      <c r="AB586" s="6"/>
      <c r="AC586" s="6"/>
      <c r="AD586" s="6"/>
      <c r="AE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8"/>
      <c r="U587" s="8"/>
      <c r="V587" s="6"/>
      <c r="W587" s="6"/>
      <c r="X587" s="6"/>
      <c r="Y587" s="6"/>
      <c r="Z587" s="6"/>
      <c r="AA587" s="6"/>
      <c r="AB587" s="6"/>
      <c r="AC587" s="6"/>
      <c r="AD587" s="6"/>
      <c r="AE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8"/>
      <c r="U588" s="8"/>
      <c r="V588" s="6"/>
      <c r="W588" s="6"/>
      <c r="X588" s="6"/>
      <c r="Y588" s="6"/>
      <c r="Z588" s="6"/>
      <c r="AA588" s="6"/>
      <c r="AB588" s="6"/>
      <c r="AC588" s="6"/>
      <c r="AD588" s="6"/>
      <c r="AE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8"/>
      <c r="U589" s="8"/>
      <c r="V589" s="6"/>
      <c r="W589" s="6"/>
      <c r="X589" s="6"/>
      <c r="Y589" s="6"/>
      <c r="Z589" s="6"/>
      <c r="AA589" s="6"/>
      <c r="AB589" s="6"/>
      <c r="AC589" s="6"/>
      <c r="AD589" s="6"/>
      <c r="AE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8"/>
      <c r="U590" s="8"/>
      <c r="V590" s="6"/>
      <c r="W590" s="6"/>
      <c r="X590" s="6"/>
      <c r="Y590" s="6"/>
      <c r="Z590" s="6"/>
      <c r="AA590" s="6"/>
      <c r="AB590" s="6"/>
      <c r="AC590" s="6"/>
      <c r="AD590" s="6"/>
      <c r="AE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8"/>
      <c r="U591" s="8"/>
      <c r="V591" s="6"/>
      <c r="W591" s="6"/>
      <c r="X591" s="6"/>
      <c r="Y591" s="6"/>
      <c r="Z591" s="6"/>
      <c r="AA591" s="6"/>
      <c r="AB591" s="6"/>
      <c r="AC591" s="6"/>
      <c r="AD591" s="6"/>
      <c r="AE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8"/>
      <c r="U592" s="8"/>
      <c r="V592" s="6"/>
      <c r="W592" s="6"/>
      <c r="X592" s="6"/>
      <c r="Y592" s="6"/>
      <c r="Z592" s="6"/>
      <c r="AA592" s="6"/>
      <c r="AB592" s="6"/>
      <c r="AC592" s="6"/>
      <c r="AD592" s="6"/>
      <c r="AE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8"/>
      <c r="U593" s="8"/>
      <c r="V593" s="6"/>
      <c r="W593" s="6"/>
      <c r="X593" s="6"/>
      <c r="Y593" s="6"/>
      <c r="Z593" s="6"/>
      <c r="AA593" s="6"/>
      <c r="AB593" s="6"/>
      <c r="AC593" s="6"/>
      <c r="AD593" s="6"/>
      <c r="AE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8"/>
      <c r="U594" s="8"/>
      <c r="V594" s="6"/>
      <c r="W594" s="6"/>
      <c r="X594" s="6"/>
      <c r="Y594" s="6"/>
      <c r="Z594" s="6"/>
      <c r="AA594" s="6"/>
      <c r="AB594" s="6"/>
      <c r="AC594" s="6"/>
      <c r="AD594" s="6"/>
      <c r="AE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8"/>
      <c r="U595" s="8"/>
      <c r="V595" s="6"/>
      <c r="W595" s="6"/>
      <c r="X595" s="6"/>
      <c r="Y595" s="6"/>
      <c r="Z595" s="6"/>
      <c r="AA595" s="6"/>
      <c r="AB595" s="6"/>
      <c r="AC595" s="6"/>
      <c r="AD595" s="6"/>
      <c r="AE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8"/>
      <c r="U596" s="8"/>
      <c r="V596" s="6"/>
      <c r="W596" s="6"/>
      <c r="X596" s="6"/>
      <c r="Y596" s="6"/>
      <c r="Z596" s="6"/>
      <c r="AA596" s="6"/>
      <c r="AB596" s="6"/>
      <c r="AC596" s="6"/>
      <c r="AD596" s="6"/>
      <c r="AE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8"/>
      <c r="U597" s="8"/>
      <c r="V597" s="6"/>
      <c r="W597" s="6"/>
      <c r="X597" s="6"/>
      <c r="Y597" s="6"/>
      <c r="Z597" s="6"/>
      <c r="AA597" s="6"/>
      <c r="AB597" s="6"/>
      <c r="AC597" s="6"/>
      <c r="AD597" s="6"/>
      <c r="AE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8"/>
      <c r="U598" s="8"/>
      <c r="V598" s="6"/>
      <c r="W598" s="6"/>
      <c r="X598" s="6"/>
      <c r="Y598" s="6"/>
      <c r="Z598" s="6"/>
      <c r="AA598" s="6"/>
      <c r="AB598" s="6"/>
      <c r="AC598" s="6"/>
      <c r="AD598" s="6"/>
      <c r="AE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8"/>
      <c r="U599" s="8"/>
      <c r="V599" s="6"/>
      <c r="W599" s="6"/>
      <c r="X599" s="6"/>
      <c r="Y599" s="6"/>
      <c r="Z599" s="6"/>
      <c r="AA599" s="6"/>
      <c r="AB599" s="6"/>
      <c r="AC599" s="6"/>
      <c r="AD599" s="6"/>
      <c r="AE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8"/>
      <c r="U600" s="8"/>
      <c r="V600" s="6"/>
      <c r="W600" s="6"/>
      <c r="X600" s="6"/>
      <c r="Y600" s="6"/>
      <c r="Z600" s="6"/>
      <c r="AA600" s="6"/>
      <c r="AB600" s="6"/>
      <c r="AC600" s="6"/>
      <c r="AD600" s="6"/>
      <c r="AE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8"/>
      <c r="U601" s="8"/>
      <c r="V601" s="6"/>
      <c r="W601" s="6"/>
      <c r="X601" s="6"/>
      <c r="Y601" s="6"/>
      <c r="Z601" s="6"/>
      <c r="AA601" s="6"/>
      <c r="AB601" s="6"/>
      <c r="AC601" s="6"/>
      <c r="AD601" s="6"/>
      <c r="AE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8"/>
      <c r="U602" s="8"/>
      <c r="V602" s="6"/>
      <c r="W602" s="6"/>
      <c r="X602" s="6"/>
      <c r="Y602" s="6"/>
      <c r="Z602" s="6"/>
      <c r="AA602" s="6"/>
      <c r="AB602" s="6"/>
      <c r="AC602" s="6"/>
      <c r="AD602" s="6"/>
      <c r="AE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8"/>
      <c r="U603" s="8"/>
      <c r="V603" s="6"/>
      <c r="W603" s="6"/>
      <c r="X603" s="6"/>
      <c r="Y603" s="6"/>
      <c r="Z603" s="6"/>
      <c r="AA603" s="6"/>
      <c r="AB603" s="6"/>
      <c r="AC603" s="6"/>
      <c r="AD603" s="6"/>
      <c r="AE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8"/>
      <c r="U604" s="8"/>
      <c r="V604" s="6"/>
      <c r="W604" s="6"/>
      <c r="X604" s="6"/>
      <c r="Y604" s="6"/>
      <c r="Z604" s="6"/>
      <c r="AA604" s="6"/>
      <c r="AB604" s="6"/>
      <c r="AC604" s="6"/>
      <c r="AD604" s="6"/>
      <c r="AE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8"/>
      <c r="U605" s="8"/>
      <c r="V605" s="6"/>
      <c r="W605" s="6"/>
      <c r="X605" s="6"/>
      <c r="Y605" s="6"/>
      <c r="Z605" s="6"/>
      <c r="AA605" s="6"/>
      <c r="AB605" s="6"/>
      <c r="AC605" s="6"/>
      <c r="AD605" s="6"/>
      <c r="AE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8"/>
      <c r="U606" s="8"/>
      <c r="V606" s="6"/>
      <c r="W606" s="6"/>
      <c r="X606" s="6"/>
      <c r="Y606" s="6"/>
      <c r="Z606" s="6"/>
      <c r="AA606" s="6"/>
      <c r="AB606" s="6"/>
      <c r="AC606" s="6"/>
      <c r="AD606" s="6"/>
      <c r="AE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8"/>
      <c r="U607" s="8"/>
      <c r="V607" s="6"/>
      <c r="W607" s="6"/>
      <c r="X607" s="6"/>
      <c r="Y607" s="6"/>
      <c r="Z607" s="6"/>
      <c r="AA607" s="6"/>
      <c r="AB607" s="6"/>
      <c r="AC607" s="6"/>
      <c r="AD607" s="6"/>
      <c r="AE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8"/>
      <c r="U608" s="8"/>
      <c r="V608" s="6"/>
      <c r="W608" s="6"/>
      <c r="X608" s="6"/>
      <c r="Y608" s="6"/>
      <c r="Z608" s="6"/>
      <c r="AA608" s="6"/>
      <c r="AB608" s="6"/>
      <c r="AC608" s="6"/>
      <c r="AD608" s="6"/>
      <c r="AE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8"/>
      <c r="U609" s="8"/>
      <c r="V609" s="6"/>
      <c r="W609" s="6"/>
      <c r="X609" s="6"/>
      <c r="Y609" s="6"/>
      <c r="Z609" s="6"/>
      <c r="AA609" s="6"/>
      <c r="AB609" s="6"/>
      <c r="AC609" s="6"/>
      <c r="AD609" s="6"/>
      <c r="AE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8"/>
      <c r="U610" s="8"/>
      <c r="V610" s="6"/>
      <c r="W610" s="6"/>
      <c r="X610" s="6"/>
      <c r="Y610" s="6"/>
      <c r="Z610" s="6"/>
      <c r="AA610" s="6"/>
      <c r="AB610" s="6"/>
      <c r="AC610" s="6"/>
      <c r="AD610" s="6"/>
      <c r="AE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8"/>
      <c r="U611" s="8"/>
      <c r="V611" s="6"/>
      <c r="W611" s="6"/>
      <c r="X611" s="6"/>
      <c r="Y611" s="6"/>
      <c r="Z611" s="6"/>
      <c r="AA611" s="6"/>
      <c r="AB611" s="6"/>
      <c r="AC611" s="6"/>
      <c r="AD611" s="6"/>
      <c r="AE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8"/>
      <c r="U612" s="8"/>
      <c r="V612" s="6"/>
      <c r="W612" s="6"/>
      <c r="X612" s="6"/>
      <c r="Y612" s="6"/>
      <c r="Z612" s="6"/>
      <c r="AA612" s="6"/>
      <c r="AB612" s="6"/>
      <c r="AC612" s="6"/>
      <c r="AD612" s="6"/>
      <c r="AE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8"/>
      <c r="U613" s="8"/>
      <c r="V613" s="6"/>
      <c r="W613" s="6"/>
      <c r="X613" s="6"/>
      <c r="Y613" s="6"/>
      <c r="Z613" s="6"/>
      <c r="AA613" s="6"/>
      <c r="AB613" s="6"/>
      <c r="AC613" s="6"/>
      <c r="AD613" s="6"/>
      <c r="AE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8"/>
      <c r="U614" s="8"/>
      <c r="V614" s="6"/>
      <c r="W614" s="6"/>
      <c r="X614" s="6"/>
      <c r="Y614" s="6"/>
      <c r="Z614" s="6"/>
      <c r="AA614" s="6"/>
      <c r="AB614" s="6"/>
      <c r="AC614" s="6"/>
      <c r="AD614" s="6"/>
      <c r="AE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8"/>
      <c r="U615" s="8"/>
      <c r="V615" s="6"/>
      <c r="W615" s="6"/>
      <c r="X615" s="6"/>
      <c r="Y615" s="6"/>
      <c r="Z615" s="6"/>
      <c r="AA615" s="6"/>
      <c r="AB615" s="6"/>
      <c r="AC615" s="6"/>
      <c r="AD615" s="6"/>
      <c r="AE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8"/>
      <c r="U616" s="8"/>
      <c r="V616" s="6"/>
      <c r="W616" s="6"/>
      <c r="X616" s="6"/>
      <c r="Y616" s="6"/>
      <c r="Z616" s="6"/>
      <c r="AA616" s="6"/>
      <c r="AB616" s="6"/>
      <c r="AC616" s="6"/>
      <c r="AD616" s="6"/>
      <c r="AE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8"/>
      <c r="U617" s="8"/>
      <c r="V617" s="6"/>
      <c r="W617" s="6"/>
      <c r="X617" s="6"/>
      <c r="Y617" s="6"/>
      <c r="Z617" s="6"/>
      <c r="AA617" s="6"/>
      <c r="AB617" s="6"/>
      <c r="AC617" s="6"/>
      <c r="AD617" s="6"/>
      <c r="AE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8"/>
      <c r="U618" s="8"/>
      <c r="V618" s="6"/>
      <c r="W618" s="6"/>
      <c r="X618" s="6"/>
      <c r="Y618" s="6"/>
      <c r="Z618" s="6"/>
      <c r="AA618" s="6"/>
      <c r="AB618" s="6"/>
      <c r="AC618" s="6"/>
      <c r="AD618" s="6"/>
      <c r="AE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8"/>
      <c r="U619" s="8"/>
      <c r="V619" s="6"/>
      <c r="W619" s="6"/>
      <c r="X619" s="6"/>
      <c r="Y619" s="6"/>
      <c r="Z619" s="6"/>
      <c r="AA619" s="6"/>
      <c r="AB619" s="6"/>
      <c r="AC619" s="6"/>
      <c r="AD619" s="6"/>
      <c r="AE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8"/>
      <c r="U620" s="8"/>
      <c r="V620" s="6"/>
      <c r="W620" s="6"/>
      <c r="X620" s="6"/>
      <c r="Y620" s="6"/>
      <c r="Z620" s="6"/>
      <c r="AA620" s="6"/>
      <c r="AB620" s="6"/>
      <c r="AC620" s="6"/>
      <c r="AD620" s="6"/>
      <c r="AE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8"/>
      <c r="U621" s="8"/>
      <c r="V621" s="6"/>
      <c r="W621" s="6"/>
      <c r="X621" s="6"/>
      <c r="Y621" s="6"/>
      <c r="Z621" s="6"/>
      <c r="AA621" s="6"/>
      <c r="AB621" s="6"/>
      <c r="AC621" s="6"/>
      <c r="AD621" s="6"/>
      <c r="AE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8"/>
      <c r="U622" s="8"/>
      <c r="V622" s="6"/>
      <c r="W622" s="6"/>
      <c r="X622" s="6"/>
      <c r="Y622" s="6"/>
      <c r="Z622" s="6"/>
      <c r="AA622" s="6"/>
      <c r="AB622" s="6"/>
      <c r="AC622" s="6"/>
      <c r="AD622" s="6"/>
      <c r="AE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8"/>
      <c r="U623" s="8"/>
      <c r="V623" s="6"/>
      <c r="W623" s="6"/>
      <c r="X623" s="6"/>
      <c r="Y623" s="6"/>
      <c r="Z623" s="6"/>
      <c r="AA623" s="6"/>
      <c r="AB623" s="6"/>
      <c r="AC623" s="6"/>
      <c r="AD623" s="6"/>
      <c r="AE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8"/>
      <c r="U624" s="8"/>
      <c r="V624" s="6"/>
      <c r="W624" s="6"/>
      <c r="X624" s="6"/>
      <c r="Y624" s="6"/>
      <c r="Z624" s="6"/>
      <c r="AA624" s="6"/>
      <c r="AB624" s="6"/>
      <c r="AC624" s="6"/>
      <c r="AD624" s="6"/>
      <c r="AE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8"/>
      <c r="U625" s="8"/>
      <c r="V625" s="6"/>
      <c r="W625" s="6"/>
      <c r="X625" s="6"/>
      <c r="Y625" s="6"/>
      <c r="Z625" s="6"/>
      <c r="AA625" s="6"/>
      <c r="AB625" s="6"/>
      <c r="AC625" s="6"/>
      <c r="AD625" s="6"/>
      <c r="AE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8"/>
      <c r="U626" s="8"/>
      <c r="V626" s="6"/>
      <c r="W626" s="6"/>
      <c r="X626" s="6"/>
      <c r="Y626" s="6"/>
      <c r="Z626" s="6"/>
      <c r="AA626" s="6"/>
      <c r="AB626" s="6"/>
      <c r="AC626" s="6"/>
      <c r="AD626" s="6"/>
      <c r="AE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8"/>
      <c r="U627" s="8"/>
      <c r="V627" s="6"/>
      <c r="W627" s="6"/>
      <c r="X627" s="6"/>
      <c r="Y627" s="6"/>
      <c r="Z627" s="6"/>
      <c r="AA627" s="6"/>
      <c r="AB627" s="6"/>
      <c r="AC627" s="6"/>
      <c r="AD627" s="6"/>
      <c r="AE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8"/>
      <c r="U628" s="8"/>
      <c r="V628" s="6"/>
      <c r="W628" s="6"/>
      <c r="X628" s="6"/>
      <c r="Y628" s="6"/>
      <c r="Z628" s="6"/>
      <c r="AA628" s="6"/>
      <c r="AB628" s="6"/>
      <c r="AC628" s="6"/>
      <c r="AD628" s="6"/>
      <c r="AE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8"/>
      <c r="U629" s="8"/>
      <c r="V629" s="6"/>
      <c r="W629" s="6"/>
      <c r="X629" s="6"/>
      <c r="Y629" s="6"/>
      <c r="Z629" s="6"/>
      <c r="AA629" s="6"/>
      <c r="AB629" s="6"/>
      <c r="AC629" s="6"/>
      <c r="AD629" s="6"/>
      <c r="AE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8"/>
      <c r="U630" s="8"/>
      <c r="V630" s="6"/>
      <c r="W630" s="6"/>
      <c r="X630" s="6"/>
      <c r="Y630" s="6"/>
      <c r="Z630" s="6"/>
      <c r="AA630" s="6"/>
      <c r="AB630" s="6"/>
      <c r="AC630" s="6"/>
      <c r="AD630" s="6"/>
      <c r="AE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8"/>
      <c r="U631" s="8"/>
      <c r="V631" s="6"/>
      <c r="W631" s="6"/>
      <c r="X631" s="6"/>
      <c r="Y631" s="6"/>
      <c r="Z631" s="6"/>
      <c r="AA631" s="6"/>
      <c r="AB631" s="6"/>
      <c r="AC631" s="6"/>
      <c r="AD631" s="6"/>
      <c r="AE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8"/>
      <c r="U632" s="8"/>
      <c r="V632" s="6"/>
      <c r="W632" s="6"/>
      <c r="X632" s="6"/>
      <c r="Y632" s="6"/>
      <c r="Z632" s="6"/>
      <c r="AA632" s="6"/>
      <c r="AB632" s="6"/>
      <c r="AC632" s="6"/>
      <c r="AD632" s="6"/>
      <c r="AE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8"/>
      <c r="U633" s="8"/>
      <c r="V633" s="6"/>
      <c r="W633" s="6"/>
      <c r="X633" s="6"/>
      <c r="Y633" s="6"/>
      <c r="Z633" s="6"/>
      <c r="AA633" s="6"/>
      <c r="AB633" s="6"/>
      <c r="AC633" s="6"/>
      <c r="AD633" s="6"/>
      <c r="AE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8"/>
      <c r="U634" s="8"/>
      <c r="V634" s="6"/>
      <c r="W634" s="6"/>
      <c r="X634" s="6"/>
      <c r="Y634" s="6"/>
      <c r="Z634" s="6"/>
      <c r="AA634" s="6"/>
      <c r="AB634" s="6"/>
      <c r="AC634" s="6"/>
      <c r="AD634" s="6"/>
      <c r="AE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8"/>
      <c r="U635" s="8"/>
      <c r="V635" s="6"/>
      <c r="W635" s="6"/>
      <c r="X635" s="6"/>
      <c r="Y635" s="6"/>
      <c r="Z635" s="6"/>
      <c r="AA635" s="6"/>
      <c r="AB635" s="6"/>
      <c r="AC635" s="6"/>
      <c r="AD635" s="6"/>
      <c r="AE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8"/>
      <c r="U636" s="8"/>
      <c r="V636" s="6"/>
      <c r="W636" s="6"/>
      <c r="X636" s="6"/>
      <c r="Y636" s="6"/>
      <c r="Z636" s="6"/>
      <c r="AA636" s="6"/>
      <c r="AB636" s="6"/>
      <c r="AC636" s="6"/>
      <c r="AD636" s="6"/>
      <c r="AE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8"/>
      <c r="U637" s="8"/>
      <c r="V637" s="6"/>
      <c r="W637" s="6"/>
      <c r="X637" s="6"/>
      <c r="Y637" s="6"/>
      <c r="Z637" s="6"/>
      <c r="AA637" s="6"/>
      <c r="AB637" s="6"/>
      <c r="AC637" s="6"/>
      <c r="AD637" s="6"/>
      <c r="AE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8"/>
      <c r="U638" s="8"/>
      <c r="V638" s="6"/>
      <c r="W638" s="6"/>
      <c r="X638" s="6"/>
      <c r="Y638" s="6"/>
      <c r="Z638" s="6"/>
      <c r="AA638" s="6"/>
      <c r="AB638" s="6"/>
      <c r="AC638" s="6"/>
      <c r="AD638" s="6"/>
      <c r="AE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8"/>
      <c r="U639" s="8"/>
      <c r="V639" s="6"/>
      <c r="W639" s="6"/>
      <c r="X639" s="6"/>
      <c r="Y639" s="6"/>
      <c r="Z639" s="6"/>
      <c r="AA639" s="6"/>
      <c r="AB639" s="6"/>
      <c r="AC639" s="6"/>
      <c r="AD639" s="6"/>
      <c r="AE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8"/>
      <c r="U640" s="8"/>
      <c r="V640" s="6"/>
      <c r="W640" s="6"/>
      <c r="X640" s="6"/>
      <c r="Y640" s="6"/>
      <c r="Z640" s="6"/>
      <c r="AA640" s="6"/>
      <c r="AB640" s="6"/>
      <c r="AC640" s="6"/>
      <c r="AD640" s="6"/>
      <c r="AE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8"/>
      <c r="U641" s="8"/>
      <c r="V641" s="6"/>
      <c r="W641" s="6"/>
      <c r="X641" s="6"/>
      <c r="Y641" s="6"/>
      <c r="Z641" s="6"/>
      <c r="AA641" s="6"/>
      <c r="AB641" s="6"/>
      <c r="AC641" s="6"/>
      <c r="AD641" s="6"/>
      <c r="AE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8"/>
      <c r="U642" s="8"/>
      <c r="V642" s="6"/>
      <c r="W642" s="6"/>
      <c r="X642" s="6"/>
      <c r="Y642" s="6"/>
      <c r="Z642" s="6"/>
      <c r="AA642" s="6"/>
      <c r="AB642" s="6"/>
      <c r="AC642" s="6"/>
      <c r="AD642" s="6"/>
      <c r="AE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8"/>
      <c r="U643" s="8"/>
      <c r="V643" s="6"/>
      <c r="W643" s="6"/>
      <c r="X643" s="6"/>
      <c r="Y643" s="6"/>
      <c r="Z643" s="6"/>
      <c r="AA643" s="6"/>
      <c r="AB643" s="6"/>
      <c r="AC643" s="6"/>
      <c r="AD643" s="6"/>
      <c r="AE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8"/>
      <c r="U644" s="8"/>
      <c r="V644" s="6"/>
      <c r="W644" s="6"/>
      <c r="X644" s="6"/>
      <c r="Y644" s="6"/>
      <c r="Z644" s="6"/>
      <c r="AA644" s="6"/>
      <c r="AB644" s="6"/>
      <c r="AC644" s="6"/>
      <c r="AD644" s="6"/>
      <c r="AE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8"/>
      <c r="U645" s="8"/>
      <c r="V645" s="6"/>
      <c r="W645" s="6"/>
      <c r="X645" s="6"/>
      <c r="Y645" s="6"/>
      <c r="Z645" s="6"/>
      <c r="AA645" s="6"/>
      <c r="AB645" s="6"/>
      <c r="AC645" s="6"/>
      <c r="AD645" s="6"/>
      <c r="AE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8"/>
      <c r="U646" s="8"/>
      <c r="V646" s="6"/>
      <c r="W646" s="6"/>
      <c r="X646" s="6"/>
      <c r="Y646" s="6"/>
      <c r="Z646" s="6"/>
      <c r="AA646" s="6"/>
      <c r="AB646" s="6"/>
      <c r="AC646" s="6"/>
      <c r="AD646" s="6"/>
      <c r="AE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8"/>
      <c r="U647" s="8"/>
      <c r="V647" s="6"/>
      <c r="W647" s="6"/>
      <c r="X647" s="6"/>
      <c r="Y647" s="6"/>
      <c r="Z647" s="6"/>
      <c r="AA647" s="6"/>
      <c r="AB647" s="6"/>
      <c r="AC647" s="6"/>
      <c r="AD647" s="6"/>
      <c r="AE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8"/>
      <c r="U648" s="8"/>
      <c r="V648" s="6"/>
      <c r="W648" s="6"/>
      <c r="X648" s="6"/>
      <c r="Y648" s="6"/>
      <c r="Z648" s="6"/>
      <c r="AA648" s="6"/>
      <c r="AB648" s="6"/>
      <c r="AC648" s="6"/>
      <c r="AD648" s="6"/>
      <c r="AE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8"/>
      <c r="U649" s="8"/>
      <c r="V649" s="6"/>
      <c r="W649" s="6"/>
      <c r="X649" s="6"/>
      <c r="Y649" s="6"/>
      <c r="Z649" s="6"/>
      <c r="AA649" s="6"/>
      <c r="AB649" s="6"/>
      <c r="AC649" s="6"/>
      <c r="AD649" s="6"/>
      <c r="AE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8"/>
      <c r="U650" s="8"/>
      <c r="V650" s="6"/>
      <c r="W650" s="6"/>
      <c r="X650" s="6"/>
      <c r="Y650" s="6"/>
      <c r="Z650" s="6"/>
      <c r="AA650" s="6"/>
      <c r="AB650" s="6"/>
      <c r="AC650" s="6"/>
      <c r="AD650" s="6"/>
      <c r="AE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8"/>
      <c r="U651" s="8"/>
      <c r="V651" s="6"/>
      <c r="W651" s="6"/>
      <c r="X651" s="6"/>
      <c r="Y651" s="6"/>
      <c r="Z651" s="6"/>
      <c r="AA651" s="6"/>
      <c r="AB651" s="6"/>
      <c r="AC651" s="6"/>
      <c r="AD651" s="6"/>
      <c r="AE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8"/>
      <c r="U652" s="8"/>
      <c r="V652" s="6"/>
      <c r="W652" s="6"/>
      <c r="X652" s="6"/>
      <c r="Y652" s="6"/>
      <c r="Z652" s="6"/>
      <c r="AA652" s="6"/>
      <c r="AB652" s="6"/>
      <c r="AC652" s="6"/>
      <c r="AD652" s="6"/>
      <c r="AE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8"/>
      <c r="U653" s="8"/>
      <c r="V653" s="6"/>
      <c r="W653" s="6"/>
      <c r="X653" s="6"/>
      <c r="Y653" s="6"/>
      <c r="Z653" s="6"/>
      <c r="AA653" s="6"/>
      <c r="AB653" s="6"/>
      <c r="AC653" s="6"/>
      <c r="AD653" s="6"/>
      <c r="AE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8"/>
      <c r="U654" s="8"/>
      <c r="V654" s="6"/>
      <c r="W654" s="6"/>
      <c r="X654" s="6"/>
      <c r="Y654" s="6"/>
      <c r="Z654" s="6"/>
      <c r="AA654" s="6"/>
      <c r="AB654" s="6"/>
      <c r="AC654" s="6"/>
      <c r="AD654" s="6"/>
      <c r="AE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8"/>
      <c r="U655" s="8"/>
      <c r="V655" s="6"/>
      <c r="W655" s="6"/>
      <c r="X655" s="6"/>
      <c r="Y655" s="6"/>
      <c r="Z655" s="6"/>
      <c r="AA655" s="6"/>
      <c r="AB655" s="6"/>
      <c r="AC655" s="6"/>
      <c r="AD655" s="6"/>
      <c r="AE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8"/>
      <c r="U656" s="8"/>
      <c r="V656" s="6"/>
      <c r="W656" s="6"/>
      <c r="X656" s="6"/>
      <c r="Y656" s="6"/>
      <c r="Z656" s="6"/>
      <c r="AA656" s="6"/>
      <c r="AB656" s="6"/>
      <c r="AC656" s="6"/>
      <c r="AD656" s="6"/>
      <c r="AE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8"/>
      <c r="U657" s="8"/>
      <c r="V657" s="6"/>
      <c r="W657" s="6"/>
      <c r="X657" s="6"/>
      <c r="Y657" s="6"/>
      <c r="Z657" s="6"/>
      <c r="AA657" s="6"/>
      <c r="AB657" s="6"/>
      <c r="AC657" s="6"/>
      <c r="AD657" s="6"/>
      <c r="AE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8"/>
      <c r="U658" s="8"/>
      <c r="V658" s="6"/>
      <c r="W658" s="6"/>
      <c r="X658" s="6"/>
      <c r="Y658" s="6"/>
      <c r="Z658" s="6"/>
      <c r="AA658" s="6"/>
      <c r="AB658" s="6"/>
      <c r="AC658" s="6"/>
      <c r="AD658" s="6"/>
      <c r="AE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8"/>
      <c r="U659" s="8"/>
      <c r="V659" s="6"/>
      <c r="W659" s="6"/>
      <c r="X659" s="6"/>
      <c r="Y659" s="6"/>
      <c r="Z659" s="6"/>
      <c r="AA659" s="6"/>
      <c r="AB659" s="6"/>
      <c r="AC659" s="6"/>
      <c r="AD659" s="6"/>
      <c r="AE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8"/>
      <c r="U660" s="8"/>
      <c r="V660" s="6"/>
      <c r="W660" s="6"/>
      <c r="X660" s="6"/>
      <c r="Y660" s="6"/>
      <c r="Z660" s="6"/>
      <c r="AA660" s="6"/>
      <c r="AB660" s="6"/>
      <c r="AC660" s="6"/>
      <c r="AD660" s="6"/>
      <c r="AE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8"/>
      <c r="U661" s="8"/>
      <c r="V661" s="6"/>
      <c r="W661" s="6"/>
      <c r="X661" s="6"/>
      <c r="Y661" s="6"/>
      <c r="Z661" s="6"/>
      <c r="AA661" s="6"/>
      <c r="AB661" s="6"/>
      <c r="AC661" s="6"/>
      <c r="AD661" s="6"/>
      <c r="AE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8"/>
      <c r="U662" s="8"/>
      <c r="V662" s="6"/>
      <c r="W662" s="6"/>
      <c r="X662" s="6"/>
      <c r="Y662" s="6"/>
      <c r="Z662" s="6"/>
      <c r="AA662" s="6"/>
      <c r="AB662" s="6"/>
      <c r="AC662" s="6"/>
      <c r="AD662" s="6"/>
      <c r="AE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8"/>
      <c r="U663" s="8"/>
      <c r="V663" s="6"/>
      <c r="W663" s="6"/>
      <c r="X663" s="6"/>
      <c r="Y663" s="6"/>
      <c r="Z663" s="6"/>
      <c r="AA663" s="6"/>
      <c r="AB663" s="6"/>
      <c r="AC663" s="6"/>
      <c r="AD663" s="6"/>
      <c r="AE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8"/>
      <c r="U664" s="8"/>
      <c r="V664" s="6"/>
      <c r="W664" s="6"/>
      <c r="X664" s="6"/>
      <c r="Y664" s="6"/>
      <c r="Z664" s="6"/>
      <c r="AA664" s="6"/>
      <c r="AB664" s="6"/>
      <c r="AC664" s="6"/>
      <c r="AD664" s="6"/>
      <c r="AE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8"/>
      <c r="U665" s="8"/>
      <c r="V665" s="6"/>
      <c r="W665" s="6"/>
      <c r="X665" s="6"/>
      <c r="Y665" s="6"/>
      <c r="Z665" s="6"/>
      <c r="AA665" s="6"/>
      <c r="AB665" s="6"/>
      <c r="AC665" s="6"/>
      <c r="AD665" s="6"/>
      <c r="AE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8"/>
      <c r="U666" s="8"/>
      <c r="V666" s="6"/>
      <c r="W666" s="6"/>
      <c r="X666" s="6"/>
      <c r="Y666" s="6"/>
      <c r="Z666" s="6"/>
      <c r="AA666" s="6"/>
      <c r="AB666" s="6"/>
      <c r="AC666" s="6"/>
      <c r="AD666" s="6"/>
      <c r="AE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8"/>
      <c r="U667" s="8"/>
      <c r="V667" s="6"/>
      <c r="W667" s="6"/>
      <c r="X667" s="6"/>
      <c r="Y667" s="6"/>
      <c r="Z667" s="6"/>
      <c r="AA667" s="6"/>
      <c r="AB667" s="6"/>
      <c r="AC667" s="6"/>
      <c r="AD667" s="6"/>
      <c r="AE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8"/>
      <c r="U668" s="8"/>
      <c r="V668" s="6"/>
      <c r="W668" s="6"/>
      <c r="X668" s="6"/>
      <c r="Y668" s="6"/>
      <c r="Z668" s="6"/>
      <c r="AA668" s="6"/>
      <c r="AB668" s="6"/>
      <c r="AC668" s="6"/>
      <c r="AD668" s="6"/>
      <c r="AE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8"/>
      <c r="U669" s="8"/>
      <c r="V669" s="6"/>
      <c r="W669" s="6"/>
      <c r="X669" s="6"/>
      <c r="Y669" s="6"/>
      <c r="Z669" s="6"/>
      <c r="AA669" s="6"/>
      <c r="AB669" s="6"/>
      <c r="AC669" s="6"/>
      <c r="AD669" s="6"/>
      <c r="AE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8"/>
      <c r="U670" s="8"/>
      <c r="V670" s="6"/>
      <c r="W670" s="6"/>
      <c r="X670" s="6"/>
      <c r="Y670" s="6"/>
      <c r="Z670" s="6"/>
      <c r="AA670" s="6"/>
      <c r="AB670" s="6"/>
      <c r="AC670" s="6"/>
      <c r="AD670" s="6"/>
      <c r="AE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8"/>
      <c r="U671" s="8"/>
      <c r="V671" s="6"/>
      <c r="W671" s="6"/>
      <c r="X671" s="6"/>
      <c r="Y671" s="6"/>
      <c r="Z671" s="6"/>
      <c r="AA671" s="6"/>
      <c r="AB671" s="6"/>
      <c r="AC671" s="6"/>
      <c r="AD671" s="6"/>
      <c r="AE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8"/>
      <c r="U672" s="8"/>
      <c r="V672" s="6"/>
      <c r="W672" s="6"/>
      <c r="X672" s="6"/>
      <c r="Y672" s="6"/>
      <c r="Z672" s="6"/>
      <c r="AA672" s="6"/>
      <c r="AB672" s="6"/>
      <c r="AC672" s="6"/>
      <c r="AD672" s="6"/>
      <c r="AE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8"/>
      <c r="U673" s="8"/>
      <c r="V673" s="6"/>
      <c r="W673" s="6"/>
      <c r="X673" s="6"/>
      <c r="Y673" s="6"/>
      <c r="Z673" s="6"/>
      <c r="AA673" s="6"/>
      <c r="AB673" s="6"/>
      <c r="AC673" s="6"/>
      <c r="AD673" s="6"/>
      <c r="AE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8"/>
      <c r="U674" s="8"/>
      <c r="V674" s="6"/>
      <c r="W674" s="6"/>
      <c r="X674" s="6"/>
      <c r="Y674" s="6"/>
      <c r="Z674" s="6"/>
      <c r="AA674" s="6"/>
      <c r="AB674" s="6"/>
      <c r="AC674" s="6"/>
      <c r="AD674" s="6"/>
      <c r="AE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8"/>
      <c r="U675" s="8"/>
      <c r="V675" s="6"/>
      <c r="W675" s="6"/>
      <c r="X675" s="6"/>
      <c r="Y675" s="6"/>
      <c r="Z675" s="6"/>
      <c r="AA675" s="6"/>
      <c r="AB675" s="6"/>
      <c r="AC675" s="6"/>
      <c r="AD675" s="6"/>
      <c r="AE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8"/>
      <c r="U676" s="8"/>
      <c r="V676" s="6"/>
      <c r="W676" s="6"/>
      <c r="X676" s="6"/>
      <c r="Y676" s="6"/>
      <c r="Z676" s="6"/>
      <c r="AA676" s="6"/>
      <c r="AB676" s="6"/>
      <c r="AC676" s="6"/>
      <c r="AD676" s="6"/>
      <c r="AE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8"/>
      <c r="U677" s="8"/>
      <c r="V677" s="6"/>
      <c r="W677" s="6"/>
      <c r="X677" s="6"/>
      <c r="Y677" s="6"/>
      <c r="Z677" s="6"/>
      <c r="AA677" s="6"/>
      <c r="AB677" s="6"/>
      <c r="AC677" s="6"/>
      <c r="AD677" s="6"/>
      <c r="AE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8"/>
      <c r="U678" s="8"/>
      <c r="V678" s="6"/>
      <c r="W678" s="6"/>
      <c r="X678" s="6"/>
      <c r="Y678" s="6"/>
      <c r="Z678" s="6"/>
      <c r="AA678" s="6"/>
      <c r="AB678" s="6"/>
      <c r="AC678" s="6"/>
      <c r="AD678" s="6"/>
      <c r="AE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8"/>
      <c r="U679" s="8"/>
      <c r="V679" s="6"/>
      <c r="W679" s="6"/>
      <c r="X679" s="6"/>
      <c r="Y679" s="6"/>
      <c r="Z679" s="6"/>
      <c r="AA679" s="6"/>
      <c r="AB679" s="6"/>
      <c r="AC679" s="6"/>
      <c r="AD679" s="6"/>
      <c r="AE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8"/>
      <c r="U680" s="8"/>
      <c r="V680" s="6"/>
      <c r="W680" s="6"/>
      <c r="X680" s="6"/>
      <c r="Y680" s="6"/>
      <c r="Z680" s="6"/>
      <c r="AA680" s="6"/>
      <c r="AB680" s="6"/>
      <c r="AC680" s="6"/>
      <c r="AD680" s="6"/>
      <c r="AE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8"/>
      <c r="U681" s="8"/>
      <c r="V681" s="6"/>
      <c r="W681" s="6"/>
      <c r="X681" s="6"/>
      <c r="Y681" s="6"/>
      <c r="Z681" s="6"/>
      <c r="AA681" s="6"/>
      <c r="AB681" s="6"/>
      <c r="AC681" s="6"/>
      <c r="AD681" s="6"/>
      <c r="AE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8"/>
      <c r="U682" s="8"/>
      <c r="V682" s="6"/>
      <c r="W682" s="6"/>
      <c r="X682" s="6"/>
      <c r="Y682" s="6"/>
      <c r="Z682" s="6"/>
      <c r="AA682" s="6"/>
      <c r="AB682" s="6"/>
      <c r="AC682" s="6"/>
      <c r="AD682" s="6"/>
      <c r="AE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8"/>
      <c r="U683" s="8"/>
      <c r="V683" s="6"/>
      <c r="W683" s="6"/>
      <c r="X683" s="6"/>
      <c r="Y683" s="6"/>
      <c r="Z683" s="6"/>
      <c r="AA683" s="6"/>
      <c r="AB683" s="6"/>
      <c r="AC683" s="6"/>
      <c r="AD683" s="6"/>
      <c r="AE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8"/>
      <c r="U684" s="8"/>
      <c r="V684" s="6"/>
      <c r="W684" s="6"/>
      <c r="X684" s="6"/>
      <c r="Y684" s="6"/>
      <c r="Z684" s="6"/>
      <c r="AA684" s="6"/>
      <c r="AB684" s="6"/>
      <c r="AC684" s="6"/>
      <c r="AD684" s="6"/>
      <c r="AE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8"/>
      <c r="U685" s="8"/>
      <c r="V685" s="6"/>
      <c r="W685" s="6"/>
      <c r="X685" s="6"/>
      <c r="Y685" s="6"/>
      <c r="Z685" s="6"/>
      <c r="AA685" s="6"/>
      <c r="AB685" s="6"/>
      <c r="AC685" s="6"/>
      <c r="AD685" s="6"/>
      <c r="AE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8"/>
      <c r="U686" s="8"/>
      <c r="V686" s="6"/>
      <c r="W686" s="6"/>
      <c r="X686" s="6"/>
      <c r="Y686" s="6"/>
      <c r="Z686" s="6"/>
      <c r="AA686" s="6"/>
      <c r="AB686" s="6"/>
      <c r="AC686" s="6"/>
      <c r="AD686" s="6"/>
      <c r="AE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8"/>
      <c r="U687" s="8"/>
      <c r="V687" s="6"/>
      <c r="W687" s="6"/>
      <c r="X687" s="6"/>
      <c r="Y687" s="6"/>
      <c r="Z687" s="6"/>
      <c r="AA687" s="6"/>
      <c r="AB687" s="6"/>
      <c r="AC687" s="6"/>
      <c r="AD687" s="6"/>
      <c r="AE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8"/>
      <c r="U688" s="8"/>
      <c r="V688" s="6"/>
      <c r="W688" s="6"/>
      <c r="X688" s="6"/>
      <c r="Y688" s="6"/>
      <c r="Z688" s="6"/>
      <c r="AA688" s="6"/>
      <c r="AB688" s="6"/>
      <c r="AC688" s="6"/>
      <c r="AD688" s="6"/>
      <c r="AE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8"/>
      <c r="U689" s="8"/>
      <c r="V689" s="6"/>
      <c r="W689" s="6"/>
      <c r="X689" s="6"/>
      <c r="Y689" s="6"/>
      <c r="Z689" s="6"/>
      <c r="AA689" s="6"/>
      <c r="AB689" s="6"/>
      <c r="AC689" s="6"/>
      <c r="AD689" s="6"/>
      <c r="AE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8"/>
      <c r="U690" s="8"/>
      <c r="V690" s="6"/>
      <c r="W690" s="6"/>
      <c r="X690" s="6"/>
      <c r="Y690" s="6"/>
      <c r="Z690" s="6"/>
      <c r="AA690" s="6"/>
      <c r="AB690" s="6"/>
      <c r="AC690" s="6"/>
      <c r="AD690" s="6"/>
      <c r="AE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8"/>
      <c r="U691" s="8"/>
      <c r="V691" s="6"/>
      <c r="W691" s="6"/>
      <c r="X691" s="6"/>
      <c r="Y691" s="6"/>
      <c r="Z691" s="6"/>
      <c r="AA691" s="6"/>
      <c r="AB691" s="6"/>
      <c r="AC691" s="6"/>
      <c r="AD691" s="6"/>
      <c r="AE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8"/>
      <c r="U692" s="8"/>
      <c r="V692" s="6"/>
      <c r="W692" s="6"/>
      <c r="X692" s="6"/>
      <c r="Y692" s="6"/>
      <c r="Z692" s="6"/>
      <c r="AA692" s="6"/>
      <c r="AB692" s="6"/>
      <c r="AC692" s="6"/>
      <c r="AD692" s="6"/>
      <c r="AE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8"/>
      <c r="U693" s="8"/>
      <c r="V693" s="6"/>
      <c r="W693" s="6"/>
      <c r="X693" s="6"/>
      <c r="Y693" s="6"/>
      <c r="Z693" s="6"/>
      <c r="AA693" s="6"/>
      <c r="AB693" s="6"/>
      <c r="AC693" s="6"/>
      <c r="AD693" s="6"/>
      <c r="AE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8"/>
      <c r="U694" s="8"/>
      <c r="V694" s="6"/>
      <c r="W694" s="6"/>
      <c r="X694" s="6"/>
      <c r="Y694" s="6"/>
      <c r="Z694" s="6"/>
      <c r="AA694" s="6"/>
      <c r="AB694" s="6"/>
      <c r="AC694" s="6"/>
      <c r="AD694" s="6"/>
      <c r="AE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8"/>
      <c r="U695" s="8"/>
      <c r="V695" s="6"/>
      <c r="W695" s="6"/>
      <c r="X695" s="6"/>
      <c r="Y695" s="6"/>
      <c r="Z695" s="6"/>
      <c r="AA695" s="6"/>
      <c r="AB695" s="6"/>
      <c r="AC695" s="6"/>
      <c r="AD695" s="6"/>
      <c r="AE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8"/>
      <c r="U696" s="8"/>
      <c r="V696" s="6"/>
      <c r="W696" s="6"/>
      <c r="X696" s="6"/>
      <c r="Y696" s="6"/>
      <c r="Z696" s="6"/>
      <c r="AA696" s="6"/>
      <c r="AB696" s="6"/>
      <c r="AC696" s="6"/>
      <c r="AD696" s="6"/>
      <c r="AE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8"/>
      <c r="U697" s="8"/>
      <c r="V697" s="6"/>
      <c r="W697" s="6"/>
      <c r="X697" s="6"/>
      <c r="Y697" s="6"/>
      <c r="Z697" s="6"/>
      <c r="AA697" s="6"/>
      <c r="AB697" s="6"/>
      <c r="AC697" s="6"/>
      <c r="AD697" s="6"/>
      <c r="AE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8"/>
      <c r="U698" s="8"/>
      <c r="V698" s="6"/>
      <c r="W698" s="6"/>
      <c r="X698" s="6"/>
      <c r="Y698" s="6"/>
      <c r="Z698" s="6"/>
      <c r="AA698" s="6"/>
      <c r="AB698" s="6"/>
      <c r="AC698" s="6"/>
      <c r="AD698" s="6"/>
      <c r="AE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8"/>
      <c r="U699" s="8"/>
      <c r="V699" s="6"/>
      <c r="W699" s="6"/>
      <c r="X699" s="6"/>
      <c r="Y699" s="6"/>
      <c r="Z699" s="6"/>
      <c r="AA699" s="6"/>
      <c r="AB699" s="6"/>
      <c r="AC699" s="6"/>
      <c r="AD699" s="6"/>
      <c r="AE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8"/>
      <c r="U700" s="8"/>
      <c r="V700" s="6"/>
      <c r="W700" s="6"/>
      <c r="X700" s="6"/>
      <c r="Y700" s="6"/>
      <c r="Z700" s="6"/>
      <c r="AA700" s="6"/>
      <c r="AB700" s="6"/>
      <c r="AC700" s="6"/>
      <c r="AD700" s="6"/>
      <c r="AE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8"/>
      <c r="U701" s="8"/>
      <c r="V701" s="6"/>
      <c r="W701" s="6"/>
      <c r="X701" s="6"/>
      <c r="Y701" s="6"/>
      <c r="Z701" s="6"/>
      <c r="AA701" s="6"/>
      <c r="AB701" s="6"/>
      <c r="AC701" s="6"/>
      <c r="AD701" s="6"/>
      <c r="AE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8"/>
      <c r="U702" s="8"/>
      <c r="V702" s="6"/>
      <c r="W702" s="6"/>
      <c r="X702" s="6"/>
      <c r="Y702" s="6"/>
      <c r="Z702" s="6"/>
      <c r="AA702" s="6"/>
      <c r="AB702" s="6"/>
      <c r="AC702" s="6"/>
      <c r="AD702" s="6"/>
      <c r="AE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8"/>
      <c r="U703" s="8"/>
      <c r="V703" s="6"/>
      <c r="W703" s="6"/>
      <c r="X703" s="6"/>
      <c r="Y703" s="6"/>
      <c r="Z703" s="6"/>
      <c r="AA703" s="6"/>
      <c r="AB703" s="6"/>
      <c r="AC703" s="6"/>
      <c r="AD703" s="6"/>
      <c r="AE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8"/>
      <c r="U704" s="8"/>
      <c r="V704" s="6"/>
      <c r="W704" s="6"/>
      <c r="X704" s="6"/>
      <c r="Y704" s="6"/>
      <c r="Z704" s="6"/>
      <c r="AA704" s="6"/>
      <c r="AB704" s="6"/>
      <c r="AC704" s="6"/>
      <c r="AD704" s="6"/>
      <c r="AE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8"/>
      <c r="U705" s="8"/>
      <c r="V705" s="6"/>
      <c r="W705" s="6"/>
      <c r="X705" s="6"/>
      <c r="Y705" s="6"/>
      <c r="Z705" s="6"/>
      <c r="AA705" s="6"/>
      <c r="AB705" s="6"/>
      <c r="AC705" s="6"/>
      <c r="AD705" s="6"/>
      <c r="AE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8"/>
      <c r="U706" s="8"/>
      <c r="V706" s="6"/>
      <c r="W706" s="6"/>
      <c r="X706" s="6"/>
      <c r="Y706" s="6"/>
      <c r="Z706" s="6"/>
      <c r="AA706" s="6"/>
      <c r="AB706" s="6"/>
      <c r="AC706" s="6"/>
      <c r="AD706" s="6"/>
      <c r="AE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8"/>
      <c r="U707" s="8"/>
      <c r="V707" s="6"/>
      <c r="W707" s="6"/>
      <c r="X707" s="6"/>
      <c r="Y707" s="6"/>
      <c r="Z707" s="6"/>
      <c r="AA707" s="6"/>
      <c r="AB707" s="6"/>
      <c r="AC707" s="6"/>
      <c r="AD707" s="6"/>
      <c r="AE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8"/>
      <c r="U708" s="8"/>
      <c r="V708" s="6"/>
      <c r="W708" s="6"/>
      <c r="X708" s="6"/>
      <c r="Y708" s="6"/>
      <c r="Z708" s="6"/>
      <c r="AA708" s="6"/>
      <c r="AB708" s="6"/>
      <c r="AC708" s="6"/>
      <c r="AD708" s="6"/>
      <c r="AE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8"/>
      <c r="U709" s="8"/>
      <c r="V709" s="6"/>
      <c r="W709" s="6"/>
      <c r="X709" s="6"/>
      <c r="Y709" s="6"/>
      <c r="Z709" s="6"/>
      <c r="AA709" s="6"/>
      <c r="AB709" s="6"/>
      <c r="AC709" s="6"/>
      <c r="AD709" s="6"/>
      <c r="AE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8"/>
      <c r="U710" s="8"/>
      <c r="V710" s="6"/>
      <c r="W710" s="6"/>
      <c r="X710" s="6"/>
      <c r="Y710" s="6"/>
      <c r="Z710" s="6"/>
      <c r="AA710" s="6"/>
      <c r="AB710" s="6"/>
      <c r="AC710" s="6"/>
      <c r="AD710" s="6"/>
      <c r="AE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8"/>
      <c r="U711" s="8"/>
      <c r="V711" s="6"/>
      <c r="W711" s="6"/>
      <c r="X711" s="6"/>
      <c r="Y711" s="6"/>
      <c r="Z711" s="6"/>
      <c r="AA711" s="6"/>
      <c r="AB711" s="6"/>
      <c r="AC711" s="6"/>
      <c r="AD711" s="6"/>
      <c r="AE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8"/>
      <c r="U712" s="8"/>
      <c r="V712" s="6"/>
      <c r="W712" s="6"/>
      <c r="X712" s="6"/>
      <c r="Y712" s="6"/>
      <c r="Z712" s="6"/>
      <c r="AA712" s="6"/>
      <c r="AB712" s="6"/>
      <c r="AC712" s="6"/>
      <c r="AD712" s="6"/>
      <c r="AE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8"/>
      <c r="U713" s="8"/>
      <c r="V713" s="6"/>
      <c r="W713" s="6"/>
      <c r="X713" s="6"/>
      <c r="Y713" s="6"/>
      <c r="Z713" s="6"/>
      <c r="AA713" s="6"/>
      <c r="AB713" s="6"/>
      <c r="AC713" s="6"/>
      <c r="AD713" s="6"/>
      <c r="AE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8"/>
      <c r="U714" s="8"/>
      <c r="V714" s="6"/>
      <c r="W714" s="6"/>
      <c r="X714" s="6"/>
      <c r="Y714" s="6"/>
      <c r="Z714" s="6"/>
      <c r="AA714" s="6"/>
      <c r="AB714" s="6"/>
      <c r="AC714" s="6"/>
      <c r="AD714" s="6"/>
      <c r="AE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8"/>
      <c r="U715" s="8"/>
      <c r="V715" s="6"/>
      <c r="W715" s="6"/>
      <c r="X715" s="6"/>
      <c r="Y715" s="6"/>
      <c r="Z715" s="6"/>
      <c r="AA715" s="6"/>
      <c r="AB715" s="6"/>
      <c r="AC715" s="6"/>
      <c r="AD715" s="6"/>
      <c r="AE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8"/>
      <c r="U716" s="8"/>
      <c r="V716" s="6"/>
      <c r="W716" s="6"/>
      <c r="X716" s="6"/>
      <c r="Y716" s="6"/>
      <c r="Z716" s="6"/>
      <c r="AA716" s="6"/>
      <c r="AB716" s="6"/>
      <c r="AC716" s="6"/>
      <c r="AD716" s="6"/>
      <c r="AE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8"/>
      <c r="U717" s="8"/>
      <c r="V717" s="6"/>
      <c r="W717" s="6"/>
      <c r="X717" s="6"/>
      <c r="Y717" s="6"/>
      <c r="Z717" s="6"/>
      <c r="AA717" s="6"/>
      <c r="AB717" s="6"/>
      <c r="AC717" s="6"/>
      <c r="AD717" s="6"/>
      <c r="AE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8"/>
      <c r="U718" s="8"/>
      <c r="V718" s="6"/>
      <c r="W718" s="6"/>
      <c r="X718" s="6"/>
      <c r="Y718" s="6"/>
      <c r="Z718" s="6"/>
      <c r="AA718" s="6"/>
      <c r="AB718" s="6"/>
      <c r="AC718" s="6"/>
      <c r="AD718" s="6"/>
      <c r="AE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8"/>
      <c r="U719" s="8"/>
      <c r="V719" s="6"/>
      <c r="W719" s="6"/>
      <c r="X719" s="6"/>
      <c r="Y719" s="6"/>
      <c r="Z719" s="6"/>
      <c r="AA719" s="6"/>
      <c r="AB719" s="6"/>
      <c r="AC719" s="6"/>
      <c r="AD719" s="6"/>
      <c r="AE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8"/>
      <c r="U720" s="8"/>
      <c r="V720" s="6"/>
      <c r="W720" s="6"/>
      <c r="X720" s="6"/>
      <c r="Y720" s="6"/>
      <c r="Z720" s="6"/>
      <c r="AA720" s="6"/>
      <c r="AB720" s="6"/>
      <c r="AC720" s="6"/>
      <c r="AD720" s="6"/>
      <c r="AE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8"/>
      <c r="U721" s="8"/>
      <c r="V721" s="6"/>
      <c r="W721" s="6"/>
      <c r="X721" s="6"/>
      <c r="Y721" s="6"/>
      <c r="Z721" s="6"/>
      <c r="AA721" s="6"/>
      <c r="AB721" s="6"/>
      <c r="AC721" s="6"/>
      <c r="AD721" s="6"/>
      <c r="AE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8"/>
      <c r="U722" s="8"/>
      <c r="V722" s="6"/>
      <c r="W722" s="6"/>
      <c r="X722" s="6"/>
      <c r="Y722" s="6"/>
      <c r="Z722" s="6"/>
      <c r="AA722" s="6"/>
      <c r="AB722" s="6"/>
      <c r="AC722" s="6"/>
      <c r="AD722" s="6"/>
      <c r="AE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8"/>
      <c r="U723" s="8"/>
      <c r="V723" s="6"/>
      <c r="W723" s="6"/>
      <c r="X723" s="6"/>
      <c r="Y723" s="6"/>
      <c r="Z723" s="6"/>
      <c r="AA723" s="6"/>
      <c r="AB723" s="6"/>
      <c r="AC723" s="6"/>
      <c r="AD723" s="6"/>
      <c r="AE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8"/>
      <c r="U724" s="8"/>
      <c r="V724" s="6"/>
      <c r="W724" s="6"/>
      <c r="X724" s="6"/>
      <c r="Y724" s="6"/>
      <c r="Z724" s="6"/>
      <c r="AA724" s="6"/>
      <c r="AB724" s="6"/>
      <c r="AC724" s="6"/>
      <c r="AD724" s="6"/>
      <c r="AE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8"/>
      <c r="U725" s="8"/>
      <c r="V725" s="6"/>
      <c r="W725" s="6"/>
      <c r="X725" s="6"/>
      <c r="Y725" s="6"/>
      <c r="Z725" s="6"/>
      <c r="AA725" s="6"/>
      <c r="AB725" s="6"/>
      <c r="AC725" s="6"/>
      <c r="AD725" s="6"/>
      <c r="AE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8"/>
      <c r="U726" s="8"/>
      <c r="V726" s="6"/>
      <c r="W726" s="6"/>
      <c r="X726" s="6"/>
      <c r="Y726" s="6"/>
      <c r="Z726" s="6"/>
      <c r="AA726" s="6"/>
      <c r="AB726" s="6"/>
      <c r="AC726" s="6"/>
      <c r="AD726" s="6"/>
      <c r="AE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8"/>
      <c r="U727" s="8"/>
      <c r="V727" s="6"/>
      <c r="W727" s="6"/>
      <c r="X727" s="6"/>
      <c r="Y727" s="6"/>
      <c r="Z727" s="6"/>
      <c r="AA727" s="6"/>
      <c r="AB727" s="6"/>
      <c r="AC727" s="6"/>
      <c r="AD727" s="6"/>
      <c r="AE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8"/>
      <c r="U728" s="8"/>
      <c r="V728" s="6"/>
      <c r="W728" s="6"/>
      <c r="X728" s="6"/>
      <c r="Y728" s="6"/>
      <c r="Z728" s="6"/>
      <c r="AA728" s="6"/>
      <c r="AB728" s="6"/>
      <c r="AC728" s="6"/>
      <c r="AD728" s="6"/>
      <c r="AE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8"/>
      <c r="U729" s="8"/>
      <c r="V729" s="6"/>
      <c r="W729" s="6"/>
      <c r="X729" s="6"/>
      <c r="Y729" s="6"/>
      <c r="Z729" s="6"/>
      <c r="AA729" s="6"/>
      <c r="AB729" s="6"/>
      <c r="AC729" s="6"/>
      <c r="AD729" s="6"/>
      <c r="AE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8"/>
      <c r="U730" s="8"/>
      <c r="V730" s="6"/>
      <c r="W730" s="6"/>
      <c r="X730" s="6"/>
      <c r="Y730" s="6"/>
      <c r="Z730" s="6"/>
      <c r="AA730" s="6"/>
      <c r="AB730" s="6"/>
      <c r="AC730" s="6"/>
      <c r="AD730" s="6"/>
      <c r="AE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8"/>
      <c r="U731" s="8"/>
      <c r="V731" s="6"/>
      <c r="W731" s="6"/>
      <c r="X731" s="6"/>
      <c r="Y731" s="6"/>
      <c r="Z731" s="6"/>
      <c r="AA731" s="6"/>
      <c r="AB731" s="6"/>
      <c r="AC731" s="6"/>
      <c r="AD731" s="6"/>
      <c r="AE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8"/>
      <c r="U732" s="8"/>
      <c r="V732" s="6"/>
      <c r="W732" s="6"/>
      <c r="X732" s="6"/>
      <c r="Y732" s="6"/>
      <c r="Z732" s="6"/>
      <c r="AA732" s="6"/>
      <c r="AB732" s="6"/>
      <c r="AC732" s="6"/>
      <c r="AD732" s="6"/>
      <c r="AE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8"/>
      <c r="U733" s="8"/>
      <c r="V733" s="6"/>
      <c r="W733" s="6"/>
      <c r="X733" s="6"/>
      <c r="Y733" s="6"/>
      <c r="Z733" s="6"/>
      <c r="AA733" s="6"/>
      <c r="AB733" s="6"/>
      <c r="AC733" s="6"/>
      <c r="AD733" s="6"/>
      <c r="AE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8"/>
      <c r="U734" s="8"/>
      <c r="V734" s="6"/>
      <c r="W734" s="6"/>
      <c r="X734" s="6"/>
      <c r="Y734" s="6"/>
      <c r="Z734" s="6"/>
      <c r="AA734" s="6"/>
      <c r="AB734" s="6"/>
      <c r="AC734" s="6"/>
      <c r="AD734" s="6"/>
      <c r="AE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8"/>
      <c r="U735" s="8"/>
      <c r="V735" s="6"/>
      <c r="W735" s="6"/>
      <c r="X735" s="6"/>
      <c r="Y735" s="6"/>
      <c r="Z735" s="6"/>
      <c r="AA735" s="6"/>
      <c r="AB735" s="6"/>
      <c r="AC735" s="6"/>
      <c r="AD735" s="6"/>
      <c r="AE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8"/>
      <c r="U736" s="8"/>
      <c r="V736" s="6"/>
      <c r="W736" s="6"/>
      <c r="X736" s="6"/>
      <c r="Y736" s="6"/>
      <c r="Z736" s="6"/>
      <c r="AA736" s="6"/>
      <c r="AB736" s="6"/>
      <c r="AC736" s="6"/>
      <c r="AD736" s="6"/>
      <c r="AE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8"/>
      <c r="U737" s="8"/>
      <c r="V737" s="6"/>
      <c r="W737" s="6"/>
      <c r="X737" s="6"/>
      <c r="Y737" s="6"/>
      <c r="Z737" s="6"/>
      <c r="AA737" s="6"/>
      <c r="AB737" s="6"/>
      <c r="AC737" s="6"/>
      <c r="AD737" s="6"/>
      <c r="AE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8"/>
      <c r="U738" s="8"/>
      <c r="V738" s="6"/>
      <c r="W738" s="6"/>
      <c r="X738" s="6"/>
      <c r="Y738" s="6"/>
      <c r="Z738" s="6"/>
      <c r="AA738" s="6"/>
      <c r="AB738" s="6"/>
      <c r="AC738" s="6"/>
      <c r="AD738" s="6"/>
      <c r="AE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8"/>
      <c r="U739" s="8"/>
      <c r="V739" s="6"/>
      <c r="W739" s="6"/>
      <c r="X739" s="6"/>
      <c r="Y739" s="6"/>
      <c r="Z739" s="6"/>
      <c r="AA739" s="6"/>
      <c r="AB739" s="6"/>
      <c r="AC739" s="6"/>
      <c r="AD739" s="6"/>
      <c r="AE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8"/>
      <c r="U740" s="8"/>
      <c r="V740" s="6"/>
      <c r="W740" s="6"/>
      <c r="X740" s="6"/>
      <c r="Y740" s="6"/>
      <c r="Z740" s="6"/>
      <c r="AA740" s="6"/>
      <c r="AB740" s="6"/>
      <c r="AC740" s="6"/>
      <c r="AD740" s="6"/>
      <c r="AE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8"/>
      <c r="U741" s="8"/>
      <c r="V741" s="6"/>
      <c r="W741" s="6"/>
      <c r="X741" s="6"/>
      <c r="Y741" s="6"/>
      <c r="Z741" s="6"/>
      <c r="AA741" s="6"/>
      <c r="AB741" s="6"/>
      <c r="AC741" s="6"/>
      <c r="AD741" s="6"/>
      <c r="AE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8"/>
      <c r="U742" s="8"/>
      <c r="V742" s="6"/>
      <c r="W742" s="6"/>
      <c r="X742" s="6"/>
      <c r="Y742" s="6"/>
      <c r="Z742" s="6"/>
      <c r="AA742" s="6"/>
      <c r="AB742" s="6"/>
      <c r="AC742" s="6"/>
      <c r="AD742" s="6"/>
      <c r="AE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8"/>
      <c r="U743" s="8"/>
      <c r="V743" s="6"/>
      <c r="W743" s="6"/>
      <c r="X743" s="6"/>
      <c r="Y743" s="6"/>
      <c r="Z743" s="6"/>
      <c r="AA743" s="6"/>
      <c r="AB743" s="6"/>
      <c r="AC743" s="6"/>
      <c r="AD743" s="6"/>
      <c r="AE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8"/>
      <c r="U744" s="8"/>
      <c r="V744" s="6"/>
      <c r="W744" s="6"/>
      <c r="X744" s="6"/>
      <c r="Y744" s="6"/>
      <c r="Z744" s="6"/>
      <c r="AA744" s="6"/>
      <c r="AB744" s="6"/>
      <c r="AC744" s="6"/>
      <c r="AD744" s="6"/>
      <c r="AE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8"/>
      <c r="U745" s="8"/>
      <c r="V745" s="6"/>
      <c r="W745" s="6"/>
      <c r="X745" s="6"/>
      <c r="Y745" s="6"/>
      <c r="Z745" s="6"/>
      <c r="AA745" s="6"/>
      <c r="AB745" s="6"/>
      <c r="AC745" s="6"/>
      <c r="AD745" s="6"/>
      <c r="AE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8"/>
      <c r="U746" s="8"/>
      <c r="V746" s="6"/>
      <c r="W746" s="6"/>
      <c r="X746" s="6"/>
      <c r="Y746" s="6"/>
      <c r="Z746" s="6"/>
      <c r="AA746" s="6"/>
      <c r="AB746" s="6"/>
      <c r="AC746" s="6"/>
      <c r="AD746" s="6"/>
      <c r="AE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8"/>
      <c r="U747" s="8"/>
      <c r="V747" s="6"/>
      <c r="W747" s="6"/>
      <c r="X747" s="6"/>
      <c r="Y747" s="6"/>
      <c r="Z747" s="6"/>
      <c r="AA747" s="6"/>
      <c r="AB747" s="6"/>
      <c r="AC747" s="6"/>
      <c r="AD747" s="6"/>
      <c r="AE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8"/>
      <c r="U748" s="8"/>
      <c r="V748" s="6"/>
      <c r="W748" s="6"/>
      <c r="X748" s="6"/>
      <c r="Y748" s="6"/>
      <c r="Z748" s="6"/>
      <c r="AA748" s="6"/>
      <c r="AB748" s="6"/>
      <c r="AC748" s="6"/>
      <c r="AD748" s="6"/>
      <c r="AE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8"/>
      <c r="U749" s="8"/>
      <c r="V749" s="6"/>
      <c r="W749" s="6"/>
      <c r="X749" s="6"/>
      <c r="Y749" s="6"/>
      <c r="Z749" s="6"/>
      <c r="AA749" s="6"/>
      <c r="AB749" s="6"/>
      <c r="AC749" s="6"/>
      <c r="AD749" s="6"/>
      <c r="AE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8"/>
      <c r="U750" s="8"/>
      <c r="V750" s="6"/>
      <c r="W750" s="6"/>
      <c r="X750" s="6"/>
      <c r="Y750" s="6"/>
      <c r="Z750" s="6"/>
      <c r="AA750" s="6"/>
      <c r="AB750" s="6"/>
      <c r="AC750" s="6"/>
      <c r="AD750" s="6"/>
      <c r="AE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8"/>
      <c r="U751" s="8"/>
      <c r="V751" s="6"/>
      <c r="W751" s="6"/>
      <c r="X751" s="6"/>
      <c r="Y751" s="6"/>
      <c r="Z751" s="6"/>
      <c r="AA751" s="6"/>
      <c r="AB751" s="6"/>
      <c r="AC751" s="6"/>
      <c r="AD751" s="6"/>
      <c r="AE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8"/>
      <c r="U752" s="8"/>
      <c r="V752" s="6"/>
      <c r="W752" s="6"/>
      <c r="X752" s="6"/>
      <c r="Y752" s="6"/>
      <c r="Z752" s="6"/>
      <c r="AA752" s="6"/>
      <c r="AB752" s="6"/>
      <c r="AC752" s="6"/>
      <c r="AD752" s="6"/>
      <c r="AE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8"/>
      <c r="U753" s="8"/>
      <c r="V753" s="6"/>
      <c r="W753" s="6"/>
      <c r="X753" s="6"/>
      <c r="Y753" s="6"/>
      <c r="Z753" s="6"/>
      <c r="AA753" s="6"/>
      <c r="AB753" s="6"/>
      <c r="AC753" s="6"/>
      <c r="AD753" s="6"/>
      <c r="AE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8"/>
      <c r="U754" s="8"/>
      <c r="V754" s="6"/>
      <c r="W754" s="6"/>
      <c r="X754" s="6"/>
      <c r="Y754" s="6"/>
      <c r="Z754" s="6"/>
      <c r="AA754" s="6"/>
      <c r="AB754" s="6"/>
      <c r="AC754" s="6"/>
      <c r="AD754" s="6"/>
      <c r="AE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8"/>
      <c r="U755" s="8"/>
      <c r="V755" s="6"/>
      <c r="W755" s="6"/>
      <c r="X755" s="6"/>
      <c r="Y755" s="6"/>
      <c r="Z755" s="6"/>
      <c r="AA755" s="6"/>
      <c r="AB755" s="6"/>
      <c r="AC755" s="6"/>
      <c r="AD755" s="6"/>
      <c r="AE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8"/>
      <c r="U756" s="8"/>
      <c r="V756" s="6"/>
      <c r="W756" s="6"/>
      <c r="X756" s="6"/>
      <c r="Y756" s="6"/>
      <c r="Z756" s="6"/>
      <c r="AA756" s="6"/>
      <c r="AB756" s="6"/>
      <c r="AC756" s="6"/>
      <c r="AD756" s="6"/>
      <c r="AE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8"/>
      <c r="U757" s="8"/>
      <c r="V757" s="6"/>
      <c r="W757" s="6"/>
      <c r="X757" s="6"/>
      <c r="Y757" s="6"/>
      <c r="Z757" s="6"/>
      <c r="AA757" s="6"/>
      <c r="AB757" s="6"/>
      <c r="AC757" s="6"/>
      <c r="AD757" s="6"/>
      <c r="AE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8"/>
      <c r="U758" s="8"/>
      <c r="V758" s="6"/>
      <c r="W758" s="6"/>
      <c r="X758" s="6"/>
      <c r="Y758" s="6"/>
      <c r="Z758" s="6"/>
      <c r="AA758" s="6"/>
      <c r="AB758" s="6"/>
      <c r="AC758" s="6"/>
      <c r="AD758" s="6"/>
      <c r="AE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8"/>
      <c r="U759" s="8"/>
      <c r="V759" s="6"/>
      <c r="W759" s="6"/>
      <c r="X759" s="6"/>
      <c r="Y759" s="6"/>
      <c r="Z759" s="6"/>
      <c r="AA759" s="6"/>
      <c r="AB759" s="6"/>
      <c r="AC759" s="6"/>
      <c r="AD759" s="6"/>
      <c r="AE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8"/>
      <c r="U760" s="8"/>
      <c r="V760" s="6"/>
      <c r="W760" s="6"/>
      <c r="X760" s="6"/>
      <c r="Y760" s="6"/>
      <c r="Z760" s="6"/>
      <c r="AA760" s="6"/>
      <c r="AB760" s="6"/>
      <c r="AC760" s="6"/>
      <c r="AD760" s="6"/>
      <c r="AE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8"/>
      <c r="U761" s="8"/>
      <c r="V761" s="6"/>
      <c r="W761" s="6"/>
      <c r="X761" s="6"/>
      <c r="Y761" s="6"/>
      <c r="Z761" s="6"/>
      <c r="AA761" s="6"/>
      <c r="AB761" s="6"/>
      <c r="AC761" s="6"/>
      <c r="AD761" s="6"/>
      <c r="AE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8"/>
      <c r="U762" s="8"/>
      <c r="V762" s="6"/>
      <c r="W762" s="6"/>
      <c r="X762" s="6"/>
      <c r="Y762" s="6"/>
      <c r="Z762" s="6"/>
      <c r="AA762" s="6"/>
      <c r="AB762" s="6"/>
      <c r="AC762" s="6"/>
      <c r="AD762" s="6"/>
      <c r="AE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8"/>
      <c r="U763" s="8"/>
      <c r="V763" s="6"/>
      <c r="W763" s="6"/>
      <c r="X763" s="6"/>
      <c r="Y763" s="6"/>
      <c r="Z763" s="6"/>
      <c r="AA763" s="6"/>
      <c r="AB763" s="6"/>
      <c r="AC763" s="6"/>
      <c r="AD763" s="6"/>
      <c r="AE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8"/>
      <c r="U764" s="8"/>
      <c r="V764" s="6"/>
      <c r="W764" s="6"/>
      <c r="X764" s="6"/>
      <c r="Y764" s="6"/>
      <c r="Z764" s="6"/>
      <c r="AA764" s="6"/>
      <c r="AB764" s="6"/>
      <c r="AC764" s="6"/>
      <c r="AD764" s="6"/>
      <c r="AE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8"/>
      <c r="U765" s="8"/>
      <c r="V765" s="6"/>
      <c r="W765" s="6"/>
      <c r="X765" s="6"/>
      <c r="Y765" s="6"/>
      <c r="Z765" s="6"/>
      <c r="AA765" s="6"/>
      <c r="AB765" s="6"/>
      <c r="AC765" s="6"/>
      <c r="AD765" s="6"/>
      <c r="AE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8"/>
      <c r="U766" s="8"/>
      <c r="V766" s="6"/>
      <c r="W766" s="6"/>
      <c r="X766" s="6"/>
      <c r="Y766" s="6"/>
      <c r="Z766" s="6"/>
      <c r="AA766" s="6"/>
      <c r="AB766" s="6"/>
      <c r="AC766" s="6"/>
      <c r="AD766" s="6"/>
      <c r="AE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8"/>
      <c r="U767" s="8"/>
      <c r="V767" s="6"/>
      <c r="W767" s="6"/>
      <c r="X767" s="6"/>
      <c r="Y767" s="6"/>
      <c r="Z767" s="6"/>
      <c r="AA767" s="6"/>
      <c r="AB767" s="6"/>
      <c r="AC767" s="6"/>
      <c r="AD767" s="6"/>
      <c r="AE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8"/>
      <c r="U768" s="8"/>
      <c r="V768" s="6"/>
      <c r="W768" s="6"/>
      <c r="X768" s="6"/>
      <c r="Y768" s="6"/>
      <c r="Z768" s="6"/>
      <c r="AA768" s="6"/>
      <c r="AB768" s="6"/>
      <c r="AC768" s="6"/>
      <c r="AD768" s="6"/>
      <c r="AE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8"/>
      <c r="U769" s="8"/>
      <c r="V769" s="6"/>
      <c r="W769" s="6"/>
      <c r="X769" s="6"/>
      <c r="Y769" s="6"/>
      <c r="Z769" s="6"/>
      <c r="AA769" s="6"/>
      <c r="AB769" s="6"/>
      <c r="AC769" s="6"/>
      <c r="AD769" s="6"/>
      <c r="AE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8"/>
      <c r="U770" s="8"/>
      <c r="V770" s="6"/>
      <c r="W770" s="6"/>
      <c r="X770" s="6"/>
      <c r="Y770" s="6"/>
      <c r="Z770" s="6"/>
      <c r="AA770" s="6"/>
      <c r="AB770" s="6"/>
      <c r="AC770" s="6"/>
      <c r="AD770" s="6"/>
      <c r="AE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8"/>
      <c r="U771" s="8"/>
      <c r="V771" s="6"/>
      <c r="W771" s="6"/>
      <c r="X771" s="6"/>
      <c r="Y771" s="6"/>
      <c r="Z771" s="6"/>
      <c r="AA771" s="6"/>
      <c r="AB771" s="6"/>
      <c r="AC771" s="6"/>
      <c r="AD771" s="6"/>
      <c r="AE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8"/>
      <c r="U772" s="8"/>
      <c r="V772" s="6"/>
      <c r="W772" s="6"/>
      <c r="X772" s="6"/>
      <c r="Y772" s="6"/>
      <c r="Z772" s="6"/>
      <c r="AA772" s="6"/>
      <c r="AB772" s="6"/>
      <c r="AC772" s="6"/>
      <c r="AD772" s="6"/>
      <c r="AE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8"/>
      <c r="U773" s="8"/>
      <c r="V773" s="6"/>
      <c r="W773" s="6"/>
      <c r="X773" s="6"/>
      <c r="Y773" s="6"/>
      <c r="Z773" s="6"/>
      <c r="AA773" s="6"/>
      <c r="AB773" s="6"/>
      <c r="AC773" s="6"/>
      <c r="AD773" s="6"/>
      <c r="AE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8"/>
      <c r="U774" s="8"/>
      <c r="V774" s="6"/>
      <c r="W774" s="6"/>
      <c r="X774" s="6"/>
      <c r="Y774" s="6"/>
      <c r="Z774" s="6"/>
      <c r="AA774" s="6"/>
      <c r="AB774" s="6"/>
      <c r="AC774" s="6"/>
      <c r="AD774" s="6"/>
      <c r="AE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8"/>
      <c r="U775" s="8"/>
      <c r="V775" s="6"/>
      <c r="W775" s="6"/>
      <c r="X775" s="6"/>
      <c r="Y775" s="6"/>
      <c r="Z775" s="6"/>
      <c r="AA775" s="6"/>
      <c r="AB775" s="6"/>
      <c r="AC775" s="6"/>
      <c r="AD775" s="6"/>
      <c r="AE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8"/>
      <c r="U776" s="8"/>
      <c r="V776" s="6"/>
      <c r="W776" s="6"/>
      <c r="X776" s="6"/>
      <c r="Y776" s="6"/>
      <c r="Z776" s="6"/>
      <c r="AA776" s="6"/>
      <c r="AB776" s="6"/>
      <c r="AC776" s="6"/>
      <c r="AD776" s="6"/>
      <c r="AE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8"/>
      <c r="U777" s="8"/>
      <c r="V777" s="6"/>
      <c r="W777" s="6"/>
      <c r="X777" s="6"/>
      <c r="Y777" s="6"/>
      <c r="Z777" s="6"/>
      <c r="AA777" s="6"/>
      <c r="AB777" s="6"/>
      <c r="AC777" s="6"/>
      <c r="AD777" s="6"/>
      <c r="AE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8"/>
      <c r="U778" s="8"/>
      <c r="V778" s="6"/>
      <c r="W778" s="6"/>
      <c r="X778" s="6"/>
      <c r="Y778" s="6"/>
      <c r="Z778" s="6"/>
      <c r="AA778" s="6"/>
      <c r="AB778" s="6"/>
      <c r="AC778" s="6"/>
      <c r="AD778" s="6"/>
      <c r="AE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8"/>
      <c r="U779" s="8"/>
      <c r="V779" s="6"/>
      <c r="W779" s="6"/>
      <c r="X779" s="6"/>
      <c r="Y779" s="6"/>
      <c r="Z779" s="6"/>
      <c r="AA779" s="6"/>
      <c r="AB779" s="6"/>
      <c r="AC779" s="6"/>
      <c r="AD779" s="6"/>
      <c r="AE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8"/>
      <c r="U780" s="8"/>
      <c r="V780" s="6"/>
      <c r="W780" s="6"/>
      <c r="X780" s="6"/>
      <c r="Y780" s="6"/>
      <c r="Z780" s="6"/>
      <c r="AA780" s="6"/>
      <c r="AB780" s="6"/>
      <c r="AC780" s="6"/>
      <c r="AD780" s="6"/>
      <c r="AE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8"/>
      <c r="U781" s="8"/>
      <c r="V781" s="6"/>
      <c r="W781" s="6"/>
      <c r="X781" s="6"/>
      <c r="Y781" s="6"/>
      <c r="Z781" s="6"/>
      <c r="AA781" s="6"/>
      <c r="AB781" s="6"/>
      <c r="AC781" s="6"/>
      <c r="AD781" s="6"/>
      <c r="AE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8"/>
      <c r="U782" s="8"/>
      <c r="V782" s="6"/>
      <c r="W782" s="6"/>
      <c r="X782" s="6"/>
      <c r="Y782" s="6"/>
      <c r="Z782" s="6"/>
      <c r="AA782" s="6"/>
      <c r="AB782" s="6"/>
      <c r="AC782" s="6"/>
      <c r="AD782" s="6"/>
      <c r="AE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8"/>
      <c r="U783" s="8"/>
      <c r="V783" s="6"/>
      <c r="W783" s="6"/>
      <c r="X783" s="6"/>
      <c r="Y783" s="6"/>
      <c r="Z783" s="6"/>
      <c r="AA783" s="6"/>
      <c r="AB783" s="6"/>
      <c r="AC783" s="6"/>
      <c r="AD783" s="6"/>
      <c r="AE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8"/>
      <c r="U784" s="8"/>
      <c r="V784" s="6"/>
      <c r="W784" s="6"/>
      <c r="X784" s="6"/>
      <c r="Y784" s="6"/>
      <c r="Z784" s="6"/>
      <c r="AA784" s="6"/>
      <c r="AB784" s="6"/>
      <c r="AC784" s="6"/>
      <c r="AD784" s="6"/>
      <c r="AE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8"/>
      <c r="U785" s="8"/>
      <c r="V785" s="6"/>
      <c r="W785" s="6"/>
      <c r="X785" s="6"/>
      <c r="Y785" s="6"/>
      <c r="Z785" s="6"/>
      <c r="AA785" s="6"/>
      <c r="AB785" s="6"/>
      <c r="AC785" s="6"/>
      <c r="AD785" s="6"/>
      <c r="AE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8"/>
      <c r="U786" s="8"/>
      <c r="V786" s="6"/>
      <c r="W786" s="6"/>
      <c r="X786" s="6"/>
      <c r="Y786" s="6"/>
      <c r="Z786" s="6"/>
      <c r="AA786" s="6"/>
      <c r="AB786" s="6"/>
      <c r="AC786" s="6"/>
      <c r="AD786" s="6"/>
      <c r="AE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8"/>
      <c r="U787" s="8"/>
      <c r="V787" s="6"/>
      <c r="W787" s="6"/>
      <c r="X787" s="6"/>
      <c r="Y787" s="6"/>
      <c r="Z787" s="6"/>
      <c r="AA787" s="6"/>
      <c r="AB787" s="6"/>
      <c r="AC787" s="6"/>
      <c r="AD787" s="6"/>
      <c r="AE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8"/>
      <c r="U788" s="8"/>
      <c r="V788" s="6"/>
      <c r="W788" s="6"/>
      <c r="X788" s="6"/>
      <c r="Y788" s="6"/>
      <c r="Z788" s="6"/>
      <c r="AA788" s="6"/>
      <c r="AB788" s="6"/>
      <c r="AC788" s="6"/>
      <c r="AD788" s="6"/>
      <c r="AE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8"/>
      <c r="U789" s="8"/>
      <c r="V789" s="6"/>
      <c r="W789" s="6"/>
      <c r="X789" s="6"/>
      <c r="Y789" s="6"/>
      <c r="Z789" s="6"/>
      <c r="AA789" s="6"/>
      <c r="AB789" s="6"/>
      <c r="AC789" s="6"/>
      <c r="AD789" s="6"/>
      <c r="AE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8"/>
      <c r="U790" s="8"/>
      <c r="V790" s="6"/>
      <c r="W790" s="6"/>
      <c r="X790" s="6"/>
      <c r="Y790" s="6"/>
      <c r="Z790" s="6"/>
      <c r="AA790" s="6"/>
      <c r="AB790" s="6"/>
      <c r="AC790" s="6"/>
      <c r="AD790" s="6"/>
      <c r="AE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8"/>
      <c r="U791" s="8"/>
      <c r="V791" s="6"/>
      <c r="W791" s="6"/>
      <c r="X791" s="6"/>
      <c r="Y791" s="6"/>
      <c r="Z791" s="6"/>
      <c r="AA791" s="6"/>
      <c r="AB791" s="6"/>
      <c r="AC791" s="6"/>
      <c r="AD791" s="6"/>
      <c r="AE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8"/>
      <c r="U792" s="8"/>
      <c r="V792" s="6"/>
      <c r="W792" s="6"/>
      <c r="X792" s="6"/>
      <c r="Y792" s="6"/>
      <c r="Z792" s="6"/>
      <c r="AA792" s="6"/>
      <c r="AB792" s="6"/>
      <c r="AC792" s="6"/>
      <c r="AD792" s="6"/>
      <c r="AE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8"/>
      <c r="U793" s="8"/>
      <c r="V793" s="6"/>
      <c r="W793" s="6"/>
      <c r="X793" s="6"/>
      <c r="Y793" s="6"/>
      <c r="Z793" s="6"/>
      <c r="AA793" s="6"/>
      <c r="AB793" s="6"/>
      <c r="AC793" s="6"/>
      <c r="AD793" s="6"/>
      <c r="AE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8"/>
      <c r="U794" s="8"/>
      <c r="V794" s="6"/>
      <c r="W794" s="6"/>
      <c r="X794" s="6"/>
      <c r="Y794" s="6"/>
      <c r="Z794" s="6"/>
      <c r="AA794" s="6"/>
      <c r="AB794" s="6"/>
      <c r="AC794" s="6"/>
      <c r="AD794" s="6"/>
      <c r="AE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8"/>
      <c r="U795" s="8"/>
      <c r="V795" s="6"/>
      <c r="W795" s="6"/>
      <c r="X795" s="6"/>
      <c r="Y795" s="6"/>
      <c r="Z795" s="6"/>
      <c r="AA795" s="6"/>
      <c r="AB795" s="6"/>
      <c r="AC795" s="6"/>
      <c r="AD795" s="6"/>
      <c r="AE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8"/>
      <c r="U796" s="8"/>
      <c r="V796" s="6"/>
      <c r="W796" s="6"/>
      <c r="X796" s="6"/>
      <c r="Y796" s="6"/>
      <c r="Z796" s="6"/>
      <c r="AA796" s="6"/>
      <c r="AB796" s="6"/>
      <c r="AC796" s="6"/>
      <c r="AD796" s="6"/>
      <c r="AE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8"/>
      <c r="U797" s="8"/>
      <c r="V797" s="6"/>
      <c r="W797" s="6"/>
      <c r="X797" s="6"/>
      <c r="Y797" s="6"/>
      <c r="Z797" s="6"/>
      <c r="AA797" s="6"/>
      <c r="AB797" s="6"/>
      <c r="AC797" s="6"/>
      <c r="AD797" s="6"/>
      <c r="AE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8"/>
      <c r="U798" s="8"/>
      <c r="V798" s="6"/>
      <c r="W798" s="6"/>
      <c r="X798" s="6"/>
      <c r="Y798" s="6"/>
      <c r="Z798" s="6"/>
      <c r="AA798" s="6"/>
      <c r="AB798" s="6"/>
      <c r="AC798" s="6"/>
      <c r="AD798" s="6"/>
      <c r="AE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8"/>
      <c r="U799" s="8"/>
      <c r="V799" s="6"/>
      <c r="W799" s="6"/>
      <c r="X799" s="6"/>
      <c r="Y799" s="6"/>
      <c r="Z799" s="6"/>
      <c r="AA799" s="6"/>
      <c r="AB799" s="6"/>
      <c r="AC799" s="6"/>
      <c r="AD799" s="6"/>
      <c r="AE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8"/>
      <c r="U800" s="8"/>
      <c r="V800" s="6"/>
      <c r="W800" s="6"/>
      <c r="X800" s="6"/>
      <c r="Y800" s="6"/>
      <c r="Z800" s="6"/>
      <c r="AA800" s="6"/>
      <c r="AB800" s="6"/>
      <c r="AC800" s="6"/>
      <c r="AD800" s="6"/>
      <c r="AE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8"/>
      <c r="U801" s="8"/>
      <c r="V801" s="6"/>
      <c r="W801" s="6"/>
      <c r="X801" s="6"/>
      <c r="Y801" s="6"/>
      <c r="Z801" s="6"/>
      <c r="AA801" s="6"/>
      <c r="AB801" s="6"/>
      <c r="AC801" s="6"/>
      <c r="AD801" s="6"/>
      <c r="AE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8"/>
      <c r="U802" s="8"/>
      <c r="V802" s="6"/>
      <c r="W802" s="6"/>
      <c r="X802" s="6"/>
      <c r="Y802" s="6"/>
      <c r="Z802" s="6"/>
      <c r="AA802" s="6"/>
      <c r="AB802" s="6"/>
      <c r="AC802" s="6"/>
      <c r="AD802" s="6"/>
      <c r="AE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8"/>
      <c r="U803" s="8"/>
      <c r="V803" s="6"/>
      <c r="W803" s="6"/>
      <c r="X803" s="6"/>
      <c r="Y803" s="6"/>
      <c r="Z803" s="6"/>
      <c r="AA803" s="6"/>
      <c r="AB803" s="6"/>
      <c r="AC803" s="6"/>
      <c r="AD803" s="6"/>
      <c r="AE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8"/>
      <c r="U804" s="8"/>
      <c r="V804" s="6"/>
      <c r="W804" s="6"/>
      <c r="X804" s="6"/>
      <c r="Y804" s="6"/>
      <c r="Z804" s="6"/>
      <c r="AA804" s="6"/>
      <c r="AB804" s="6"/>
      <c r="AC804" s="6"/>
      <c r="AD804" s="6"/>
      <c r="AE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8"/>
      <c r="U805" s="8"/>
      <c r="V805" s="6"/>
      <c r="W805" s="6"/>
      <c r="X805" s="6"/>
      <c r="Y805" s="6"/>
      <c r="Z805" s="6"/>
      <c r="AA805" s="6"/>
      <c r="AB805" s="6"/>
      <c r="AC805" s="6"/>
      <c r="AD805" s="6"/>
      <c r="AE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8"/>
      <c r="U806" s="8"/>
      <c r="V806" s="6"/>
      <c r="W806" s="6"/>
      <c r="X806" s="6"/>
      <c r="Y806" s="6"/>
      <c r="Z806" s="6"/>
      <c r="AA806" s="6"/>
      <c r="AB806" s="6"/>
      <c r="AC806" s="6"/>
      <c r="AD806" s="6"/>
      <c r="AE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8"/>
      <c r="U807" s="8"/>
      <c r="V807" s="6"/>
      <c r="W807" s="6"/>
      <c r="X807" s="6"/>
      <c r="Y807" s="6"/>
      <c r="Z807" s="6"/>
      <c r="AA807" s="6"/>
      <c r="AB807" s="6"/>
      <c r="AC807" s="6"/>
      <c r="AD807" s="6"/>
      <c r="AE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8"/>
      <c r="U808" s="8"/>
      <c r="V808" s="6"/>
      <c r="W808" s="6"/>
      <c r="X808" s="6"/>
      <c r="Y808" s="6"/>
      <c r="Z808" s="6"/>
      <c r="AA808" s="6"/>
      <c r="AB808" s="6"/>
      <c r="AC808" s="6"/>
      <c r="AD808" s="6"/>
      <c r="AE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8"/>
      <c r="U809" s="8"/>
      <c r="V809" s="6"/>
      <c r="W809" s="6"/>
      <c r="X809" s="6"/>
      <c r="Y809" s="6"/>
      <c r="Z809" s="6"/>
      <c r="AA809" s="6"/>
      <c r="AB809" s="6"/>
      <c r="AC809" s="6"/>
      <c r="AD809" s="6"/>
      <c r="AE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8"/>
      <c r="U810" s="8"/>
      <c r="V810" s="6"/>
      <c r="W810" s="6"/>
      <c r="X810" s="6"/>
      <c r="Y810" s="6"/>
      <c r="Z810" s="6"/>
      <c r="AA810" s="6"/>
      <c r="AB810" s="6"/>
      <c r="AC810" s="6"/>
      <c r="AD810" s="6"/>
      <c r="AE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8"/>
      <c r="U811" s="8"/>
      <c r="V811" s="6"/>
      <c r="W811" s="6"/>
      <c r="X811" s="6"/>
      <c r="Y811" s="6"/>
      <c r="Z811" s="6"/>
      <c r="AA811" s="6"/>
      <c r="AB811" s="6"/>
      <c r="AC811" s="6"/>
      <c r="AD811" s="6"/>
      <c r="AE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8"/>
      <c r="U812" s="8"/>
      <c r="V812" s="6"/>
      <c r="W812" s="6"/>
      <c r="X812" s="6"/>
      <c r="Y812" s="6"/>
      <c r="Z812" s="6"/>
      <c r="AA812" s="6"/>
      <c r="AB812" s="6"/>
      <c r="AC812" s="6"/>
      <c r="AD812" s="6"/>
      <c r="AE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8"/>
      <c r="U813" s="8"/>
      <c r="V813" s="6"/>
      <c r="W813" s="6"/>
      <c r="X813" s="6"/>
      <c r="Y813" s="6"/>
      <c r="Z813" s="6"/>
      <c r="AA813" s="6"/>
      <c r="AB813" s="6"/>
      <c r="AC813" s="6"/>
      <c r="AD813" s="6"/>
      <c r="AE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8"/>
      <c r="U814" s="8"/>
      <c r="V814" s="6"/>
      <c r="W814" s="6"/>
      <c r="X814" s="6"/>
      <c r="Y814" s="6"/>
      <c r="Z814" s="6"/>
      <c r="AA814" s="6"/>
      <c r="AB814" s="6"/>
      <c r="AC814" s="6"/>
      <c r="AD814" s="6"/>
      <c r="AE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8"/>
      <c r="U815" s="8"/>
      <c r="V815" s="6"/>
      <c r="W815" s="6"/>
      <c r="X815" s="6"/>
      <c r="Y815" s="6"/>
      <c r="Z815" s="6"/>
      <c r="AA815" s="6"/>
      <c r="AB815" s="6"/>
      <c r="AC815" s="6"/>
      <c r="AD815" s="6"/>
      <c r="AE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8"/>
      <c r="U816" s="8"/>
      <c r="V816" s="6"/>
      <c r="W816" s="6"/>
      <c r="X816" s="6"/>
      <c r="Y816" s="6"/>
      <c r="Z816" s="6"/>
      <c r="AA816" s="6"/>
      <c r="AB816" s="6"/>
      <c r="AC816" s="6"/>
      <c r="AD816" s="6"/>
      <c r="AE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8"/>
      <c r="U817" s="8"/>
      <c r="V817" s="6"/>
      <c r="W817" s="6"/>
      <c r="X817" s="6"/>
      <c r="Y817" s="6"/>
      <c r="Z817" s="6"/>
      <c r="AA817" s="6"/>
      <c r="AB817" s="6"/>
      <c r="AC817" s="6"/>
      <c r="AD817" s="6"/>
      <c r="AE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8"/>
      <c r="U818" s="8"/>
      <c r="V818" s="6"/>
      <c r="W818" s="6"/>
      <c r="X818" s="6"/>
      <c r="Y818" s="6"/>
      <c r="Z818" s="6"/>
      <c r="AA818" s="6"/>
      <c r="AB818" s="6"/>
      <c r="AC818" s="6"/>
      <c r="AD818" s="6"/>
      <c r="AE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8"/>
      <c r="U819" s="8"/>
      <c r="V819" s="6"/>
      <c r="W819" s="6"/>
      <c r="X819" s="6"/>
      <c r="Y819" s="6"/>
      <c r="Z819" s="6"/>
      <c r="AA819" s="6"/>
      <c r="AB819" s="6"/>
      <c r="AC819" s="6"/>
      <c r="AD819" s="6"/>
      <c r="AE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8"/>
      <c r="U820" s="8"/>
      <c r="V820" s="6"/>
      <c r="W820" s="6"/>
      <c r="X820" s="6"/>
      <c r="Y820" s="6"/>
      <c r="Z820" s="6"/>
      <c r="AA820" s="6"/>
      <c r="AB820" s="6"/>
      <c r="AC820" s="6"/>
      <c r="AD820" s="6"/>
      <c r="AE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8"/>
      <c r="U821" s="8"/>
      <c r="V821" s="6"/>
      <c r="W821" s="6"/>
      <c r="X821" s="6"/>
      <c r="Y821" s="6"/>
      <c r="Z821" s="6"/>
      <c r="AA821" s="6"/>
      <c r="AB821" s="6"/>
      <c r="AC821" s="6"/>
      <c r="AD821" s="6"/>
      <c r="AE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8"/>
      <c r="U822" s="8"/>
      <c r="V822" s="6"/>
      <c r="W822" s="6"/>
      <c r="X822" s="6"/>
      <c r="Y822" s="6"/>
      <c r="Z822" s="6"/>
      <c r="AA822" s="6"/>
      <c r="AB822" s="6"/>
      <c r="AC822" s="6"/>
      <c r="AD822" s="6"/>
      <c r="AE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8"/>
      <c r="U823" s="8"/>
      <c r="V823" s="6"/>
      <c r="W823" s="6"/>
      <c r="X823" s="6"/>
      <c r="Y823" s="6"/>
      <c r="Z823" s="6"/>
      <c r="AA823" s="6"/>
      <c r="AB823" s="6"/>
      <c r="AC823" s="6"/>
      <c r="AD823" s="6"/>
      <c r="AE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8"/>
      <c r="U824" s="8"/>
      <c r="V824" s="6"/>
      <c r="W824" s="6"/>
      <c r="X824" s="6"/>
      <c r="Y824" s="6"/>
      <c r="Z824" s="6"/>
      <c r="AA824" s="6"/>
      <c r="AB824" s="6"/>
      <c r="AC824" s="6"/>
      <c r="AD824" s="6"/>
      <c r="AE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8"/>
      <c r="U825" s="8"/>
      <c r="V825" s="6"/>
      <c r="W825" s="6"/>
      <c r="X825" s="6"/>
      <c r="Y825" s="6"/>
      <c r="Z825" s="6"/>
      <c r="AA825" s="6"/>
      <c r="AB825" s="6"/>
      <c r="AC825" s="6"/>
      <c r="AD825" s="6"/>
      <c r="AE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8"/>
      <c r="U826" s="8"/>
      <c r="V826" s="6"/>
      <c r="W826" s="6"/>
      <c r="X826" s="6"/>
      <c r="Y826" s="6"/>
      <c r="Z826" s="6"/>
      <c r="AA826" s="6"/>
      <c r="AB826" s="6"/>
      <c r="AC826" s="6"/>
      <c r="AD826" s="6"/>
      <c r="AE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8"/>
      <c r="U827" s="8"/>
      <c r="V827" s="6"/>
      <c r="W827" s="6"/>
      <c r="X827" s="6"/>
      <c r="Y827" s="6"/>
      <c r="Z827" s="6"/>
      <c r="AA827" s="6"/>
      <c r="AB827" s="6"/>
      <c r="AC827" s="6"/>
      <c r="AD827" s="6"/>
      <c r="AE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8"/>
      <c r="U828" s="8"/>
      <c r="V828" s="6"/>
      <c r="W828" s="6"/>
      <c r="X828" s="6"/>
      <c r="Y828" s="6"/>
      <c r="Z828" s="6"/>
      <c r="AA828" s="6"/>
      <c r="AB828" s="6"/>
      <c r="AC828" s="6"/>
      <c r="AD828" s="6"/>
      <c r="AE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8"/>
      <c r="U829" s="8"/>
      <c r="V829" s="6"/>
      <c r="W829" s="6"/>
      <c r="X829" s="6"/>
      <c r="Y829" s="6"/>
      <c r="Z829" s="6"/>
      <c r="AA829" s="6"/>
      <c r="AB829" s="6"/>
      <c r="AC829" s="6"/>
      <c r="AD829" s="6"/>
      <c r="AE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8"/>
      <c r="U830" s="8"/>
      <c r="V830" s="6"/>
      <c r="W830" s="6"/>
      <c r="X830" s="6"/>
      <c r="Y830" s="6"/>
      <c r="Z830" s="6"/>
      <c r="AA830" s="6"/>
      <c r="AB830" s="6"/>
      <c r="AC830" s="6"/>
      <c r="AD830" s="6"/>
      <c r="AE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8"/>
      <c r="U831" s="8"/>
      <c r="V831" s="6"/>
      <c r="W831" s="6"/>
      <c r="X831" s="6"/>
      <c r="Y831" s="6"/>
      <c r="Z831" s="6"/>
      <c r="AA831" s="6"/>
      <c r="AB831" s="6"/>
      <c r="AC831" s="6"/>
      <c r="AD831" s="6"/>
      <c r="AE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8"/>
      <c r="U832" s="8"/>
      <c r="V832" s="6"/>
      <c r="W832" s="6"/>
      <c r="X832" s="6"/>
      <c r="Y832" s="6"/>
      <c r="Z832" s="6"/>
      <c r="AA832" s="6"/>
      <c r="AB832" s="6"/>
      <c r="AC832" s="6"/>
      <c r="AD832" s="6"/>
      <c r="AE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8"/>
      <c r="U833" s="8"/>
      <c r="V833" s="6"/>
      <c r="W833" s="6"/>
      <c r="X833" s="6"/>
      <c r="Y833" s="6"/>
      <c r="Z833" s="6"/>
      <c r="AA833" s="6"/>
      <c r="AB833" s="6"/>
      <c r="AC833" s="6"/>
      <c r="AD833" s="6"/>
      <c r="AE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8"/>
      <c r="U834" s="8"/>
      <c r="V834" s="6"/>
      <c r="W834" s="6"/>
      <c r="X834" s="6"/>
      <c r="Y834" s="6"/>
      <c r="Z834" s="6"/>
      <c r="AA834" s="6"/>
      <c r="AB834" s="6"/>
      <c r="AC834" s="6"/>
      <c r="AD834" s="6"/>
      <c r="AE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8"/>
      <c r="U835" s="8"/>
      <c r="V835" s="6"/>
      <c r="W835" s="6"/>
      <c r="X835" s="6"/>
      <c r="Y835" s="6"/>
      <c r="Z835" s="6"/>
      <c r="AA835" s="6"/>
      <c r="AB835" s="6"/>
      <c r="AC835" s="6"/>
      <c r="AD835" s="6"/>
      <c r="AE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8"/>
      <c r="U836" s="8"/>
      <c r="V836" s="6"/>
      <c r="W836" s="6"/>
      <c r="X836" s="6"/>
      <c r="Y836" s="6"/>
      <c r="Z836" s="6"/>
      <c r="AA836" s="6"/>
      <c r="AB836" s="6"/>
      <c r="AC836" s="6"/>
      <c r="AD836" s="6"/>
      <c r="AE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8"/>
      <c r="U837" s="8"/>
      <c r="V837" s="6"/>
      <c r="W837" s="6"/>
      <c r="X837" s="6"/>
      <c r="Y837" s="6"/>
      <c r="Z837" s="6"/>
      <c r="AA837" s="6"/>
      <c r="AB837" s="6"/>
      <c r="AC837" s="6"/>
      <c r="AD837" s="6"/>
      <c r="AE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8"/>
      <c r="U838" s="8"/>
      <c r="V838" s="6"/>
      <c r="W838" s="6"/>
      <c r="X838" s="6"/>
      <c r="Y838" s="6"/>
      <c r="Z838" s="6"/>
      <c r="AA838" s="6"/>
      <c r="AB838" s="6"/>
      <c r="AC838" s="6"/>
      <c r="AD838" s="6"/>
      <c r="AE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8"/>
      <c r="U839" s="8"/>
      <c r="V839" s="6"/>
      <c r="W839" s="6"/>
      <c r="X839" s="6"/>
      <c r="Y839" s="6"/>
      <c r="Z839" s="6"/>
      <c r="AA839" s="6"/>
      <c r="AB839" s="6"/>
      <c r="AC839" s="6"/>
      <c r="AD839" s="6"/>
      <c r="AE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8"/>
      <c r="U840" s="8"/>
      <c r="V840" s="6"/>
      <c r="W840" s="6"/>
      <c r="X840" s="6"/>
      <c r="Y840" s="6"/>
      <c r="Z840" s="6"/>
      <c r="AA840" s="6"/>
      <c r="AB840" s="6"/>
      <c r="AC840" s="6"/>
      <c r="AD840" s="6"/>
      <c r="AE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8"/>
      <c r="U841" s="8"/>
      <c r="V841" s="6"/>
      <c r="W841" s="6"/>
      <c r="X841" s="6"/>
      <c r="Y841" s="6"/>
      <c r="Z841" s="6"/>
      <c r="AA841" s="6"/>
      <c r="AB841" s="6"/>
      <c r="AC841" s="6"/>
      <c r="AD841" s="6"/>
      <c r="AE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8"/>
      <c r="U842" s="8"/>
      <c r="V842" s="6"/>
      <c r="W842" s="6"/>
      <c r="X842" s="6"/>
      <c r="Y842" s="6"/>
      <c r="Z842" s="6"/>
      <c r="AA842" s="6"/>
      <c r="AB842" s="6"/>
      <c r="AC842" s="6"/>
      <c r="AD842" s="6"/>
      <c r="AE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8"/>
      <c r="U843" s="8"/>
      <c r="V843" s="6"/>
      <c r="W843" s="6"/>
      <c r="X843" s="6"/>
      <c r="Y843" s="6"/>
      <c r="Z843" s="6"/>
      <c r="AA843" s="6"/>
      <c r="AB843" s="6"/>
      <c r="AC843" s="6"/>
      <c r="AD843" s="6"/>
      <c r="AE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8"/>
      <c r="U844" s="8"/>
      <c r="V844" s="6"/>
      <c r="W844" s="6"/>
      <c r="X844" s="6"/>
      <c r="Y844" s="6"/>
      <c r="Z844" s="6"/>
      <c r="AA844" s="6"/>
      <c r="AB844" s="6"/>
      <c r="AC844" s="6"/>
      <c r="AD844" s="6"/>
      <c r="AE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8"/>
      <c r="U845" s="8"/>
      <c r="V845" s="6"/>
      <c r="W845" s="6"/>
      <c r="X845" s="6"/>
      <c r="Y845" s="6"/>
      <c r="Z845" s="6"/>
      <c r="AA845" s="6"/>
      <c r="AB845" s="6"/>
      <c r="AC845" s="6"/>
      <c r="AD845" s="6"/>
      <c r="AE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8"/>
      <c r="U846" s="8"/>
      <c r="V846" s="6"/>
      <c r="W846" s="6"/>
      <c r="X846" s="6"/>
      <c r="Y846" s="6"/>
      <c r="Z846" s="6"/>
      <c r="AA846" s="6"/>
      <c r="AB846" s="6"/>
      <c r="AC846" s="6"/>
      <c r="AD846" s="6"/>
      <c r="AE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8"/>
      <c r="U847" s="8"/>
      <c r="V847" s="6"/>
      <c r="W847" s="6"/>
      <c r="X847" s="6"/>
      <c r="Y847" s="6"/>
      <c r="Z847" s="6"/>
      <c r="AA847" s="6"/>
      <c r="AB847" s="6"/>
      <c r="AC847" s="6"/>
      <c r="AD847" s="6"/>
      <c r="AE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8"/>
      <c r="U848" s="8"/>
      <c r="V848" s="6"/>
      <c r="W848" s="6"/>
      <c r="X848" s="6"/>
      <c r="Y848" s="6"/>
      <c r="Z848" s="6"/>
      <c r="AA848" s="6"/>
      <c r="AB848" s="6"/>
      <c r="AC848" s="6"/>
      <c r="AD848" s="6"/>
      <c r="AE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8"/>
      <c r="U849" s="8"/>
      <c r="V849" s="6"/>
      <c r="W849" s="6"/>
      <c r="X849" s="6"/>
      <c r="Y849" s="6"/>
      <c r="Z849" s="6"/>
      <c r="AA849" s="6"/>
      <c r="AB849" s="6"/>
      <c r="AC849" s="6"/>
      <c r="AD849" s="6"/>
      <c r="AE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8"/>
      <c r="U850" s="8"/>
      <c r="V850" s="6"/>
      <c r="W850" s="6"/>
      <c r="X850" s="6"/>
      <c r="Y850" s="6"/>
      <c r="Z850" s="6"/>
      <c r="AA850" s="6"/>
      <c r="AB850" s="6"/>
      <c r="AC850" s="6"/>
      <c r="AD850" s="6"/>
      <c r="AE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8"/>
      <c r="U851" s="8"/>
      <c r="V851" s="6"/>
      <c r="W851" s="6"/>
      <c r="X851" s="6"/>
      <c r="Y851" s="6"/>
      <c r="Z851" s="6"/>
      <c r="AA851" s="6"/>
      <c r="AB851" s="6"/>
      <c r="AC851" s="6"/>
      <c r="AD851" s="6"/>
      <c r="AE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8"/>
      <c r="U852" s="8"/>
      <c r="V852" s="6"/>
      <c r="W852" s="6"/>
      <c r="X852" s="6"/>
      <c r="Y852" s="6"/>
      <c r="Z852" s="6"/>
      <c r="AA852" s="6"/>
      <c r="AB852" s="6"/>
      <c r="AC852" s="6"/>
      <c r="AD852" s="6"/>
      <c r="AE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8"/>
      <c r="U853" s="8"/>
      <c r="V853" s="6"/>
      <c r="W853" s="6"/>
      <c r="X853" s="6"/>
      <c r="Y853" s="6"/>
      <c r="Z853" s="6"/>
      <c r="AA853" s="6"/>
      <c r="AB853" s="6"/>
      <c r="AC853" s="6"/>
      <c r="AD853" s="6"/>
      <c r="AE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8"/>
      <c r="U854" s="8"/>
      <c r="V854" s="6"/>
      <c r="W854" s="6"/>
      <c r="X854" s="6"/>
      <c r="Y854" s="6"/>
      <c r="Z854" s="6"/>
      <c r="AA854" s="6"/>
      <c r="AB854" s="6"/>
      <c r="AC854" s="6"/>
      <c r="AD854" s="6"/>
      <c r="AE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8"/>
      <c r="U855" s="8"/>
      <c r="V855" s="6"/>
      <c r="W855" s="6"/>
      <c r="X855" s="6"/>
      <c r="Y855" s="6"/>
      <c r="Z855" s="6"/>
      <c r="AA855" s="6"/>
      <c r="AB855" s="6"/>
      <c r="AC855" s="6"/>
      <c r="AD855" s="6"/>
      <c r="AE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8"/>
      <c r="U856" s="8"/>
      <c r="V856" s="6"/>
      <c r="W856" s="6"/>
      <c r="X856" s="6"/>
      <c r="Y856" s="6"/>
      <c r="Z856" s="6"/>
      <c r="AA856" s="6"/>
      <c r="AB856" s="6"/>
      <c r="AC856" s="6"/>
      <c r="AD856" s="6"/>
      <c r="AE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8"/>
      <c r="U857" s="8"/>
      <c r="V857" s="6"/>
      <c r="W857" s="6"/>
      <c r="X857" s="6"/>
      <c r="Y857" s="6"/>
      <c r="Z857" s="6"/>
      <c r="AA857" s="6"/>
      <c r="AB857" s="6"/>
      <c r="AC857" s="6"/>
      <c r="AD857" s="6"/>
      <c r="AE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8"/>
      <c r="U858" s="8"/>
      <c r="V858" s="6"/>
      <c r="W858" s="6"/>
      <c r="X858" s="6"/>
      <c r="Y858" s="6"/>
      <c r="Z858" s="6"/>
      <c r="AA858" s="6"/>
      <c r="AB858" s="6"/>
      <c r="AC858" s="6"/>
      <c r="AD858" s="6"/>
      <c r="AE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8"/>
      <c r="U859" s="8"/>
      <c r="V859" s="6"/>
      <c r="W859" s="6"/>
      <c r="X859" s="6"/>
      <c r="Y859" s="6"/>
      <c r="Z859" s="6"/>
      <c r="AA859" s="6"/>
      <c r="AB859" s="6"/>
      <c r="AC859" s="6"/>
      <c r="AD859" s="6"/>
      <c r="AE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8"/>
      <c r="U860" s="8"/>
      <c r="V860" s="6"/>
      <c r="W860" s="6"/>
      <c r="X860" s="6"/>
      <c r="Y860" s="6"/>
      <c r="Z860" s="6"/>
      <c r="AA860" s="6"/>
      <c r="AB860" s="6"/>
      <c r="AC860" s="6"/>
      <c r="AD860" s="6"/>
      <c r="AE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8"/>
      <c r="U861" s="8"/>
      <c r="V861" s="6"/>
      <c r="W861" s="6"/>
      <c r="X861" s="6"/>
      <c r="Y861" s="6"/>
      <c r="Z861" s="6"/>
      <c r="AA861" s="6"/>
      <c r="AB861" s="6"/>
      <c r="AC861" s="6"/>
      <c r="AD861" s="6"/>
      <c r="AE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8"/>
      <c r="U862" s="8"/>
      <c r="V862" s="6"/>
      <c r="W862" s="6"/>
      <c r="X862" s="6"/>
      <c r="Y862" s="6"/>
      <c r="Z862" s="6"/>
      <c r="AA862" s="6"/>
      <c r="AB862" s="6"/>
      <c r="AC862" s="6"/>
      <c r="AD862" s="6"/>
      <c r="AE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8"/>
      <c r="U863" s="8"/>
      <c r="V863" s="6"/>
      <c r="W863" s="6"/>
      <c r="X863" s="6"/>
      <c r="Y863" s="6"/>
      <c r="Z863" s="6"/>
      <c r="AA863" s="6"/>
      <c r="AB863" s="6"/>
      <c r="AC863" s="6"/>
      <c r="AD863" s="6"/>
      <c r="AE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8"/>
      <c r="U864" s="8"/>
      <c r="V864" s="6"/>
      <c r="W864" s="6"/>
      <c r="X864" s="6"/>
      <c r="Y864" s="6"/>
      <c r="Z864" s="6"/>
      <c r="AA864" s="6"/>
      <c r="AB864" s="6"/>
      <c r="AC864" s="6"/>
      <c r="AD864" s="6"/>
      <c r="AE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8"/>
      <c r="U865" s="8"/>
      <c r="V865" s="6"/>
      <c r="W865" s="6"/>
      <c r="X865" s="6"/>
      <c r="Y865" s="6"/>
      <c r="Z865" s="6"/>
      <c r="AA865" s="6"/>
      <c r="AB865" s="6"/>
      <c r="AC865" s="6"/>
      <c r="AD865" s="6"/>
      <c r="AE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8"/>
      <c r="U866" s="8"/>
      <c r="V866" s="6"/>
      <c r="W866" s="6"/>
      <c r="X866" s="6"/>
      <c r="Y866" s="6"/>
      <c r="Z866" s="6"/>
      <c r="AA866" s="6"/>
      <c r="AB866" s="6"/>
      <c r="AC866" s="6"/>
      <c r="AD866" s="6"/>
      <c r="AE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8"/>
      <c r="U867" s="8"/>
      <c r="V867" s="6"/>
      <c r="W867" s="6"/>
      <c r="X867" s="6"/>
      <c r="Y867" s="6"/>
      <c r="Z867" s="6"/>
      <c r="AA867" s="6"/>
      <c r="AB867" s="6"/>
      <c r="AC867" s="6"/>
      <c r="AD867" s="6"/>
      <c r="AE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8"/>
      <c r="U868" s="8"/>
      <c r="V868" s="6"/>
      <c r="W868" s="6"/>
      <c r="X868" s="6"/>
      <c r="Y868" s="6"/>
      <c r="Z868" s="6"/>
      <c r="AA868" s="6"/>
      <c r="AB868" s="6"/>
      <c r="AC868" s="6"/>
      <c r="AD868" s="6"/>
      <c r="AE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8"/>
      <c r="U869" s="8"/>
      <c r="V869" s="6"/>
      <c r="W869" s="6"/>
      <c r="X869" s="6"/>
      <c r="Y869" s="6"/>
      <c r="Z869" s="6"/>
      <c r="AA869" s="6"/>
      <c r="AB869" s="6"/>
      <c r="AC869" s="6"/>
      <c r="AD869" s="6"/>
      <c r="AE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8"/>
      <c r="U870" s="8"/>
      <c r="V870" s="6"/>
      <c r="W870" s="6"/>
      <c r="X870" s="6"/>
      <c r="Y870" s="6"/>
      <c r="Z870" s="6"/>
      <c r="AA870" s="6"/>
      <c r="AB870" s="6"/>
      <c r="AC870" s="6"/>
      <c r="AD870" s="6"/>
      <c r="AE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8"/>
      <c r="U871" s="8"/>
      <c r="V871" s="6"/>
      <c r="W871" s="6"/>
      <c r="X871" s="6"/>
      <c r="Y871" s="6"/>
      <c r="Z871" s="6"/>
      <c r="AA871" s="6"/>
      <c r="AB871" s="6"/>
      <c r="AC871" s="6"/>
      <c r="AD871" s="6"/>
      <c r="AE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8"/>
      <c r="U872" s="8"/>
      <c r="V872" s="6"/>
      <c r="W872" s="6"/>
      <c r="X872" s="6"/>
      <c r="Y872" s="6"/>
      <c r="Z872" s="6"/>
      <c r="AA872" s="6"/>
      <c r="AB872" s="6"/>
      <c r="AC872" s="6"/>
      <c r="AD872" s="6"/>
      <c r="AE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8"/>
      <c r="U873" s="8"/>
      <c r="V873" s="6"/>
      <c r="W873" s="6"/>
      <c r="X873" s="6"/>
      <c r="Y873" s="6"/>
      <c r="Z873" s="6"/>
      <c r="AA873" s="6"/>
      <c r="AB873" s="6"/>
      <c r="AC873" s="6"/>
      <c r="AD873" s="6"/>
      <c r="AE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8"/>
      <c r="U874" s="8"/>
      <c r="V874" s="6"/>
      <c r="W874" s="6"/>
      <c r="X874" s="6"/>
      <c r="Y874" s="6"/>
      <c r="Z874" s="6"/>
      <c r="AA874" s="6"/>
      <c r="AB874" s="6"/>
      <c r="AC874" s="6"/>
      <c r="AD874" s="6"/>
      <c r="AE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8"/>
      <c r="U875" s="8"/>
      <c r="V875" s="6"/>
      <c r="W875" s="6"/>
      <c r="X875" s="6"/>
      <c r="Y875" s="6"/>
      <c r="Z875" s="6"/>
      <c r="AA875" s="6"/>
      <c r="AB875" s="6"/>
      <c r="AC875" s="6"/>
      <c r="AD875" s="6"/>
      <c r="AE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8"/>
      <c r="U876" s="8"/>
      <c r="V876" s="6"/>
      <c r="W876" s="6"/>
      <c r="X876" s="6"/>
      <c r="Y876" s="6"/>
      <c r="Z876" s="6"/>
      <c r="AA876" s="6"/>
      <c r="AB876" s="6"/>
      <c r="AC876" s="6"/>
      <c r="AD876" s="6"/>
      <c r="AE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8"/>
      <c r="U877" s="8"/>
      <c r="V877" s="6"/>
      <c r="W877" s="6"/>
      <c r="X877" s="6"/>
      <c r="Y877" s="6"/>
      <c r="Z877" s="6"/>
      <c r="AA877" s="6"/>
      <c r="AB877" s="6"/>
      <c r="AC877" s="6"/>
      <c r="AD877" s="6"/>
      <c r="AE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8"/>
      <c r="U878" s="8"/>
      <c r="V878" s="6"/>
      <c r="W878" s="6"/>
      <c r="X878" s="6"/>
      <c r="Y878" s="6"/>
      <c r="Z878" s="6"/>
      <c r="AA878" s="6"/>
      <c r="AB878" s="6"/>
      <c r="AC878" s="6"/>
      <c r="AD878" s="6"/>
      <c r="AE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8"/>
      <c r="U879" s="8"/>
      <c r="V879" s="6"/>
      <c r="W879" s="6"/>
      <c r="X879" s="6"/>
      <c r="Y879" s="6"/>
      <c r="Z879" s="6"/>
      <c r="AA879" s="6"/>
      <c r="AB879" s="6"/>
      <c r="AC879" s="6"/>
      <c r="AD879" s="6"/>
      <c r="AE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8"/>
      <c r="U880" s="8"/>
      <c r="V880" s="6"/>
      <c r="W880" s="6"/>
      <c r="X880" s="6"/>
      <c r="Y880" s="6"/>
      <c r="Z880" s="6"/>
      <c r="AA880" s="6"/>
      <c r="AB880" s="6"/>
      <c r="AC880" s="6"/>
      <c r="AD880" s="6"/>
      <c r="AE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8"/>
      <c r="U881" s="8"/>
      <c r="V881" s="6"/>
      <c r="W881" s="6"/>
      <c r="X881" s="6"/>
      <c r="Y881" s="6"/>
      <c r="Z881" s="6"/>
      <c r="AA881" s="6"/>
      <c r="AB881" s="6"/>
      <c r="AC881" s="6"/>
      <c r="AD881" s="6"/>
      <c r="AE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8"/>
      <c r="U882" s="8"/>
      <c r="V882" s="6"/>
      <c r="W882" s="6"/>
      <c r="X882" s="6"/>
      <c r="Y882" s="6"/>
      <c r="Z882" s="6"/>
      <c r="AA882" s="6"/>
      <c r="AB882" s="6"/>
      <c r="AC882" s="6"/>
      <c r="AD882" s="6"/>
      <c r="AE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8"/>
      <c r="U883" s="8"/>
      <c r="V883" s="6"/>
      <c r="W883" s="6"/>
      <c r="X883" s="6"/>
      <c r="Y883" s="6"/>
      <c r="Z883" s="6"/>
      <c r="AA883" s="6"/>
      <c r="AB883" s="6"/>
      <c r="AC883" s="6"/>
      <c r="AD883" s="6"/>
      <c r="AE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8"/>
      <c r="U884" s="8"/>
      <c r="V884" s="6"/>
      <c r="W884" s="6"/>
      <c r="X884" s="6"/>
      <c r="Y884" s="6"/>
      <c r="Z884" s="6"/>
      <c r="AA884" s="6"/>
      <c r="AB884" s="6"/>
      <c r="AC884" s="6"/>
      <c r="AD884" s="6"/>
      <c r="AE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8"/>
      <c r="U885" s="8"/>
      <c r="V885" s="6"/>
      <c r="W885" s="6"/>
      <c r="X885" s="6"/>
      <c r="Y885" s="6"/>
      <c r="Z885" s="6"/>
      <c r="AA885" s="6"/>
      <c r="AB885" s="6"/>
      <c r="AC885" s="6"/>
      <c r="AD885" s="6"/>
      <c r="AE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8"/>
      <c r="U886" s="8"/>
      <c r="V886" s="6"/>
      <c r="W886" s="6"/>
      <c r="X886" s="6"/>
      <c r="Y886" s="6"/>
      <c r="Z886" s="6"/>
      <c r="AA886" s="6"/>
      <c r="AB886" s="6"/>
      <c r="AC886" s="6"/>
      <c r="AD886" s="6"/>
      <c r="AE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8"/>
      <c r="U887" s="8"/>
      <c r="V887" s="6"/>
      <c r="W887" s="6"/>
      <c r="X887" s="6"/>
      <c r="Y887" s="6"/>
      <c r="Z887" s="6"/>
      <c r="AA887" s="6"/>
      <c r="AB887" s="6"/>
      <c r="AC887" s="6"/>
      <c r="AD887" s="6"/>
      <c r="AE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8"/>
      <c r="U888" s="8"/>
      <c r="V888" s="6"/>
      <c r="W888" s="6"/>
      <c r="X888" s="6"/>
      <c r="Y888" s="6"/>
      <c r="Z888" s="6"/>
      <c r="AA888" s="6"/>
      <c r="AB888" s="6"/>
      <c r="AC888" s="6"/>
      <c r="AD888" s="6"/>
      <c r="AE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8"/>
      <c r="U889" s="8"/>
      <c r="V889" s="6"/>
      <c r="W889" s="6"/>
      <c r="X889" s="6"/>
      <c r="Y889" s="6"/>
      <c r="Z889" s="6"/>
      <c r="AA889" s="6"/>
      <c r="AB889" s="6"/>
      <c r="AC889" s="6"/>
      <c r="AD889" s="6"/>
      <c r="AE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8"/>
      <c r="U890" s="8"/>
      <c r="V890" s="6"/>
      <c r="W890" s="6"/>
      <c r="X890" s="6"/>
      <c r="Y890" s="6"/>
      <c r="Z890" s="6"/>
      <c r="AA890" s="6"/>
      <c r="AB890" s="6"/>
      <c r="AC890" s="6"/>
      <c r="AD890" s="6"/>
      <c r="AE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8"/>
      <c r="U891" s="8"/>
      <c r="V891" s="6"/>
      <c r="W891" s="6"/>
      <c r="X891" s="6"/>
      <c r="Y891" s="6"/>
      <c r="Z891" s="6"/>
      <c r="AA891" s="6"/>
      <c r="AB891" s="6"/>
      <c r="AC891" s="6"/>
      <c r="AD891" s="6"/>
      <c r="AE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8"/>
      <c r="U892" s="8"/>
      <c r="V892" s="6"/>
      <c r="W892" s="6"/>
      <c r="X892" s="6"/>
      <c r="Y892" s="6"/>
      <c r="Z892" s="6"/>
      <c r="AA892" s="6"/>
      <c r="AB892" s="6"/>
      <c r="AC892" s="6"/>
      <c r="AD892" s="6"/>
      <c r="AE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8"/>
      <c r="U893" s="8"/>
      <c r="V893" s="6"/>
      <c r="W893" s="6"/>
      <c r="X893" s="6"/>
      <c r="Y893" s="6"/>
      <c r="Z893" s="6"/>
      <c r="AA893" s="6"/>
      <c r="AB893" s="6"/>
      <c r="AC893" s="6"/>
      <c r="AD893" s="6"/>
      <c r="AE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8"/>
      <c r="U894" s="8"/>
      <c r="V894" s="6"/>
      <c r="W894" s="6"/>
      <c r="X894" s="6"/>
      <c r="Y894" s="6"/>
      <c r="Z894" s="6"/>
      <c r="AA894" s="6"/>
      <c r="AB894" s="6"/>
      <c r="AC894" s="6"/>
      <c r="AD894" s="6"/>
      <c r="AE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8"/>
      <c r="U895" s="8"/>
      <c r="V895" s="6"/>
      <c r="W895" s="6"/>
      <c r="X895" s="6"/>
      <c r="Y895" s="6"/>
      <c r="Z895" s="6"/>
      <c r="AA895" s="6"/>
      <c r="AB895" s="6"/>
      <c r="AC895" s="6"/>
      <c r="AD895" s="6"/>
      <c r="AE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8"/>
      <c r="U896" s="8"/>
      <c r="V896" s="6"/>
      <c r="W896" s="6"/>
      <c r="X896" s="6"/>
      <c r="Y896" s="6"/>
      <c r="Z896" s="6"/>
      <c r="AA896" s="6"/>
      <c r="AB896" s="6"/>
      <c r="AC896" s="6"/>
      <c r="AD896" s="6"/>
      <c r="AE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8"/>
      <c r="U897" s="8"/>
      <c r="V897" s="6"/>
      <c r="W897" s="6"/>
      <c r="X897" s="6"/>
      <c r="Y897" s="6"/>
      <c r="Z897" s="6"/>
      <c r="AA897" s="6"/>
      <c r="AB897" s="6"/>
      <c r="AC897" s="6"/>
      <c r="AD897" s="6"/>
      <c r="AE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8"/>
      <c r="U898" s="8"/>
      <c r="V898" s="6"/>
      <c r="W898" s="6"/>
      <c r="X898" s="6"/>
      <c r="Y898" s="6"/>
      <c r="Z898" s="6"/>
      <c r="AA898" s="6"/>
      <c r="AB898" s="6"/>
      <c r="AC898" s="6"/>
      <c r="AD898" s="6"/>
      <c r="AE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8"/>
      <c r="U899" s="8"/>
      <c r="V899" s="6"/>
      <c r="W899" s="6"/>
      <c r="X899" s="6"/>
      <c r="Y899" s="6"/>
      <c r="Z899" s="6"/>
      <c r="AA899" s="6"/>
      <c r="AB899" s="6"/>
      <c r="AC899" s="6"/>
      <c r="AD899" s="6"/>
      <c r="AE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8"/>
      <c r="U900" s="8"/>
      <c r="V900" s="6"/>
      <c r="W900" s="6"/>
      <c r="X900" s="6"/>
      <c r="Y900" s="6"/>
      <c r="Z900" s="6"/>
      <c r="AA900" s="6"/>
      <c r="AB900" s="6"/>
      <c r="AC900" s="6"/>
      <c r="AD900" s="6"/>
      <c r="AE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8"/>
      <c r="U901" s="8"/>
      <c r="V901" s="6"/>
      <c r="W901" s="6"/>
      <c r="X901" s="6"/>
      <c r="Y901" s="6"/>
      <c r="Z901" s="6"/>
      <c r="AA901" s="6"/>
      <c r="AB901" s="6"/>
      <c r="AC901" s="6"/>
      <c r="AD901" s="6"/>
      <c r="AE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8"/>
      <c r="U902" s="8"/>
      <c r="V902" s="6"/>
      <c r="W902" s="6"/>
      <c r="X902" s="6"/>
      <c r="Y902" s="6"/>
      <c r="Z902" s="6"/>
      <c r="AA902" s="6"/>
      <c r="AB902" s="6"/>
      <c r="AC902" s="6"/>
      <c r="AD902" s="6"/>
      <c r="AE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8"/>
      <c r="U903" s="8"/>
      <c r="V903" s="6"/>
      <c r="W903" s="6"/>
      <c r="X903" s="6"/>
      <c r="Y903" s="6"/>
      <c r="Z903" s="6"/>
      <c r="AA903" s="6"/>
      <c r="AB903" s="6"/>
      <c r="AC903" s="6"/>
      <c r="AD903" s="6"/>
      <c r="AE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8"/>
      <c r="U904" s="8"/>
      <c r="V904" s="6"/>
      <c r="W904" s="6"/>
      <c r="X904" s="6"/>
      <c r="Y904" s="6"/>
      <c r="Z904" s="6"/>
      <c r="AA904" s="6"/>
      <c r="AB904" s="6"/>
      <c r="AC904" s="6"/>
      <c r="AD904" s="6"/>
      <c r="AE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8"/>
      <c r="U905" s="8"/>
      <c r="V905" s="6"/>
      <c r="W905" s="6"/>
      <c r="X905" s="6"/>
      <c r="Y905" s="6"/>
      <c r="Z905" s="6"/>
      <c r="AA905" s="6"/>
      <c r="AB905" s="6"/>
      <c r="AC905" s="6"/>
      <c r="AD905" s="6"/>
      <c r="AE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8"/>
      <c r="U906" s="8"/>
      <c r="V906" s="6"/>
      <c r="W906" s="6"/>
      <c r="X906" s="6"/>
      <c r="Y906" s="6"/>
      <c r="Z906" s="6"/>
      <c r="AA906" s="6"/>
      <c r="AB906" s="6"/>
      <c r="AC906" s="6"/>
      <c r="AD906" s="6"/>
      <c r="AE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8"/>
      <c r="U907" s="8"/>
      <c r="V907" s="6"/>
      <c r="W907" s="6"/>
      <c r="X907" s="6"/>
      <c r="Y907" s="6"/>
      <c r="Z907" s="6"/>
      <c r="AA907" s="6"/>
      <c r="AB907" s="6"/>
      <c r="AC907" s="6"/>
      <c r="AD907" s="6"/>
      <c r="AE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8"/>
      <c r="U908" s="8"/>
      <c r="V908" s="6"/>
      <c r="W908" s="6"/>
      <c r="X908" s="6"/>
      <c r="Y908" s="6"/>
      <c r="Z908" s="6"/>
      <c r="AA908" s="6"/>
      <c r="AB908" s="6"/>
      <c r="AC908" s="6"/>
      <c r="AD908" s="6"/>
      <c r="AE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8"/>
      <c r="U909" s="8"/>
      <c r="V909" s="6"/>
      <c r="W909" s="6"/>
      <c r="X909" s="6"/>
      <c r="Y909" s="6"/>
      <c r="Z909" s="6"/>
      <c r="AA909" s="6"/>
      <c r="AB909" s="6"/>
      <c r="AC909" s="6"/>
      <c r="AD909" s="6"/>
      <c r="AE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8"/>
      <c r="U910" s="8"/>
      <c r="V910" s="6"/>
      <c r="W910" s="6"/>
      <c r="X910" s="6"/>
      <c r="Y910" s="6"/>
      <c r="Z910" s="6"/>
      <c r="AA910" s="6"/>
      <c r="AB910" s="6"/>
      <c r="AC910" s="6"/>
      <c r="AD910" s="6"/>
      <c r="AE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8"/>
      <c r="U911" s="8"/>
      <c r="V911" s="6"/>
      <c r="W911" s="6"/>
      <c r="X911" s="6"/>
      <c r="Y911" s="6"/>
      <c r="Z911" s="6"/>
      <c r="AA911" s="6"/>
      <c r="AB911" s="6"/>
      <c r="AC911" s="6"/>
      <c r="AD911" s="6"/>
      <c r="AE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8"/>
      <c r="U912" s="8"/>
      <c r="V912" s="6"/>
      <c r="W912" s="6"/>
      <c r="X912" s="6"/>
      <c r="Y912" s="6"/>
      <c r="Z912" s="6"/>
      <c r="AA912" s="6"/>
      <c r="AB912" s="6"/>
      <c r="AC912" s="6"/>
      <c r="AD912" s="6"/>
      <c r="AE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8"/>
      <c r="U913" s="8"/>
      <c r="V913" s="6"/>
      <c r="W913" s="6"/>
      <c r="X913" s="6"/>
      <c r="Y913" s="6"/>
      <c r="Z913" s="6"/>
      <c r="AA913" s="6"/>
      <c r="AB913" s="6"/>
      <c r="AC913" s="6"/>
      <c r="AD913" s="6"/>
      <c r="AE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8"/>
      <c r="U914" s="8"/>
      <c r="V914" s="6"/>
      <c r="W914" s="6"/>
      <c r="X914" s="6"/>
      <c r="Y914" s="6"/>
      <c r="Z914" s="6"/>
      <c r="AA914" s="6"/>
      <c r="AB914" s="6"/>
      <c r="AC914" s="6"/>
      <c r="AD914" s="6"/>
      <c r="AE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8"/>
      <c r="U915" s="8"/>
      <c r="V915" s="6"/>
      <c r="W915" s="6"/>
      <c r="X915" s="6"/>
      <c r="Y915" s="6"/>
      <c r="Z915" s="6"/>
      <c r="AA915" s="6"/>
      <c r="AB915" s="6"/>
      <c r="AC915" s="6"/>
      <c r="AD915" s="6"/>
      <c r="AE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8"/>
      <c r="U916" s="8"/>
      <c r="V916" s="6"/>
      <c r="W916" s="6"/>
      <c r="X916" s="6"/>
      <c r="Y916" s="6"/>
      <c r="Z916" s="6"/>
      <c r="AA916" s="6"/>
      <c r="AB916" s="6"/>
      <c r="AC916" s="6"/>
      <c r="AD916" s="6"/>
      <c r="AE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8"/>
      <c r="U917" s="8"/>
      <c r="V917" s="6"/>
      <c r="W917" s="6"/>
      <c r="X917" s="6"/>
      <c r="Y917" s="6"/>
      <c r="Z917" s="6"/>
      <c r="AA917" s="6"/>
      <c r="AB917" s="6"/>
      <c r="AC917" s="6"/>
      <c r="AD917" s="6"/>
      <c r="AE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8"/>
      <c r="U918" s="8"/>
      <c r="V918" s="6"/>
      <c r="W918" s="6"/>
      <c r="X918" s="6"/>
      <c r="Y918" s="6"/>
      <c r="Z918" s="6"/>
      <c r="AA918" s="6"/>
      <c r="AB918" s="6"/>
      <c r="AC918" s="6"/>
      <c r="AD918" s="6"/>
      <c r="AE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8"/>
      <c r="U919" s="8"/>
      <c r="V919" s="6"/>
      <c r="W919" s="6"/>
      <c r="X919" s="6"/>
      <c r="Y919" s="6"/>
      <c r="Z919" s="6"/>
      <c r="AA919" s="6"/>
      <c r="AB919" s="6"/>
      <c r="AC919" s="6"/>
      <c r="AD919" s="6"/>
      <c r="AE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8"/>
      <c r="U920" s="8"/>
      <c r="V920" s="6"/>
      <c r="W920" s="6"/>
      <c r="X920" s="6"/>
      <c r="Y920" s="6"/>
      <c r="Z920" s="6"/>
      <c r="AA920" s="6"/>
      <c r="AB920" s="6"/>
      <c r="AC920" s="6"/>
      <c r="AD920" s="6"/>
      <c r="AE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8"/>
      <c r="U921" s="8"/>
      <c r="V921" s="6"/>
      <c r="W921" s="6"/>
      <c r="X921" s="6"/>
      <c r="Y921" s="6"/>
      <c r="Z921" s="6"/>
      <c r="AA921" s="6"/>
      <c r="AB921" s="6"/>
      <c r="AC921" s="6"/>
      <c r="AD921" s="6"/>
      <c r="AE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8"/>
      <c r="U922" s="8"/>
      <c r="V922" s="6"/>
      <c r="W922" s="6"/>
      <c r="X922" s="6"/>
      <c r="Y922" s="6"/>
      <c r="Z922" s="6"/>
      <c r="AA922" s="6"/>
      <c r="AB922" s="6"/>
      <c r="AC922" s="6"/>
      <c r="AD922" s="6"/>
      <c r="AE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8"/>
      <c r="U923" s="8"/>
      <c r="V923" s="6"/>
      <c r="W923" s="6"/>
      <c r="X923" s="6"/>
      <c r="Y923" s="6"/>
      <c r="Z923" s="6"/>
      <c r="AA923" s="6"/>
      <c r="AB923" s="6"/>
      <c r="AC923" s="6"/>
      <c r="AD923" s="6"/>
      <c r="AE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8"/>
      <c r="U924" s="8"/>
      <c r="V924" s="6"/>
      <c r="W924" s="6"/>
      <c r="X924" s="6"/>
      <c r="Y924" s="6"/>
      <c r="Z924" s="6"/>
      <c r="AA924" s="6"/>
      <c r="AB924" s="6"/>
      <c r="AC924" s="6"/>
      <c r="AD924" s="6"/>
      <c r="AE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8"/>
      <c r="U925" s="8"/>
      <c r="V925" s="6"/>
      <c r="W925" s="6"/>
      <c r="X925" s="6"/>
      <c r="Y925" s="6"/>
      <c r="Z925" s="6"/>
      <c r="AA925" s="6"/>
      <c r="AB925" s="6"/>
      <c r="AC925" s="6"/>
      <c r="AD925" s="6"/>
      <c r="AE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8"/>
      <c r="U926" s="8"/>
      <c r="V926" s="6"/>
      <c r="W926" s="6"/>
      <c r="X926" s="6"/>
      <c r="Y926" s="6"/>
      <c r="Z926" s="6"/>
      <c r="AA926" s="6"/>
      <c r="AB926" s="6"/>
      <c r="AC926" s="6"/>
      <c r="AD926" s="6"/>
      <c r="AE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8"/>
      <c r="U927" s="8"/>
      <c r="V927" s="6"/>
      <c r="W927" s="6"/>
      <c r="X927" s="6"/>
      <c r="Y927" s="6"/>
      <c r="Z927" s="6"/>
      <c r="AA927" s="6"/>
      <c r="AB927" s="6"/>
      <c r="AC927" s="6"/>
      <c r="AD927" s="6"/>
      <c r="AE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8"/>
      <c r="U928" s="8"/>
      <c r="V928" s="6"/>
      <c r="W928" s="6"/>
      <c r="X928" s="6"/>
      <c r="Y928" s="6"/>
      <c r="Z928" s="6"/>
      <c r="AA928" s="6"/>
      <c r="AB928" s="6"/>
      <c r="AC928" s="6"/>
      <c r="AD928" s="6"/>
      <c r="AE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8"/>
      <c r="U929" s="8"/>
      <c r="V929" s="6"/>
      <c r="W929" s="6"/>
      <c r="X929" s="6"/>
      <c r="Y929" s="6"/>
      <c r="Z929" s="6"/>
      <c r="AA929" s="6"/>
      <c r="AB929" s="6"/>
      <c r="AC929" s="6"/>
      <c r="AD929" s="6"/>
      <c r="AE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8"/>
      <c r="U930" s="8"/>
      <c r="V930" s="6"/>
      <c r="W930" s="6"/>
      <c r="X930" s="6"/>
      <c r="Y930" s="6"/>
      <c r="Z930" s="6"/>
      <c r="AA930" s="6"/>
      <c r="AB930" s="6"/>
      <c r="AC930" s="6"/>
      <c r="AD930" s="6"/>
      <c r="AE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8"/>
      <c r="U931" s="8"/>
      <c r="V931" s="6"/>
      <c r="W931" s="6"/>
      <c r="X931" s="6"/>
      <c r="Y931" s="6"/>
      <c r="Z931" s="6"/>
      <c r="AA931" s="6"/>
      <c r="AB931" s="6"/>
      <c r="AC931" s="6"/>
      <c r="AD931" s="6"/>
      <c r="AE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8"/>
      <c r="U932" s="8"/>
      <c r="V932" s="6"/>
      <c r="W932" s="6"/>
      <c r="X932" s="6"/>
      <c r="Y932" s="6"/>
      <c r="Z932" s="6"/>
      <c r="AA932" s="6"/>
      <c r="AB932" s="6"/>
      <c r="AC932" s="6"/>
      <c r="AD932" s="6"/>
      <c r="AE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8"/>
      <c r="U933" s="8"/>
      <c r="V933" s="6"/>
      <c r="W933" s="6"/>
      <c r="X933" s="6"/>
      <c r="Y933" s="6"/>
      <c r="Z933" s="6"/>
      <c r="AA933" s="6"/>
      <c r="AB933" s="6"/>
      <c r="AC933" s="6"/>
      <c r="AD933" s="6"/>
      <c r="AE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8"/>
      <c r="U934" s="8"/>
      <c r="V934" s="6"/>
      <c r="W934" s="6"/>
      <c r="X934" s="6"/>
      <c r="Y934" s="6"/>
      <c r="Z934" s="6"/>
      <c r="AA934" s="6"/>
      <c r="AB934" s="6"/>
      <c r="AC934" s="6"/>
      <c r="AD934" s="6"/>
      <c r="AE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8"/>
      <c r="U935" s="8"/>
      <c r="V935" s="6"/>
      <c r="W935" s="6"/>
      <c r="X935" s="6"/>
      <c r="Y935" s="6"/>
      <c r="Z935" s="6"/>
      <c r="AA935" s="6"/>
      <c r="AB935" s="6"/>
      <c r="AC935" s="6"/>
      <c r="AD935" s="6"/>
      <c r="AE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8"/>
      <c r="U936" s="8"/>
      <c r="V936" s="6"/>
      <c r="W936" s="6"/>
      <c r="X936" s="6"/>
      <c r="Y936" s="6"/>
      <c r="Z936" s="6"/>
      <c r="AA936" s="6"/>
      <c r="AB936" s="6"/>
      <c r="AC936" s="6"/>
      <c r="AD936" s="6"/>
      <c r="AE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8"/>
      <c r="U937" s="8"/>
      <c r="V937" s="6"/>
      <c r="W937" s="6"/>
      <c r="X937" s="6"/>
      <c r="Y937" s="6"/>
      <c r="Z937" s="6"/>
      <c r="AA937" s="6"/>
      <c r="AB937" s="6"/>
      <c r="AC937" s="6"/>
      <c r="AD937" s="6"/>
      <c r="AE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8"/>
      <c r="U938" s="8"/>
      <c r="V938" s="6"/>
      <c r="W938" s="6"/>
      <c r="X938" s="6"/>
      <c r="Y938" s="6"/>
      <c r="Z938" s="6"/>
      <c r="AA938" s="6"/>
      <c r="AB938" s="6"/>
      <c r="AC938" s="6"/>
      <c r="AD938" s="6"/>
      <c r="AE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8"/>
      <c r="U939" s="8"/>
      <c r="V939" s="6"/>
      <c r="W939" s="6"/>
      <c r="X939" s="6"/>
      <c r="Y939" s="6"/>
      <c r="Z939" s="6"/>
      <c r="AA939" s="6"/>
      <c r="AB939" s="6"/>
      <c r="AC939" s="6"/>
      <c r="AD939" s="6"/>
      <c r="AE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8"/>
      <c r="U940" s="8"/>
      <c r="V940" s="6"/>
      <c r="W940" s="6"/>
      <c r="X940" s="6"/>
      <c r="Y940" s="6"/>
      <c r="Z940" s="6"/>
      <c r="AA940" s="6"/>
      <c r="AB940" s="6"/>
      <c r="AC940" s="6"/>
      <c r="AD940" s="6"/>
      <c r="AE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8"/>
      <c r="U941" s="8"/>
      <c r="V941" s="6"/>
      <c r="W941" s="6"/>
      <c r="X941" s="6"/>
      <c r="Y941" s="6"/>
      <c r="Z941" s="6"/>
      <c r="AA941" s="6"/>
      <c r="AB941" s="6"/>
      <c r="AC941" s="6"/>
      <c r="AD941" s="6"/>
      <c r="AE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8"/>
      <c r="U942" s="8"/>
      <c r="V942" s="6"/>
      <c r="W942" s="6"/>
      <c r="X942" s="6"/>
      <c r="Y942" s="6"/>
      <c r="Z942" s="6"/>
      <c r="AA942" s="6"/>
      <c r="AB942" s="6"/>
      <c r="AC942" s="6"/>
      <c r="AD942" s="6"/>
      <c r="AE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8"/>
      <c r="U943" s="8"/>
      <c r="V943" s="6"/>
      <c r="W943" s="6"/>
      <c r="X943" s="6"/>
      <c r="Y943" s="6"/>
      <c r="Z943" s="6"/>
      <c r="AA943" s="6"/>
      <c r="AB943" s="6"/>
      <c r="AC943" s="6"/>
      <c r="AD943" s="6"/>
      <c r="AE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8"/>
      <c r="U944" s="8"/>
      <c r="V944" s="6"/>
      <c r="W944" s="6"/>
      <c r="X944" s="6"/>
      <c r="Y944" s="6"/>
      <c r="Z944" s="6"/>
      <c r="AA944" s="6"/>
      <c r="AB944" s="6"/>
      <c r="AC944" s="6"/>
      <c r="AD944" s="6"/>
      <c r="AE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8"/>
      <c r="U945" s="8"/>
      <c r="V945" s="6"/>
      <c r="W945" s="6"/>
      <c r="X945" s="6"/>
      <c r="Y945" s="6"/>
      <c r="Z945" s="6"/>
      <c r="AA945" s="6"/>
      <c r="AB945" s="6"/>
      <c r="AC945" s="6"/>
      <c r="AD945" s="6"/>
      <c r="AE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8"/>
      <c r="U946" s="8"/>
      <c r="V946" s="6"/>
      <c r="W946" s="6"/>
      <c r="X946" s="6"/>
      <c r="Y946" s="6"/>
      <c r="Z946" s="6"/>
      <c r="AA946" s="6"/>
      <c r="AB946" s="6"/>
      <c r="AC946" s="6"/>
      <c r="AD946" s="6"/>
      <c r="AE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8"/>
      <c r="U947" s="8"/>
      <c r="V947" s="6"/>
      <c r="W947" s="6"/>
      <c r="X947" s="6"/>
      <c r="Y947" s="6"/>
      <c r="Z947" s="6"/>
      <c r="AA947" s="6"/>
      <c r="AB947" s="6"/>
      <c r="AC947" s="6"/>
      <c r="AD947" s="6"/>
      <c r="AE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8"/>
      <c r="U948" s="8"/>
      <c r="V948" s="6"/>
      <c r="W948" s="6"/>
      <c r="X948" s="6"/>
      <c r="Y948" s="6"/>
      <c r="Z948" s="6"/>
      <c r="AA948" s="6"/>
      <c r="AB948" s="6"/>
      <c r="AC948" s="6"/>
      <c r="AD948" s="6"/>
      <c r="AE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8"/>
      <c r="U949" s="8"/>
      <c r="V949" s="6"/>
      <c r="W949" s="6"/>
      <c r="X949" s="6"/>
      <c r="Y949" s="6"/>
      <c r="Z949" s="6"/>
      <c r="AA949" s="6"/>
      <c r="AB949" s="6"/>
      <c r="AC949" s="6"/>
      <c r="AD949" s="6"/>
      <c r="AE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8"/>
      <c r="U950" s="8"/>
      <c r="V950" s="6"/>
      <c r="W950" s="6"/>
      <c r="X950" s="6"/>
      <c r="Y950" s="6"/>
      <c r="Z950" s="6"/>
      <c r="AA950" s="6"/>
      <c r="AB950" s="6"/>
      <c r="AC950" s="6"/>
      <c r="AD950" s="6"/>
      <c r="AE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8"/>
      <c r="U951" s="8"/>
      <c r="V951" s="6"/>
      <c r="W951" s="6"/>
      <c r="X951" s="6"/>
      <c r="Y951" s="6"/>
      <c r="Z951" s="6"/>
      <c r="AA951" s="6"/>
      <c r="AB951" s="6"/>
      <c r="AC951" s="6"/>
      <c r="AD951" s="6"/>
      <c r="AE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8"/>
      <c r="U952" s="8"/>
      <c r="V952" s="6"/>
      <c r="W952" s="6"/>
      <c r="X952" s="6"/>
      <c r="Y952" s="6"/>
      <c r="Z952" s="6"/>
      <c r="AA952" s="6"/>
      <c r="AB952" s="6"/>
      <c r="AC952" s="6"/>
      <c r="AD952" s="6"/>
      <c r="AE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8"/>
      <c r="U953" s="8"/>
      <c r="V953" s="6"/>
      <c r="W953" s="6"/>
      <c r="X953" s="6"/>
      <c r="Y953" s="6"/>
      <c r="Z953" s="6"/>
      <c r="AA953" s="6"/>
      <c r="AB953" s="6"/>
      <c r="AC953" s="6"/>
      <c r="AD953" s="6"/>
      <c r="AE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8"/>
      <c r="U954" s="8"/>
      <c r="V954" s="6"/>
      <c r="W954" s="6"/>
      <c r="X954" s="6"/>
      <c r="Y954" s="6"/>
      <c r="Z954" s="6"/>
      <c r="AA954" s="6"/>
      <c r="AB954" s="6"/>
      <c r="AC954" s="6"/>
      <c r="AD954" s="6"/>
      <c r="AE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8"/>
      <c r="U955" s="8"/>
      <c r="V955" s="6"/>
      <c r="W955" s="6"/>
      <c r="X955" s="6"/>
      <c r="Y955" s="6"/>
      <c r="Z955" s="6"/>
      <c r="AA955" s="6"/>
      <c r="AB955" s="6"/>
      <c r="AC955" s="6"/>
      <c r="AD955" s="6"/>
      <c r="AE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8"/>
      <c r="U956" s="8"/>
      <c r="V956" s="6"/>
      <c r="W956" s="6"/>
      <c r="X956" s="6"/>
      <c r="Y956" s="6"/>
      <c r="Z956" s="6"/>
      <c r="AA956" s="6"/>
      <c r="AB956" s="6"/>
      <c r="AC956" s="6"/>
      <c r="AD956" s="6"/>
      <c r="AE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8"/>
      <c r="U957" s="8"/>
      <c r="V957" s="6"/>
      <c r="W957" s="6"/>
      <c r="X957" s="6"/>
      <c r="Y957" s="6"/>
      <c r="Z957" s="6"/>
      <c r="AA957" s="6"/>
      <c r="AB957" s="6"/>
      <c r="AC957" s="6"/>
      <c r="AD957" s="6"/>
      <c r="AE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8"/>
      <c r="U958" s="8"/>
      <c r="V958" s="6"/>
      <c r="W958" s="6"/>
      <c r="X958" s="6"/>
      <c r="Y958" s="6"/>
      <c r="Z958" s="6"/>
      <c r="AA958" s="6"/>
      <c r="AB958" s="6"/>
      <c r="AC958" s="6"/>
      <c r="AD958" s="6"/>
      <c r="AE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8"/>
      <c r="U959" s="8"/>
      <c r="V959" s="6"/>
      <c r="W959" s="6"/>
      <c r="X959" s="6"/>
      <c r="Y959" s="6"/>
      <c r="Z959" s="6"/>
      <c r="AA959" s="6"/>
      <c r="AB959" s="6"/>
      <c r="AC959" s="6"/>
      <c r="AD959" s="6"/>
      <c r="AE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8"/>
      <c r="U960" s="8"/>
      <c r="V960" s="6"/>
      <c r="W960" s="6"/>
      <c r="X960" s="6"/>
      <c r="Y960" s="6"/>
      <c r="Z960" s="6"/>
      <c r="AA960" s="6"/>
      <c r="AB960" s="6"/>
      <c r="AC960" s="6"/>
      <c r="AD960" s="6"/>
      <c r="AE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8"/>
      <c r="U961" s="8"/>
      <c r="V961" s="6"/>
      <c r="W961" s="6"/>
      <c r="X961" s="6"/>
      <c r="Y961" s="6"/>
      <c r="Z961" s="6"/>
      <c r="AA961" s="6"/>
      <c r="AB961" s="6"/>
      <c r="AC961" s="6"/>
      <c r="AD961" s="6"/>
      <c r="AE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8"/>
      <c r="U962" s="8"/>
      <c r="V962" s="6"/>
      <c r="W962" s="6"/>
      <c r="X962" s="6"/>
      <c r="Y962" s="6"/>
      <c r="Z962" s="6"/>
      <c r="AA962" s="6"/>
      <c r="AB962" s="6"/>
      <c r="AC962" s="6"/>
      <c r="AD962" s="6"/>
      <c r="AE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8"/>
      <c r="U963" s="8"/>
      <c r="V963" s="6"/>
      <c r="W963" s="6"/>
      <c r="X963" s="6"/>
      <c r="Y963" s="6"/>
      <c r="Z963" s="6"/>
      <c r="AA963" s="6"/>
      <c r="AB963" s="6"/>
      <c r="AC963" s="6"/>
      <c r="AD963" s="6"/>
      <c r="AE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8"/>
      <c r="U964" s="8"/>
      <c r="V964" s="6"/>
      <c r="W964" s="6"/>
      <c r="X964" s="6"/>
      <c r="Y964" s="6"/>
      <c r="Z964" s="6"/>
      <c r="AA964" s="6"/>
      <c r="AB964" s="6"/>
      <c r="AC964" s="6"/>
      <c r="AD964" s="6"/>
      <c r="AE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8"/>
      <c r="U965" s="8"/>
      <c r="V965" s="6"/>
      <c r="W965" s="6"/>
      <c r="X965" s="6"/>
      <c r="Y965" s="6"/>
      <c r="Z965" s="6"/>
      <c r="AA965" s="6"/>
      <c r="AB965" s="6"/>
      <c r="AC965" s="6"/>
      <c r="AD965" s="6"/>
      <c r="AE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8"/>
      <c r="U966" s="8"/>
      <c r="V966" s="6"/>
      <c r="W966" s="6"/>
      <c r="X966" s="6"/>
      <c r="Y966" s="6"/>
      <c r="Z966" s="6"/>
      <c r="AA966" s="6"/>
      <c r="AB966" s="6"/>
      <c r="AC966" s="6"/>
      <c r="AD966" s="6"/>
      <c r="AE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8"/>
      <c r="U967" s="8"/>
      <c r="V967" s="6"/>
      <c r="W967" s="6"/>
      <c r="X967" s="6"/>
      <c r="Y967" s="6"/>
      <c r="Z967" s="6"/>
      <c r="AA967" s="6"/>
      <c r="AB967" s="6"/>
      <c r="AC967" s="6"/>
      <c r="AD967" s="6"/>
      <c r="AE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8"/>
      <c r="U968" s="8"/>
      <c r="V968" s="6"/>
      <c r="W968" s="6"/>
      <c r="X968" s="6"/>
      <c r="Y968" s="6"/>
      <c r="Z968" s="6"/>
      <c r="AA968" s="6"/>
      <c r="AB968" s="6"/>
      <c r="AC968" s="6"/>
      <c r="AD968" s="6"/>
      <c r="AE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8"/>
      <c r="U969" s="8"/>
      <c r="V969" s="6"/>
      <c r="W969" s="6"/>
      <c r="X969" s="6"/>
      <c r="Y969" s="6"/>
      <c r="Z969" s="6"/>
      <c r="AA969" s="6"/>
      <c r="AB969" s="6"/>
      <c r="AC969" s="6"/>
      <c r="AD969" s="6"/>
      <c r="AE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8"/>
      <c r="U970" s="8"/>
      <c r="V970" s="6"/>
      <c r="W970" s="6"/>
      <c r="X970" s="6"/>
      <c r="Y970" s="6"/>
      <c r="Z970" s="6"/>
      <c r="AA970" s="6"/>
      <c r="AB970" s="6"/>
      <c r="AC970" s="6"/>
      <c r="AD970" s="6"/>
      <c r="AE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8"/>
      <c r="U971" s="8"/>
      <c r="V971" s="6"/>
      <c r="W971" s="6"/>
      <c r="X971" s="6"/>
      <c r="Y971" s="6"/>
      <c r="Z971" s="6"/>
      <c r="AA971" s="6"/>
      <c r="AB971" s="6"/>
      <c r="AC971" s="6"/>
      <c r="AD971" s="6"/>
      <c r="AE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8"/>
      <c r="U972" s="8"/>
      <c r="V972" s="6"/>
      <c r="W972" s="6"/>
      <c r="X972" s="6"/>
      <c r="Y972" s="6"/>
      <c r="Z972" s="6"/>
      <c r="AA972" s="6"/>
      <c r="AB972" s="6"/>
      <c r="AC972" s="6"/>
      <c r="AD972" s="6"/>
      <c r="AE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8"/>
      <c r="U973" s="8"/>
      <c r="V973" s="6"/>
      <c r="W973" s="6"/>
      <c r="X973" s="6"/>
      <c r="Y973" s="6"/>
      <c r="Z973" s="6"/>
      <c r="AA973" s="6"/>
      <c r="AB973" s="6"/>
      <c r="AC973" s="6"/>
      <c r="AD973" s="6"/>
      <c r="AE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8"/>
      <c r="U974" s="8"/>
      <c r="V974" s="6"/>
      <c r="W974" s="6"/>
      <c r="X974" s="6"/>
      <c r="Y974" s="6"/>
      <c r="Z974" s="6"/>
      <c r="AA974" s="6"/>
      <c r="AB974" s="6"/>
      <c r="AC974" s="6"/>
      <c r="AD974" s="6"/>
      <c r="AE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8"/>
      <c r="U975" s="8"/>
      <c r="V975" s="6"/>
      <c r="W975" s="6"/>
      <c r="X975" s="6"/>
      <c r="Y975" s="6"/>
      <c r="Z975" s="6"/>
      <c r="AA975" s="6"/>
      <c r="AB975" s="6"/>
      <c r="AC975" s="6"/>
      <c r="AD975" s="6"/>
      <c r="AE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8"/>
      <c r="U976" s="8"/>
      <c r="V976" s="6"/>
      <c r="W976" s="6"/>
      <c r="X976" s="6"/>
      <c r="Y976" s="6"/>
      <c r="Z976" s="6"/>
      <c r="AA976" s="6"/>
      <c r="AB976" s="6"/>
      <c r="AC976" s="6"/>
      <c r="AD976" s="6"/>
      <c r="AE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8"/>
      <c r="U977" s="8"/>
      <c r="V977" s="6"/>
      <c r="W977" s="6"/>
      <c r="X977" s="6"/>
      <c r="Y977" s="6"/>
      <c r="Z977" s="6"/>
      <c r="AA977" s="6"/>
      <c r="AB977" s="6"/>
      <c r="AC977" s="6"/>
      <c r="AD977" s="6"/>
      <c r="AE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8"/>
      <c r="U978" s="8"/>
      <c r="V978" s="6"/>
      <c r="W978" s="6"/>
      <c r="X978" s="6"/>
      <c r="Y978" s="6"/>
      <c r="Z978" s="6"/>
      <c r="AA978" s="6"/>
      <c r="AB978" s="6"/>
      <c r="AC978" s="6"/>
      <c r="AD978" s="6"/>
      <c r="AE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8"/>
      <c r="U979" s="8"/>
      <c r="V979" s="6"/>
      <c r="W979" s="6"/>
      <c r="X979" s="6"/>
      <c r="Y979" s="6"/>
      <c r="Z979" s="6"/>
      <c r="AA979" s="6"/>
      <c r="AB979" s="6"/>
      <c r="AC979" s="6"/>
      <c r="AD979" s="6"/>
      <c r="AE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8"/>
      <c r="U980" s="8"/>
      <c r="V980" s="6"/>
      <c r="W980" s="6"/>
      <c r="X980" s="6"/>
      <c r="Y980" s="6"/>
      <c r="Z980" s="6"/>
      <c r="AA980" s="6"/>
      <c r="AB980" s="6"/>
      <c r="AC980" s="6"/>
      <c r="AD980" s="6"/>
      <c r="AE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8"/>
      <c r="U981" s="8"/>
      <c r="V981" s="6"/>
      <c r="W981" s="6"/>
      <c r="X981" s="6"/>
      <c r="Y981" s="6"/>
      <c r="Z981" s="6"/>
      <c r="AA981" s="6"/>
      <c r="AB981" s="6"/>
      <c r="AC981" s="6"/>
      <c r="AD981" s="6"/>
      <c r="AE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8"/>
      <c r="U982" s="8"/>
      <c r="V982" s="6"/>
      <c r="W982" s="6"/>
      <c r="X982" s="6"/>
      <c r="Y982" s="6"/>
      <c r="Z982" s="6"/>
      <c r="AA982" s="6"/>
      <c r="AB982" s="6"/>
      <c r="AC982" s="6"/>
      <c r="AD982" s="6"/>
      <c r="AE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8"/>
      <c r="U983" s="8"/>
      <c r="V983" s="6"/>
      <c r="W983" s="6"/>
      <c r="X983" s="6"/>
      <c r="Y983" s="6"/>
      <c r="Z983" s="6"/>
      <c r="AA983" s="6"/>
      <c r="AB983" s="6"/>
      <c r="AC983" s="6"/>
      <c r="AD983" s="6"/>
      <c r="AE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8"/>
      <c r="U984" s="8"/>
      <c r="V984" s="6"/>
      <c r="W984" s="6"/>
      <c r="X984" s="6"/>
      <c r="Y984" s="6"/>
      <c r="Z984" s="6"/>
      <c r="AA984" s="6"/>
      <c r="AB984" s="6"/>
      <c r="AC984" s="6"/>
      <c r="AD984" s="6"/>
      <c r="AE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8"/>
      <c r="U985" s="8"/>
      <c r="V985" s="6"/>
      <c r="W985" s="6"/>
      <c r="X985" s="6"/>
      <c r="Y985" s="6"/>
      <c r="Z985" s="6"/>
      <c r="AA985" s="6"/>
      <c r="AB985" s="6"/>
      <c r="AC985" s="6"/>
      <c r="AD985" s="6"/>
      <c r="AE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8"/>
      <c r="U986" s="8"/>
      <c r="V986" s="6"/>
      <c r="W986" s="6"/>
      <c r="X986" s="6"/>
      <c r="Y986" s="6"/>
      <c r="Z986" s="6"/>
      <c r="AA986" s="6"/>
      <c r="AB986" s="6"/>
      <c r="AC986" s="6"/>
      <c r="AD986" s="6"/>
      <c r="AE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8"/>
      <c r="U987" s="8"/>
      <c r="V987" s="6"/>
      <c r="W987" s="6"/>
      <c r="X987" s="6"/>
      <c r="Y987" s="6"/>
      <c r="Z987" s="6"/>
      <c r="AA987" s="6"/>
      <c r="AB987" s="6"/>
      <c r="AC987" s="6"/>
      <c r="AD987" s="6"/>
      <c r="AE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8"/>
      <c r="U988" s="8"/>
      <c r="V988" s="6"/>
      <c r="W988" s="6"/>
      <c r="X988" s="6"/>
      <c r="Y988" s="6"/>
      <c r="Z988" s="6"/>
      <c r="AA988" s="6"/>
      <c r="AB988" s="6"/>
      <c r="AC988" s="6"/>
      <c r="AD988" s="6"/>
      <c r="AE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8"/>
      <c r="U989" s="8"/>
      <c r="V989" s="6"/>
      <c r="W989" s="6"/>
      <c r="X989" s="6"/>
      <c r="Y989" s="6"/>
      <c r="Z989" s="6"/>
      <c r="AA989" s="6"/>
      <c r="AB989" s="6"/>
      <c r="AC989" s="6"/>
      <c r="AD989" s="6"/>
      <c r="AE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8"/>
      <c r="U990" s="8"/>
      <c r="V990" s="6"/>
      <c r="W990" s="6"/>
      <c r="X990" s="6"/>
      <c r="Y990" s="6"/>
      <c r="Z990" s="6"/>
      <c r="AA990" s="6"/>
      <c r="AB990" s="6"/>
      <c r="AC990" s="6"/>
      <c r="AD990" s="6"/>
      <c r="AE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8"/>
      <c r="U991" s="8"/>
      <c r="V991" s="6"/>
      <c r="W991" s="6"/>
      <c r="X991" s="6"/>
      <c r="Y991" s="6"/>
      <c r="Z991" s="6"/>
      <c r="AA991" s="6"/>
      <c r="AB991" s="6"/>
      <c r="AC991" s="6"/>
      <c r="AD991" s="6"/>
      <c r="AE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8"/>
      <c r="U992" s="8"/>
      <c r="V992" s="6"/>
      <c r="W992" s="6"/>
      <c r="X992" s="6"/>
      <c r="Y992" s="6"/>
      <c r="Z992" s="6"/>
      <c r="AA992" s="6"/>
      <c r="AB992" s="6"/>
      <c r="AC992" s="6"/>
      <c r="AD992" s="6"/>
      <c r="AE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8"/>
      <c r="U993" s="8"/>
      <c r="V993" s="6"/>
      <c r="W993" s="6"/>
      <c r="X993" s="6"/>
      <c r="Y993" s="6"/>
      <c r="Z993" s="6"/>
      <c r="AA993" s="6"/>
      <c r="AB993" s="6"/>
      <c r="AC993" s="6"/>
      <c r="AD993" s="6"/>
      <c r="AE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8"/>
      <c r="U994" s="8"/>
      <c r="V994" s="6"/>
      <c r="W994" s="6"/>
      <c r="X994" s="6"/>
      <c r="Y994" s="6"/>
      <c r="Z994" s="6"/>
      <c r="AA994" s="6"/>
      <c r="AB994" s="6"/>
      <c r="AC994" s="6"/>
      <c r="AD994" s="6"/>
      <c r="AE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8"/>
      <c r="U995" s="8"/>
      <c r="V995" s="6"/>
      <c r="W995" s="6"/>
      <c r="X995" s="6"/>
      <c r="Y995" s="6"/>
      <c r="Z995" s="6"/>
      <c r="AA995" s="6"/>
      <c r="AB995" s="6"/>
      <c r="AC995" s="6"/>
      <c r="AD995" s="6"/>
      <c r="AE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8"/>
      <c r="U996" s="8"/>
      <c r="V996" s="6"/>
      <c r="W996" s="6"/>
      <c r="X996" s="6"/>
      <c r="Y996" s="6"/>
      <c r="Z996" s="6"/>
      <c r="AA996" s="6"/>
      <c r="AB996" s="6"/>
      <c r="AC996" s="6"/>
      <c r="AD996" s="6"/>
      <c r="AE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8"/>
      <c r="U997" s="8"/>
      <c r="V997" s="6"/>
      <c r="W997" s="6"/>
      <c r="X997" s="6"/>
      <c r="Y997" s="6"/>
      <c r="Z997" s="6"/>
      <c r="AA997" s="6"/>
      <c r="AB997" s="6"/>
      <c r="AC997" s="6"/>
      <c r="AD997" s="6"/>
      <c r="AE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8"/>
      <c r="U998" s="8"/>
      <c r="V998" s="6"/>
      <c r="W998" s="6"/>
      <c r="X998" s="6"/>
      <c r="Y998" s="6"/>
      <c r="Z998" s="6"/>
      <c r="AA998" s="6"/>
      <c r="AB998" s="6"/>
      <c r="AC998" s="6"/>
      <c r="AD998" s="6"/>
      <c r="AE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8"/>
      <c r="U999" s="8"/>
      <c r="V999" s="6"/>
      <c r="W999" s="6"/>
      <c r="X999" s="6"/>
      <c r="Y999" s="6"/>
      <c r="Z999" s="6"/>
      <c r="AA999" s="6"/>
      <c r="AB999" s="6"/>
      <c r="AC999" s="6"/>
      <c r="AD999" s="6"/>
      <c r="AE999" s="6"/>
    </row>
  </sheetData>
  <mergeCells count="6">
    <mergeCell ref="D9:F9"/>
    <mergeCell ref="G9:I9"/>
    <mergeCell ref="J9:L9"/>
    <mergeCell ref="M9:O9"/>
    <mergeCell ref="P9:R9"/>
    <mergeCell ref="S9:U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3">
        <v>45413.0</v>
      </c>
      <c r="C1" s="1" t="s">
        <v>1</v>
      </c>
      <c r="D1" s="3"/>
      <c r="E1" s="6"/>
      <c r="F1" s="6"/>
      <c r="G1" s="8"/>
      <c r="H1" s="10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8">
        <v>132300.0</v>
      </c>
      <c r="B2" s="3">
        <f>TODAY()</f>
        <v>46238</v>
      </c>
      <c r="C2" s="18">
        <v>150000.0</v>
      </c>
      <c r="D2" s="3"/>
      <c r="E2" s="6"/>
      <c r="F2" s="23"/>
      <c r="G2" s="8"/>
      <c r="H2" s="8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21</v>
      </c>
      <c r="B3" s="25"/>
      <c r="C3" s="1" t="s">
        <v>21</v>
      </c>
      <c r="D3" s="23"/>
      <c r="E3" s="6"/>
      <c r="F3" s="23"/>
      <c r="G3" s="8"/>
      <c r="H3" s="8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2">
        <v>0.0289</v>
      </c>
      <c r="B4" s="25"/>
      <c r="C4" s="32">
        <v>0.0285</v>
      </c>
      <c r="D4" s="23"/>
      <c r="E4" s="6"/>
      <c r="F4" s="23"/>
      <c r="G4" s="8"/>
      <c r="H4" s="8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23" t="s">
        <v>29</v>
      </c>
      <c r="B5" s="25"/>
      <c r="C5" s="23" t="s">
        <v>29</v>
      </c>
      <c r="D5" s="6"/>
      <c r="E5" s="6"/>
      <c r="F5" s="23"/>
      <c r="G5" s="8"/>
      <c r="H5" s="8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23">
        <v>30.0</v>
      </c>
      <c r="B6" s="25"/>
      <c r="C6" s="23">
        <v>27.0</v>
      </c>
      <c r="D6" s="6"/>
      <c r="E6" s="6"/>
      <c r="F6" s="6"/>
      <c r="G6" s="8"/>
      <c r="H6" s="8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" t="s">
        <v>32</v>
      </c>
      <c r="B7" s="25"/>
      <c r="C7" s="1" t="s">
        <v>32</v>
      </c>
      <c r="D7" s="6"/>
      <c r="E7" s="6"/>
      <c r="F7" s="6"/>
      <c r="G7" s="8"/>
      <c r="H7" s="8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42">
        <f>A6*12-1</f>
        <v>359</v>
      </c>
      <c r="B8" s="25"/>
      <c r="C8" s="42">
        <f>C6*12</f>
        <v>324</v>
      </c>
      <c r="D8" s="6"/>
      <c r="E8" s="6"/>
      <c r="F8" s="6"/>
      <c r="G8" s="8"/>
      <c r="H8" s="8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" t="s">
        <v>39</v>
      </c>
      <c r="B9" s="25"/>
      <c r="C9" s="1" t="s">
        <v>39</v>
      </c>
      <c r="D9" s="6"/>
      <c r="E9" s="6"/>
      <c r="F9" s="6"/>
      <c r="G9" s="8"/>
      <c r="H9" s="8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46">
        <f>A2*POWER(1+(A4/12),A8)*(A4/12)/(POWER(1+(A4/12),A8)-1)</f>
        <v>550.9274339</v>
      </c>
      <c r="B10" s="25"/>
      <c r="C10" s="46">
        <f>C2*POWER(1+(C4/12),C8)*(C4/12)/(POWER(1+(C4/12),C8)-1)</f>
        <v>664.233426</v>
      </c>
      <c r="D10" s="6"/>
      <c r="E10" s="6"/>
      <c r="F10" s="6"/>
      <c r="G10" s="8"/>
      <c r="H10" s="8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25"/>
      <c r="C11" s="51">
        <f>C10-A10</f>
        <v>113.3059922</v>
      </c>
      <c r="D11" s="6"/>
      <c r="E11" s="6"/>
      <c r="F11" s="6"/>
      <c r="G11" s="8"/>
      <c r="H11" s="8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6"/>
      <c r="C12" s="23"/>
      <c r="D12" s="6"/>
      <c r="E12" s="6"/>
      <c r="F12" s="6"/>
      <c r="G12" s="8"/>
      <c r="H12" s="8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6"/>
      <c r="C13" s="6"/>
      <c r="D13" s="6"/>
      <c r="E13" s="6"/>
      <c r="F13" s="6"/>
      <c r="G13" s="8"/>
      <c r="H13" s="8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6"/>
      <c r="C14" s="6"/>
      <c r="D14" s="6"/>
      <c r="E14" s="6"/>
      <c r="F14" s="6"/>
      <c r="G14" s="8"/>
      <c r="H14" s="8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6"/>
      <c r="C15" s="6"/>
      <c r="D15" s="6"/>
      <c r="E15" s="6"/>
      <c r="F15" s="6"/>
      <c r="G15" s="8"/>
      <c r="H15" s="8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8"/>
      <c r="H16" s="8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8"/>
      <c r="H17" s="8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8"/>
      <c r="H18" s="8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8"/>
      <c r="H19" s="8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8"/>
      <c r="H20" s="8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8"/>
      <c r="H21" s="8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8"/>
      <c r="H22" s="8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8"/>
      <c r="H23" s="8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8"/>
      <c r="H24" s="8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8"/>
      <c r="H25" s="8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8"/>
      <c r="H26" s="8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8"/>
      <c r="H27" s="8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8"/>
      <c r="H28" s="8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8"/>
      <c r="H29" s="8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8"/>
      <c r="H30" s="8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8"/>
      <c r="H31" s="8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8"/>
      <c r="H32" s="8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8"/>
      <c r="H33" s="8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8"/>
      <c r="H34" s="8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8"/>
      <c r="H35" s="8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8"/>
      <c r="H36" s="8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8"/>
      <c r="H37" s="8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8"/>
      <c r="H38" s="8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8"/>
      <c r="H39" s="8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8"/>
      <c r="H40" s="8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8"/>
      <c r="H41" s="8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8"/>
      <c r="H42" s="8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8"/>
      <c r="H43" s="8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8"/>
      <c r="H44" s="8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8"/>
      <c r="H45" s="8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8"/>
      <c r="H46" s="8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8"/>
      <c r="H47" s="8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8"/>
      <c r="H48" s="8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8"/>
      <c r="H49" s="8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8"/>
      <c r="H50" s="8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8"/>
      <c r="H51" s="8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8"/>
      <c r="H52" s="8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8"/>
      <c r="H53" s="8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8"/>
      <c r="H54" s="8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8"/>
      <c r="H55" s="8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8"/>
      <c r="H56" s="8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8"/>
      <c r="H57" s="8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8"/>
      <c r="H58" s="8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8"/>
      <c r="H59" s="8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8"/>
      <c r="H60" s="8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8"/>
      <c r="H61" s="8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8"/>
      <c r="H62" s="8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8"/>
      <c r="H63" s="8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8"/>
      <c r="H64" s="8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8"/>
      <c r="H65" s="8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8"/>
      <c r="H66" s="8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8"/>
      <c r="H67" s="8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8"/>
      <c r="H68" s="8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8"/>
      <c r="H69" s="8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8"/>
      <c r="H70" s="8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8"/>
      <c r="H71" s="8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8"/>
      <c r="H72" s="8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8"/>
      <c r="H73" s="8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8"/>
      <c r="H74" s="8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8"/>
      <c r="H75" s="8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8"/>
      <c r="H76" s="8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8"/>
      <c r="H77" s="8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8"/>
      <c r="H78" s="8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8"/>
      <c r="H79" s="8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8"/>
      <c r="H80" s="8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8"/>
      <c r="H81" s="8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8"/>
      <c r="H82" s="8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8"/>
      <c r="H83" s="8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8"/>
      <c r="H84" s="8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8"/>
      <c r="H85" s="8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8"/>
      <c r="H86" s="8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8"/>
      <c r="H87" s="8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8"/>
      <c r="H88" s="8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8"/>
      <c r="H89" s="8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8"/>
      <c r="H90" s="8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8"/>
      <c r="H91" s="8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8"/>
      <c r="H92" s="8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8"/>
      <c r="H93" s="8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8"/>
      <c r="H94" s="8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8"/>
      <c r="H95" s="8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8"/>
      <c r="H96" s="8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8"/>
      <c r="H97" s="8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8"/>
      <c r="H98" s="8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8"/>
      <c r="H99" s="8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8"/>
      <c r="H100" s="8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8"/>
      <c r="H101" s="8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8"/>
      <c r="H102" s="8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8"/>
      <c r="H103" s="8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8"/>
      <c r="H104" s="8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8"/>
      <c r="H105" s="8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8"/>
      <c r="H106" s="8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8"/>
      <c r="H107" s="8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8"/>
      <c r="H108" s="8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8"/>
      <c r="H109" s="8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8"/>
      <c r="H110" s="8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8"/>
      <c r="H111" s="8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8"/>
      <c r="H112" s="8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8"/>
      <c r="H113" s="8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8"/>
      <c r="H114" s="8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8"/>
      <c r="H115" s="8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8"/>
      <c r="H116" s="8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8"/>
      <c r="H117" s="8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8"/>
      <c r="H118" s="8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8"/>
      <c r="H119" s="8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8"/>
      <c r="H120" s="8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8"/>
      <c r="H121" s="8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8"/>
      <c r="H122" s="8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8"/>
      <c r="H123" s="8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8"/>
      <c r="H124" s="8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8"/>
      <c r="H125" s="8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8"/>
      <c r="H126" s="8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8"/>
      <c r="H127" s="8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8"/>
      <c r="H128" s="8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8"/>
      <c r="H129" s="8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8"/>
      <c r="H130" s="8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8"/>
      <c r="H131" s="8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8"/>
      <c r="H132" s="8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8"/>
      <c r="H133" s="8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8"/>
      <c r="H134" s="8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8"/>
      <c r="H135" s="8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8"/>
      <c r="H136" s="8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8"/>
      <c r="H137" s="8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8"/>
      <c r="H138" s="8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8"/>
      <c r="H139" s="8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8"/>
      <c r="H140" s="8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8"/>
      <c r="H141" s="8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8"/>
      <c r="H142" s="8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8"/>
      <c r="H143" s="8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8"/>
      <c r="H144" s="8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8"/>
      <c r="H145" s="8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8"/>
      <c r="H146" s="8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8"/>
      <c r="H147" s="8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8"/>
      <c r="H148" s="8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8"/>
      <c r="H149" s="8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8"/>
      <c r="H150" s="8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8"/>
      <c r="H151" s="8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8"/>
      <c r="H152" s="8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8"/>
      <c r="H153" s="8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8"/>
      <c r="H154" s="8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8"/>
      <c r="H155" s="8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8"/>
      <c r="H156" s="8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8"/>
      <c r="H157" s="8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8"/>
      <c r="H158" s="8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8"/>
      <c r="H159" s="8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8"/>
      <c r="H160" s="8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8"/>
      <c r="H161" s="8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8"/>
      <c r="H162" s="8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8"/>
      <c r="H163" s="8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8"/>
      <c r="H164" s="8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8"/>
      <c r="H165" s="8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8"/>
      <c r="H166" s="8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8"/>
      <c r="H167" s="8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8"/>
      <c r="H168" s="8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8"/>
      <c r="H169" s="8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8"/>
      <c r="H170" s="8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8"/>
      <c r="H171" s="8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8"/>
      <c r="H172" s="8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8"/>
      <c r="H173" s="8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8"/>
      <c r="H174" s="8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8"/>
      <c r="H175" s="8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8"/>
      <c r="H176" s="8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8"/>
      <c r="H177" s="8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8"/>
      <c r="H178" s="8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8"/>
      <c r="H179" s="8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8"/>
      <c r="H180" s="8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8"/>
      <c r="H181" s="8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8"/>
      <c r="H182" s="8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8"/>
      <c r="H183" s="8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8"/>
      <c r="H184" s="8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8"/>
      <c r="H185" s="8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8"/>
      <c r="H186" s="8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8"/>
      <c r="H187" s="8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8"/>
      <c r="H188" s="8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8"/>
      <c r="H189" s="8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8"/>
      <c r="H190" s="8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8"/>
      <c r="H191" s="8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8"/>
      <c r="H192" s="8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8"/>
      <c r="H193" s="8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8"/>
      <c r="H194" s="8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8"/>
      <c r="H195" s="8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8"/>
      <c r="H196" s="8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8"/>
      <c r="H197" s="8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8"/>
      <c r="H198" s="8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8"/>
      <c r="H199" s="8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8"/>
      <c r="H200" s="8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8"/>
      <c r="H201" s="8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8"/>
      <c r="H202" s="8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8"/>
      <c r="H203" s="8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8"/>
      <c r="H204" s="8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8"/>
      <c r="H205" s="8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8"/>
      <c r="H206" s="8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8"/>
      <c r="H207" s="8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8"/>
      <c r="H208" s="8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8"/>
      <c r="H209" s="8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8"/>
      <c r="H210" s="8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8"/>
      <c r="H211" s="8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8"/>
      <c r="H212" s="8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8"/>
      <c r="H213" s="8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8"/>
      <c r="H214" s="8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8"/>
      <c r="H215" s="8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8"/>
      <c r="H216" s="8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8"/>
      <c r="H217" s="8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8"/>
      <c r="H218" s="8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8"/>
      <c r="H219" s="8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8"/>
      <c r="H220" s="8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8"/>
      <c r="H221" s="8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8"/>
      <c r="H222" s="8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8"/>
      <c r="H223" s="8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8"/>
      <c r="H224" s="8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8"/>
      <c r="H225" s="8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8"/>
      <c r="H226" s="8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8"/>
      <c r="H227" s="8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8"/>
      <c r="H228" s="8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8"/>
      <c r="H229" s="8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8"/>
      <c r="H230" s="8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8"/>
      <c r="H231" s="8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8"/>
      <c r="H232" s="8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8"/>
      <c r="H233" s="8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8"/>
      <c r="H234" s="8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8"/>
      <c r="H235" s="8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8"/>
      <c r="H236" s="8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8"/>
      <c r="H237" s="8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8"/>
      <c r="H238" s="8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8"/>
      <c r="H239" s="8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8"/>
      <c r="H240" s="8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8"/>
      <c r="H241" s="8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8"/>
      <c r="H242" s="8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8"/>
      <c r="H243" s="8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8"/>
      <c r="H244" s="8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8"/>
      <c r="H245" s="8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8"/>
      <c r="H246" s="8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8"/>
      <c r="H247" s="8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8"/>
      <c r="H248" s="8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8"/>
      <c r="H249" s="8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8"/>
      <c r="H250" s="8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8"/>
      <c r="H251" s="8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8"/>
      <c r="H252" s="8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8"/>
      <c r="H253" s="8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8"/>
      <c r="H254" s="8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8"/>
      <c r="H255" s="8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8"/>
      <c r="H256" s="8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8"/>
      <c r="H257" s="8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8"/>
      <c r="H258" s="8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8"/>
      <c r="H259" s="8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8"/>
      <c r="H260" s="8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8"/>
      <c r="H261" s="8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8"/>
      <c r="H262" s="8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8"/>
      <c r="H263" s="8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8"/>
      <c r="H264" s="8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8"/>
      <c r="H265" s="8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8"/>
      <c r="H266" s="8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8"/>
      <c r="H267" s="8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8"/>
      <c r="H268" s="8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8"/>
      <c r="H269" s="8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8"/>
      <c r="H270" s="8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8"/>
      <c r="H271" s="8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8"/>
      <c r="H272" s="8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8"/>
      <c r="H273" s="8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8"/>
      <c r="H274" s="8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8"/>
      <c r="H275" s="8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8"/>
      <c r="H276" s="8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8"/>
      <c r="H277" s="8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8"/>
      <c r="H278" s="8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8"/>
      <c r="H279" s="8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8"/>
      <c r="H280" s="8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8"/>
      <c r="H281" s="8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8"/>
      <c r="H282" s="8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8"/>
      <c r="H283" s="8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8"/>
      <c r="H284" s="8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8"/>
      <c r="H285" s="8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8"/>
      <c r="H286" s="8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8"/>
      <c r="H287" s="8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8"/>
      <c r="H288" s="8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8"/>
      <c r="H289" s="8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8"/>
      <c r="H290" s="8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8"/>
      <c r="H291" s="8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8"/>
      <c r="H292" s="8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8"/>
      <c r="H293" s="8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8"/>
      <c r="H294" s="8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8"/>
      <c r="H295" s="8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8"/>
      <c r="H296" s="8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8"/>
      <c r="H297" s="8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8"/>
      <c r="H298" s="8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8"/>
      <c r="H299" s="8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8"/>
      <c r="H300" s="8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8"/>
      <c r="H301" s="8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8"/>
      <c r="H302" s="8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8"/>
      <c r="H303" s="8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8"/>
      <c r="H304" s="8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8"/>
      <c r="H305" s="8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8"/>
      <c r="H306" s="8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8"/>
      <c r="H307" s="8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8"/>
      <c r="H308" s="8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8"/>
      <c r="H309" s="8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8"/>
      <c r="H310" s="8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8"/>
      <c r="H311" s="8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8"/>
      <c r="H312" s="8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8"/>
      <c r="H313" s="8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8"/>
      <c r="H314" s="8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8"/>
      <c r="H315" s="8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8"/>
      <c r="H316" s="8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8"/>
      <c r="H317" s="8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8"/>
      <c r="H318" s="8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8"/>
      <c r="H319" s="8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8"/>
      <c r="H320" s="8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8"/>
      <c r="H321" s="8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8"/>
      <c r="H322" s="8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8"/>
      <c r="H323" s="8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8"/>
      <c r="H324" s="8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8"/>
      <c r="H325" s="8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8"/>
      <c r="H326" s="8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8"/>
      <c r="H327" s="8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8"/>
      <c r="H328" s="8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8"/>
      <c r="H329" s="8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8"/>
      <c r="H330" s="8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8"/>
      <c r="H331" s="8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8"/>
      <c r="H332" s="8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8"/>
      <c r="H333" s="8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8"/>
      <c r="H334" s="8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8"/>
      <c r="H335" s="8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8"/>
      <c r="H336" s="8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8"/>
      <c r="H337" s="8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8"/>
      <c r="H338" s="8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8"/>
      <c r="H339" s="8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8"/>
      <c r="H340" s="8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8"/>
      <c r="H341" s="8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8"/>
      <c r="H342" s="8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8"/>
      <c r="H343" s="8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8"/>
      <c r="H344" s="8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8"/>
      <c r="H345" s="8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8"/>
      <c r="H346" s="8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8"/>
      <c r="H347" s="8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8"/>
      <c r="H348" s="8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8"/>
      <c r="H349" s="8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8"/>
      <c r="H350" s="8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8"/>
      <c r="H351" s="8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8"/>
      <c r="H352" s="8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8"/>
      <c r="H353" s="8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8"/>
      <c r="H354" s="8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8"/>
      <c r="H355" s="8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8"/>
      <c r="H356" s="8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8"/>
      <c r="H357" s="8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8"/>
      <c r="H358" s="8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8"/>
      <c r="H359" s="8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8"/>
      <c r="H360" s="8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8"/>
      <c r="H361" s="8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8"/>
      <c r="H362" s="8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8"/>
      <c r="H363" s="8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8"/>
      <c r="H364" s="8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8"/>
      <c r="H365" s="8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8"/>
      <c r="H366" s="8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8"/>
      <c r="H367" s="8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8"/>
      <c r="H368" s="8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8"/>
      <c r="H369" s="8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8"/>
      <c r="H370" s="8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8"/>
      <c r="H371" s="8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8"/>
      <c r="H372" s="8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8"/>
      <c r="H373" s="8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8"/>
      <c r="H374" s="8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8"/>
      <c r="H375" s="8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8"/>
      <c r="H376" s="8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8"/>
      <c r="H377" s="8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8"/>
      <c r="H378" s="8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8"/>
      <c r="H379" s="8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8"/>
      <c r="H380" s="8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8"/>
      <c r="H381" s="8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8"/>
      <c r="H382" s="8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8"/>
      <c r="H383" s="8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8"/>
      <c r="H384" s="8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8"/>
      <c r="H385" s="8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8"/>
      <c r="H386" s="8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8"/>
      <c r="H387" s="8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8"/>
      <c r="H388" s="8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8"/>
      <c r="H389" s="8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8"/>
      <c r="H390" s="8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8"/>
      <c r="H391" s="8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8"/>
      <c r="H392" s="8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8"/>
      <c r="H393" s="8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8"/>
      <c r="H394" s="8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8"/>
      <c r="H395" s="8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8"/>
      <c r="H396" s="8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8"/>
      <c r="H397" s="8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8"/>
      <c r="H398" s="8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8"/>
      <c r="H399" s="8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8"/>
      <c r="H400" s="8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8"/>
      <c r="H401" s="8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8"/>
      <c r="H402" s="8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8"/>
      <c r="H403" s="8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8"/>
      <c r="H404" s="8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8"/>
      <c r="H405" s="8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8"/>
      <c r="H406" s="8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8"/>
      <c r="H407" s="8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8"/>
      <c r="H408" s="8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8"/>
      <c r="H409" s="8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8"/>
      <c r="H410" s="8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8"/>
      <c r="H411" s="8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8"/>
      <c r="H412" s="8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8"/>
      <c r="H413" s="8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8"/>
      <c r="H414" s="8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8"/>
      <c r="H415" s="8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8"/>
      <c r="H416" s="8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8"/>
      <c r="H417" s="8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8"/>
      <c r="H418" s="8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8"/>
      <c r="H419" s="8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8"/>
      <c r="H420" s="8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8"/>
      <c r="H421" s="8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8"/>
      <c r="H422" s="8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8"/>
      <c r="H423" s="8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8"/>
      <c r="H424" s="8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8"/>
      <c r="H425" s="8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8"/>
      <c r="H426" s="8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8"/>
      <c r="H427" s="8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8"/>
      <c r="H428" s="8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8"/>
      <c r="H429" s="8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8"/>
      <c r="H430" s="8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8"/>
      <c r="H431" s="8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8"/>
      <c r="H432" s="8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8"/>
      <c r="H433" s="8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8"/>
      <c r="H434" s="8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8"/>
      <c r="H435" s="8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8"/>
      <c r="H436" s="8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8"/>
      <c r="H437" s="8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8"/>
      <c r="H438" s="8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8"/>
      <c r="H439" s="8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8"/>
      <c r="H440" s="8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8"/>
      <c r="H441" s="8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8"/>
      <c r="H442" s="8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8"/>
      <c r="H443" s="8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8"/>
      <c r="H444" s="8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8"/>
      <c r="H445" s="8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8"/>
      <c r="H446" s="8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8"/>
      <c r="H447" s="8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8"/>
      <c r="H448" s="8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8"/>
      <c r="H449" s="8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8"/>
      <c r="H450" s="8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8"/>
      <c r="H451" s="8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8"/>
      <c r="H452" s="8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8"/>
      <c r="H453" s="8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8"/>
      <c r="H454" s="8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8"/>
      <c r="H455" s="8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8"/>
      <c r="H456" s="8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8"/>
      <c r="H457" s="8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8"/>
      <c r="H458" s="8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8"/>
      <c r="H459" s="8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8"/>
      <c r="H460" s="8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8"/>
      <c r="H461" s="8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8"/>
      <c r="H462" s="8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8"/>
      <c r="H463" s="8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8"/>
      <c r="H464" s="8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8"/>
      <c r="H465" s="8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8"/>
      <c r="H466" s="8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8"/>
      <c r="H467" s="8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8"/>
      <c r="H468" s="8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8"/>
      <c r="H469" s="8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8"/>
      <c r="H470" s="8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8"/>
      <c r="H471" s="8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8"/>
      <c r="H472" s="8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8"/>
      <c r="H473" s="8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8"/>
      <c r="H474" s="8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8"/>
      <c r="H475" s="8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8"/>
      <c r="H476" s="8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8"/>
      <c r="H477" s="8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8"/>
      <c r="H478" s="8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8"/>
      <c r="H479" s="8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8"/>
      <c r="H480" s="8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8"/>
      <c r="H481" s="8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8"/>
      <c r="H482" s="8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8"/>
      <c r="H483" s="8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8"/>
      <c r="H484" s="8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8"/>
      <c r="H485" s="8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8"/>
      <c r="H486" s="8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8"/>
      <c r="H487" s="8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8"/>
      <c r="H488" s="8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8"/>
      <c r="H489" s="8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8"/>
      <c r="H490" s="8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8"/>
      <c r="H491" s="8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8"/>
      <c r="H492" s="8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8"/>
      <c r="H493" s="8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8"/>
      <c r="H494" s="8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8"/>
      <c r="H495" s="8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8"/>
      <c r="H496" s="8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8"/>
      <c r="H497" s="8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8"/>
      <c r="H498" s="8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8"/>
      <c r="H499" s="8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8"/>
      <c r="H500" s="8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8"/>
      <c r="H501" s="8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8"/>
      <c r="H502" s="8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8"/>
      <c r="H503" s="8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8"/>
      <c r="H504" s="8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8"/>
      <c r="H505" s="8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8"/>
      <c r="H506" s="8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8"/>
      <c r="H507" s="8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8"/>
      <c r="H508" s="8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8"/>
      <c r="H509" s="8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8"/>
      <c r="H510" s="8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8"/>
      <c r="H511" s="8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8"/>
      <c r="H512" s="8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8"/>
      <c r="H513" s="8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8"/>
      <c r="H514" s="8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8"/>
      <c r="H515" s="8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8"/>
      <c r="H516" s="8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8"/>
      <c r="H517" s="8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8"/>
      <c r="H518" s="8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8"/>
      <c r="H519" s="8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8"/>
      <c r="H520" s="8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8"/>
      <c r="H521" s="8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8"/>
      <c r="H522" s="8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8"/>
      <c r="H523" s="8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8"/>
      <c r="H524" s="8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8"/>
      <c r="H525" s="8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8"/>
      <c r="H526" s="8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8"/>
      <c r="H527" s="8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8"/>
      <c r="H528" s="8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8"/>
      <c r="H529" s="8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8"/>
      <c r="H530" s="8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8"/>
      <c r="H531" s="8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8"/>
      <c r="H532" s="8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8"/>
      <c r="H533" s="8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8"/>
      <c r="H534" s="8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8"/>
      <c r="H535" s="8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8"/>
      <c r="H536" s="8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8"/>
      <c r="H537" s="8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8"/>
      <c r="H538" s="8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8"/>
      <c r="H539" s="8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8"/>
      <c r="H540" s="8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8"/>
      <c r="H541" s="8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8"/>
      <c r="H542" s="8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8"/>
      <c r="H543" s="8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8"/>
      <c r="H544" s="8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8"/>
      <c r="H545" s="8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8"/>
      <c r="H546" s="8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8"/>
      <c r="H547" s="8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8"/>
      <c r="H548" s="8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8"/>
      <c r="H549" s="8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8"/>
      <c r="H550" s="8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8"/>
      <c r="H551" s="8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8"/>
      <c r="H552" s="8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8"/>
      <c r="H553" s="8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8"/>
      <c r="H554" s="8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8"/>
      <c r="H555" s="8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8"/>
      <c r="H556" s="8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8"/>
      <c r="H557" s="8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8"/>
      <c r="H558" s="8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8"/>
      <c r="H559" s="8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8"/>
      <c r="H560" s="8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8"/>
      <c r="H561" s="8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8"/>
      <c r="H562" s="8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8"/>
      <c r="H563" s="8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8"/>
      <c r="H564" s="8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8"/>
      <c r="H565" s="8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8"/>
      <c r="H566" s="8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8"/>
      <c r="H567" s="8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8"/>
      <c r="H568" s="8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8"/>
      <c r="H569" s="8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8"/>
      <c r="H570" s="8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8"/>
      <c r="H571" s="8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8"/>
      <c r="H572" s="8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8"/>
      <c r="H573" s="8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8"/>
      <c r="H574" s="8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8"/>
      <c r="H575" s="8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8"/>
      <c r="H576" s="8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8"/>
      <c r="H577" s="8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8"/>
      <c r="H578" s="8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8"/>
      <c r="H579" s="8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8"/>
      <c r="H580" s="8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8"/>
      <c r="H581" s="8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8"/>
      <c r="H582" s="8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8"/>
      <c r="H583" s="8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8"/>
      <c r="H584" s="8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8"/>
      <c r="H585" s="8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8"/>
      <c r="H586" s="8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8"/>
      <c r="H587" s="8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8"/>
      <c r="H588" s="8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8"/>
      <c r="H589" s="8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8"/>
      <c r="H590" s="8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8"/>
      <c r="H591" s="8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8"/>
      <c r="H592" s="8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8"/>
      <c r="H593" s="8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8"/>
      <c r="H594" s="8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8"/>
      <c r="H595" s="8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8"/>
      <c r="H596" s="8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8"/>
      <c r="H597" s="8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8"/>
      <c r="H598" s="8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8"/>
      <c r="H599" s="8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8"/>
      <c r="H600" s="8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8"/>
      <c r="H601" s="8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8"/>
      <c r="H602" s="8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8"/>
      <c r="H603" s="8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8"/>
      <c r="H604" s="8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8"/>
      <c r="H605" s="8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8"/>
      <c r="H606" s="8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8"/>
      <c r="H607" s="8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8"/>
      <c r="H608" s="8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8"/>
      <c r="H609" s="8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8"/>
      <c r="H610" s="8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8"/>
      <c r="H611" s="8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8"/>
      <c r="H612" s="8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8"/>
      <c r="H613" s="8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8"/>
      <c r="H614" s="8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8"/>
      <c r="H615" s="8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8"/>
      <c r="H616" s="8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8"/>
      <c r="H617" s="8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8"/>
      <c r="H618" s="8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8"/>
      <c r="H619" s="8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8"/>
      <c r="H620" s="8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8"/>
      <c r="H621" s="8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8"/>
      <c r="H622" s="8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8"/>
      <c r="H623" s="8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8"/>
      <c r="H624" s="8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8"/>
      <c r="H625" s="8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8"/>
      <c r="H626" s="8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8"/>
      <c r="H627" s="8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8"/>
      <c r="H628" s="8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8"/>
      <c r="H629" s="8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8"/>
      <c r="H630" s="8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8"/>
      <c r="H631" s="8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8"/>
      <c r="H632" s="8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8"/>
      <c r="H633" s="8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8"/>
      <c r="H634" s="8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8"/>
      <c r="H635" s="8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8"/>
      <c r="H636" s="8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8"/>
      <c r="H637" s="8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8"/>
      <c r="H638" s="8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8"/>
      <c r="H639" s="8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8"/>
      <c r="H640" s="8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8"/>
      <c r="H641" s="8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8"/>
      <c r="H642" s="8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8"/>
      <c r="H643" s="8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8"/>
      <c r="H644" s="8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8"/>
      <c r="H645" s="8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8"/>
      <c r="H646" s="8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8"/>
      <c r="H647" s="8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8"/>
      <c r="H648" s="8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8"/>
      <c r="H649" s="8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8"/>
      <c r="H650" s="8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8"/>
      <c r="H651" s="8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8"/>
      <c r="H652" s="8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8"/>
      <c r="H653" s="8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8"/>
      <c r="H654" s="8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8"/>
      <c r="H655" s="8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8"/>
      <c r="H656" s="8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8"/>
      <c r="H657" s="8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8"/>
      <c r="H658" s="8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8"/>
      <c r="H659" s="8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8"/>
      <c r="H660" s="8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8"/>
      <c r="H661" s="8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8"/>
      <c r="H662" s="8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8"/>
      <c r="H663" s="8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8"/>
      <c r="H664" s="8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8"/>
      <c r="H665" s="8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8"/>
      <c r="H666" s="8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8"/>
      <c r="H667" s="8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8"/>
      <c r="H668" s="8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8"/>
      <c r="H669" s="8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8"/>
      <c r="H670" s="8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8"/>
      <c r="H671" s="8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8"/>
      <c r="H672" s="8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8"/>
      <c r="H673" s="8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8"/>
      <c r="H674" s="8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8"/>
      <c r="H675" s="8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8"/>
      <c r="H676" s="8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8"/>
      <c r="H677" s="8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8"/>
      <c r="H678" s="8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8"/>
      <c r="H679" s="8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8"/>
      <c r="H680" s="8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8"/>
      <c r="H681" s="8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8"/>
      <c r="H682" s="8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8"/>
      <c r="H683" s="8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8"/>
      <c r="H684" s="8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8"/>
      <c r="H685" s="8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8"/>
      <c r="H686" s="8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8"/>
      <c r="H687" s="8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8"/>
      <c r="H688" s="8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8"/>
      <c r="H689" s="8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8"/>
      <c r="H690" s="8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8"/>
      <c r="H691" s="8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8"/>
      <c r="H692" s="8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8"/>
      <c r="H693" s="8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8"/>
      <c r="H694" s="8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8"/>
      <c r="H695" s="8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8"/>
      <c r="H696" s="8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8"/>
      <c r="H697" s="8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8"/>
      <c r="H698" s="8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8"/>
      <c r="H699" s="8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8"/>
      <c r="H700" s="8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8"/>
      <c r="H701" s="8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8"/>
      <c r="H702" s="8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8"/>
      <c r="H703" s="8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8"/>
      <c r="H704" s="8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8"/>
      <c r="H705" s="8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8"/>
      <c r="H706" s="8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8"/>
      <c r="H707" s="8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8"/>
      <c r="H708" s="8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8"/>
      <c r="H709" s="8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8"/>
      <c r="H710" s="8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8"/>
      <c r="H711" s="8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8"/>
      <c r="H712" s="8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8"/>
      <c r="H713" s="8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8"/>
      <c r="H714" s="8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8"/>
      <c r="H715" s="8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8"/>
      <c r="H716" s="8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8"/>
      <c r="H717" s="8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8"/>
      <c r="H718" s="8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8"/>
      <c r="H719" s="8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8"/>
      <c r="H720" s="8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8"/>
      <c r="H721" s="8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8"/>
      <c r="H722" s="8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8"/>
      <c r="H723" s="8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8"/>
      <c r="H724" s="8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8"/>
      <c r="H725" s="8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8"/>
      <c r="H726" s="8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8"/>
      <c r="H727" s="8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8"/>
      <c r="H728" s="8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8"/>
      <c r="H729" s="8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8"/>
      <c r="H730" s="8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8"/>
      <c r="H731" s="8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8"/>
      <c r="H732" s="8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8"/>
      <c r="H733" s="8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8"/>
      <c r="H734" s="8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8"/>
      <c r="H735" s="8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8"/>
      <c r="H736" s="8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8"/>
      <c r="H737" s="8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8"/>
      <c r="H738" s="8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8"/>
      <c r="H739" s="8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8"/>
      <c r="H740" s="8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8"/>
      <c r="H741" s="8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8"/>
      <c r="H742" s="8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8"/>
      <c r="H743" s="8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8"/>
      <c r="H744" s="8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8"/>
      <c r="H745" s="8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8"/>
      <c r="H746" s="8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8"/>
      <c r="H747" s="8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8"/>
      <c r="H748" s="8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8"/>
      <c r="H749" s="8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8"/>
      <c r="H750" s="8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8"/>
      <c r="H751" s="8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8"/>
      <c r="H752" s="8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8"/>
      <c r="H753" s="8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8"/>
      <c r="H754" s="8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8"/>
      <c r="H755" s="8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8"/>
      <c r="H756" s="8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8"/>
      <c r="H757" s="8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8"/>
      <c r="H758" s="8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8"/>
      <c r="H759" s="8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8"/>
      <c r="H760" s="8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8"/>
      <c r="H761" s="8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8"/>
      <c r="H762" s="8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8"/>
      <c r="H763" s="8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8"/>
      <c r="H764" s="8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8"/>
      <c r="H765" s="8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8"/>
      <c r="H766" s="8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8"/>
      <c r="H767" s="8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8"/>
      <c r="H768" s="8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8"/>
      <c r="H769" s="8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8"/>
      <c r="H770" s="8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8"/>
      <c r="H771" s="8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8"/>
      <c r="H772" s="8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8"/>
      <c r="H773" s="8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8"/>
      <c r="H774" s="8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8"/>
      <c r="H775" s="8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8"/>
      <c r="H776" s="8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8"/>
      <c r="H777" s="8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8"/>
      <c r="H778" s="8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8"/>
      <c r="H779" s="8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8"/>
      <c r="H780" s="8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8"/>
      <c r="H781" s="8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8"/>
      <c r="H782" s="8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8"/>
      <c r="H783" s="8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8"/>
      <c r="H784" s="8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8"/>
      <c r="H785" s="8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8"/>
      <c r="H786" s="8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8"/>
      <c r="H787" s="8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8"/>
      <c r="H788" s="8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8"/>
      <c r="H789" s="8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8"/>
      <c r="H790" s="8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8"/>
      <c r="H791" s="8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8"/>
      <c r="H792" s="8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8"/>
      <c r="H793" s="8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8"/>
      <c r="H794" s="8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8"/>
      <c r="H795" s="8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8"/>
      <c r="H796" s="8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8"/>
      <c r="H797" s="8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8"/>
      <c r="H798" s="8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8"/>
      <c r="H799" s="8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8"/>
      <c r="H800" s="8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8"/>
      <c r="H801" s="8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8"/>
      <c r="H802" s="8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8"/>
      <c r="H803" s="8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8"/>
      <c r="H804" s="8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8"/>
      <c r="H805" s="8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8"/>
      <c r="H806" s="8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8"/>
      <c r="H807" s="8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8"/>
      <c r="H808" s="8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8"/>
      <c r="H809" s="8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8"/>
      <c r="H810" s="8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8"/>
      <c r="H811" s="8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8"/>
      <c r="H812" s="8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8"/>
      <c r="H813" s="8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8"/>
      <c r="H814" s="8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8"/>
      <c r="H815" s="8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8"/>
      <c r="H816" s="8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8"/>
      <c r="H817" s="8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8"/>
      <c r="H818" s="8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8"/>
      <c r="H819" s="8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8"/>
      <c r="H820" s="8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8"/>
      <c r="H821" s="8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8"/>
      <c r="H822" s="8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8"/>
      <c r="H823" s="8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8"/>
      <c r="H824" s="8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8"/>
      <c r="H825" s="8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8"/>
      <c r="H826" s="8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8"/>
      <c r="H827" s="8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8"/>
      <c r="H828" s="8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8"/>
      <c r="H829" s="8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8"/>
      <c r="H830" s="8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8"/>
      <c r="H831" s="8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8"/>
      <c r="H832" s="8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8"/>
      <c r="H833" s="8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8"/>
      <c r="H834" s="8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8"/>
      <c r="H835" s="8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8"/>
      <c r="H836" s="8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8"/>
      <c r="H837" s="8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8"/>
      <c r="H838" s="8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8"/>
      <c r="H839" s="8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8"/>
      <c r="H840" s="8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8"/>
      <c r="H841" s="8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8"/>
      <c r="H842" s="8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8"/>
      <c r="H843" s="8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8"/>
      <c r="H844" s="8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8"/>
      <c r="H845" s="8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8"/>
      <c r="H846" s="8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8"/>
      <c r="H847" s="8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8"/>
      <c r="H848" s="8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8"/>
      <c r="H849" s="8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8"/>
      <c r="H850" s="8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8"/>
      <c r="H851" s="8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8"/>
      <c r="H852" s="8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8"/>
      <c r="H853" s="8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8"/>
      <c r="H854" s="8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8"/>
      <c r="H855" s="8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8"/>
      <c r="H856" s="8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8"/>
      <c r="H857" s="8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8"/>
      <c r="H858" s="8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8"/>
      <c r="H859" s="8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8"/>
      <c r="H860" s="8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8"/>
      <c r="H861" s="8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8"/>
      <c r="H862" s="8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8"/>
      <c r="H863" s="8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8"/>
      <c r="H864" s="8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8"/>
      <c r="H865" s="8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8"/>
      <c r="H866" s="8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8"/>
      <c r="H867" s="8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8"/>
      <c r="H868" s="8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8"/>
      <c r="H869" s="8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8"/>
      <c r="H870" s="8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8"/>
      <c r="H871" s="8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8"/>
      <c r="H872" s="8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8"/>
      <c r="H873" s="8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8"/>
      <c r="H874" s="8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8"/>
      <c r="H875" s="8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8"/>
      <c r="H876" s="8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8"/>
      <c r="H877" s="8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8"/>
      <c r="H878" s="8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8"/>
      <c r="H879" s="8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8"/>
      <c r="H880" s="8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8"/>
      <c r="H881" s="8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8"/>
      <c r="H882" s="8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8"/>
      <c r="H883" s="8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8"/>
      <c r="H884" s="8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8"/>
      <c r="H885" s="8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8"/>
      <c r="H886" s="8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8"/>
      <c r="H887" s="8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8"/>
      <c r="H888" s="8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8"/>
      <c r="H889" s="8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8"/>
      <c r="H890" s="8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8"/>
      <c r="H891" s="8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8"/>
      <c r="H892" s="8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8"/>
      <c r="H893" s="8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8"/>
      <c r="H894" s="8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8"/>
      <c r="H895" s="8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8"/>
      <c r="H896" s="8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8"/>
      <c r="H897" s="8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8"/>
      <c r="H898" s="8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8"/>
      <c r="H899" s="8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8"/>
      <c r="H900" s="8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8"/>
      <c r="H901" s="8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8"/>
      <c r="H902" s="8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8"/>
      <c r="H903" s="8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8"/>
      <c r="H904" s="8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8"/>
      <c r="H905" s="8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8"/>
      <c r="H906" s="8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8"/>
      <c r="H907" s="8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8"/>
      <c r="H908" s="8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8"/>
      <c r="H909" s="8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8"/>
      <c r="H910" s="8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8"/>
      <c r="H911" s="8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8"/>
      <c r="H912" s="8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8"/>
      <c r="H913" s="8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8"/>
      <c r="H914" s="8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8"/>
      <c r="H915" s="8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8"/>
      <c r="H916" s="8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8"/>
      <c r="H917" s="8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8"/>
      <c r="H918" s="8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8"/>
      <c r="H919" s="8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8"/>
      <c r="H920" s="8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8"/>
      <c r="H921" s="8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8"/>
      <c r="H922" s="8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8"/>
      <c r="H923" s="8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8"/>
      <c r="H924" s="8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8"/>
      <c r="H925" s="8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8"/>
      <c r="H926" s="8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8"/>
      <c r="H927" s="8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8"/>
      <c r="H928" s="8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8"/>
      <c r="H929" s="8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8"/>
      <c r="H930" s="8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8"/>
      <c r="H931" s="8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8"/>
      <c r="H932" s="8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8"/>
      <c r="H933" s="8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8"/>
      <c r="H934" s="8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8"/>
      <c r="H935" s="8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8"/>
      <c r="H936" s="8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8"/>
      <c r="H937" s="8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8"/>
      <c r="H938" s="8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8"/>
      <c r="H939" s="8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8"/>
      <c r="H940" s="8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8"/>
      <c r="H941" s="8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8"/>
      <c r="H942" s="8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8"/>
      <c r="H943" s="8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8"/>
      <c r="H944" s="8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8"/>
      <c r="H945" s="8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8"/>
      <c r="H946" s="8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8"/>
      <c r="H947" s="8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8"/>
      <c r="H948" s="8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8"/>
      <c r="H949" s="8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8"/>
      <c r="H950" s="8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8"/>
      <c r="H951" s="8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8"/>
      <c r="H952" s="8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8"/>
      <c r="H953" s="8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8"/>
      <c r="H954" s="8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8"/>
      <c r="H955" s="8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8"/>
      <c r="H956" s="8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8"/>
      <c r="H957" s="8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8"/>
      <c r="H958" s="8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8"/>
      <c r="H959" s="8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8"/>
      <c r="H960" s="8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8"/>
      <c r="H961" s="8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8"/>
      <c r="H962" s="8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8"/>
      <c r="H963" s="8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8"/>
      <c r="H964" s="8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8"/>
      <c r="H965" s="8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8"/>
      <c r="H966" s="8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8"/>
      <c r="H967" s="8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8"/>
      <c r="H968" s="8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8"/>
      <c r="H969" s="8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8"/>
      <c r="H970" s="8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8"/>
      <c r="H971" s="8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8"/>
      <c r="H972" s="8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8"/>
      <c r="H973" s="8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8"/>
      <c r="H974" s="8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8"/>
      <c r="H975" s="8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8"/>
      <c r="H976" s="8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8"/>
      <c r="H977" s="8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8"/>
      <c r="H978" s="8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8"/>
      <c r="H979" s="8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8"/>
      <c r="H980" s="8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8"/>
      <c r="H981" s="8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8"/>
      <c r="H982" s="8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8"/>
      <c r="H983" s="8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8"/>
      <c r="H984" s="8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8"/>
      <c r="H985" s="8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8"/>
      <c r="H986" s="8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8"/>
      <c r="H987" s="8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8"/>
      <c r="H988" s="8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8"/>
      <c r="H989" s="8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8"/>
      <c r="H990" s="8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8"/>
      <c r="H991" s="8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8"/>
      <c r="H992" s="8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8"/>
      <c r="H993" s="8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8"/>
      <c r="H994" s="8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8"/>
      <c r="H995" s="8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8"/>
      <c r="H996" s="8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8"/>
      <c r="H997" s="8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8"/>
      <c r="H998" s="8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8"/>
      <c r="H999" s="8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8"/>
      <c r="H1000" s="8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</cols>
  <sheetData>
    <row r="1">
      <c r="A1" s="76"/>
      <c r="B1" s="30" t="s">
        <v>3</v>
      </c>
      <c r="C1" s="30" t="s">
        <v>76</v>
      </c>
      <c r="D1" s="5" t="s">
        <v>79</v>
      </c>
      <c r="E1" s="5" t="s">
        <v>118</v>
      </c>
      <c r="F1" s="5" t="s">
        <v>119</v>
      </c>
      <c r="G1" s="5" t="s">
        <v>42</v>
      </c>
      <c r="H1" s="5" t="s">
        <v>47</v>
      </c>
      <c r="I1" s="5" t="s">
        <v>120</v>
      </c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</row>
    <row r="2">
      <c r="A2" s="139" t="s">
        <v>121</v>
      </c>
      <c r="B2" s="140">
        <v>866.33</v>
      </c>
      <c r="C2" s="140">
        <v>2530.0</v>
      </c>
      <c r="D2" s="140">
        <v>2530.0</v>
      </c>
      <c r="E2" s="140">
        <v>2530.0</v>
      </c>
      <c r="F2" s="140">
        <v>2530.0</v>
      </c>
      <c r="G2" s="140">
        <v>2530.0</v>
      </c>
      <c r="H2" s="140">
        <v>2530.0</v>
      </c>
      <c r="I2" s="140">
        <f>(30360+800)/12</f>
        <v>2596.666667</v>
      </c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</row>
    <row r="3">
      <c r="A3" s="141" t="s">
        <v>122</v>
      </c>
      <c r="B3" s="5">
        <v>0.0</v>
      </c>
      <c r="C3" s="5">
        <v>0.0</v>
      </c>
      <c r="D3" s="5">
        <v>0.0</v>
      </c>
      <c r="E3" s="5">
        <v>10.0</v>
      </c>
      <c r="F3" s="5">
        <v>10.0</v>
      </c>
      <c r="G3" s="5">
        <v>10.0</v>
      </c>
      <c r="H3" s="5">
        <v>10.0</v>
      </c>
      <c r="I3" s="5">
        <v>10.0</v>
      </c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</row>
    <row r="4">
      <c r="A4" s="142" t="s">
        <v>123</v>
      </c>
      <c r="B4" s="30">
        <f t="shared" ref="B4:G4" si="1">B3*11</f>
        <v>0</v>
      </c>
      <c r="C4" s="30">
        <f t="shared" si="1"/>
        <v>0</v>
      </c>
      <c r="D4" s="30">
        <f t="shared" si="1"/>
        <v>0</v>
      </c>
      <c r="E4" s="30">
        <f t="shared" si="1"/>
        <v>110</v>
      </c>
      <c r="F4" s="30">
        <f t="shared" si="1"/>
        <v>110</v>
      </c>
      <c r="G4" s="30">
        <f t="shared" si="1"/>
        <v>110</v>
      </c>
      <c r="H4" s="30">
        <f t="shared" ref="H4:I4" si="2">H3*12</f>
        <v>120</v>
      </c>
      <c r="I4" s="30">
        <f t="shared" si="2"/>
        <v>120</v>
      </c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</row>
    <row r="5">
      <c r="A5" s="142" t="s">
        <v>124</v>
      </c>
      <c r="B5" s="30">
        <v>0.0</v>
      </c>
      <c r="C5" s="30">
        <v>57.68</v>
      </c>
      <c r="D5" s="30">
        <f>57.34+11.43</f>
        <v>68.77</v>
      </c>
      <c r="E5" s="30">
        <v>57.34</v>
      </c>
      <c r="F5" s="30">
        <f t="shared" ref="F5:G5" si="3">64.44</f>
        <v>64.44</v>
      </c>
      <c r="G5" s="30">
        <f t="shared" si="3"/>
        <v>64.44</v>
      </c>
      <c r="H5" s="30">
        <v>63.6</v>
      </c>
      <c r="I5" s="30">
        <f>64.44</f>
        <v>64.44</v>
      </c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</row>
    <row r="6">
      <c r="A6" s="142" t="s">
        <v>125</v>
      </c>
      <c r="B6" s="30">
        <v>0.0</v>
      </c>
      <c r="C6" s="30">
        <f t="shared" ref="C6:E6" si="4">6.81-2.66</f>
        <v>4.15</v>
      </c>
      <c r="D6" s="30">
        <f t="shared" si="4"/>
        <v>4.15</v>
      </c>
      <c r="E6" s="30">
        <f t="shared" si="4"/>
        <v>4.15</v>
      </c>
      <c r="F6" s="30">
        <f t="shared" ref="F6:G6" si="5">8.01-3.12</f>
        <v>4.89</v>
      </c>
      <c r="G6" s="30">
        <f t="shared" si="5"/>
        <v>4.89</v>
      </c>
      <c r="H6" s="30">
        <f>7.71-1.23</f>
        <v>6.48</v>
      </c>
      <c r="I6" s="30">
        <f>8.01-3.12</f>
        <v>4.89</v>
      </c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</row>
    <row r="7">
      <c r="A7" s="142" t="s">
        <v>126</v>
      </c>
      <c r="B7" s="30">
        <v>870.67</v>
      </c>
      <c r="C7" s="30">
        <f t="shared" ref="C7:I7" si="6">C2+C6+C5</f>
        <v>2591.83</v>
      </c>
      <c r="D7" s="30">
        <f t="shared" si="6"/>
        <v>2602.92</v>
      </c>
      <c r="E7" s="30">
        <f t="shared" si="6"/>
        <v>2591.49</v>
      </c>
      <c r="F7" s="30">
        <f t="shared" si="6"/>
        <v>2599.33</v>
      </c>
      <c r="G7" s="30">
        <f t="shared" si="6"/>
        <v>2599.33</v>
      </c>
      <c r="H7" s="30">
        <f t="shared" si="6"/>
        <v>2600.08</v>
      </c>
      <c r="I7" s="30">
        <f t="shared" si="6"/>
        <v>2665.996667</v>
      </c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</row>
    <row r="8">
      <c r="A8" s="143" t="s">
        <v>127</v>
      </c>
      <c r="B8" s="30">
        <f t="shared" ref="B8:I8" si="7">B7</f>
        <v>870.67</v>
      </c>
      <c r="C8" s="30">
        <f t="shared" si="7"/>
        <v>2591.83</v>
      </c>
      <c r="D8" s="30">
        <f t="shared" si="7"/>
        <v>2602.92</v>
      </c>
      <c r="E8" s="30">
        <f t="shared" si="7"/>
        <v>2591.49</v>
      </c>
      <c r="F8" s="30">
        <f t="shared" si="7"/>
        <v>2599.33</v>
      </c>
      <c r="G8" s="30">
        <f t="shared" si="7"/>
        <v>2599.33</v>
      </c>
      <c r="H8" s="30">
        <f t="shared" si="7"/>
        <v>2600.08</v>
      </c>
      <c r="I8" s="30">
        <f t="shared" si="7"/>
        <v>2665.996667</v>
      </c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</row>
    <row r="9">
      <c r="A9" s="144" t="s">
        <v>128</v>
      </c>
      <c r="B9" s="145">
        <v>0.0</v>
      </c>
      <c r="C9" s="145">
        <v>0.18</v>
      </c>
      <c r="D9" s="145">
        <v>0.18</v>
      </c>
      <c r="E9" s="145">
        <v>0.18</v>
      </c>
      <c r="F9" s="145">
        <v>0.1501</v>
      </c>
      <c r="G9" s="145">
        <v>0.1495</v>
      </c>
      <c r="H9" s="145">
        <v>0.1472</v>
      </c>
      <c r="I9" s="145">
        <v>0.1539</v>
      </c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</row>
    <row r="10">
      <c r="A10" s="142" t="s">
        <v>129</v>
      </c>
      <c r="B10" s="30">
        <f>B9*(B2-B4)</f>
        <v>0</v>
      </c>
      <c r="C10" s="30">
        <f t="shared" ref="C10:I10" si="8">C9*(C2+C6-C4)</f>
        <v>456.147</v>
      </c>
      <c r="D10" s="30">
        <f t="shared" si="8"/>
        <v>456.147</v>
      </c>
      <c r="E10" s="30">
        <f t="shared" si="8"/>
        <v>436.347</v>
      </c>
      <c r="F10" s="30">
        <f t="shared" si="8"/>
        <v>363.975989</v>
      </c>
      <c r="G10" s="30">
        <f t="shared" si="8"/>
        <v>362.521055</v>
      </c>
      <c r="H10" s="30">
        <f t="shared" si="8"/>
        <v>355.705856</v>
      </c>
      <c r="I10" s="30">
        <f t="shared" si="8"/>
        <v>381.911571</v>
      </c>
      <c r="J10" s="30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</row>
    <row r="11">
      <c r="A11" s="146" t="s">
        <v>130</v>
      </c>
      <c r="B11" s="147">
        <f t="shared" ref="B11:E11" si="9">B7*($B$16+$B$17)+B8*($B$18+$B$19)</f>
        <v>56.419416</v>
      </c>
      <c r="C11" s="147">
        <f t="shared" si="9"/>
        <v>167.950584</v>
      </c>
      <c r="D11" s="147">
        <f t="shared" si="9"/>
        <v>168.669216</v>
      </c>
      <c r="E11" s="147">
        <f t="shared" si="9"/>
        <v>167.928552</v>
      </c>
      <c r="F11" s="147">
        <f t="shared" ref="F11:I11" si="10">F7*($C$16+$C$17)+F8*($C$18+$C$19)</f>
        <v>168.95645</v>
      </c>
      <c r="G11" s="147">
        <f t="shared" si="10"/>
        <v>168.95645</v>
      </c>
      <c r="H11" s="147">
        <f t="shared" si="10"/>
        <v>169.0052</v>
      </c>
      <c r="I11" s="147">
        <f t="shared" si="10"/>
        <v>173.2897833</v>
      </c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</row>
    <row r="12">
      <c r="A12" s="142"/>
      <c r="B12" s="30"/>
      <c r="C12" s="30"/>
      <c r="D12" s="30"/>
      <c r="E12" s="30"/>
      <c r="F12" s="30"/>
      <c r="G12" s="30"/>
      <c r="H12" s="30"/>
      <c r="I12" s="30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</row>
    <row r="13">
      <c r="A13" s="148" t="s">
        <v>131</v>
      </c>
      <c r="B13" s="149">
        <f t="shared" ref="B13:I13" si="11">B2-B10-B11-B4</f>
        <v>809.910584</v>
      </c>
      <c r="C13" s="149">
        <f t="shared" si="11"/>
        <v>1905.902416</v>
      </c>
      <c r="D13" s="149">
        <f t="shared" si="11"/>
        <v>1905.183784</v>
      </c>
      <c r="E13" s="149">
        <f t="shared" si="11"/>
        <v>1815.724448</v>
      </c>
      <c r="F13" s="149">
        <f t="shared" si="11"/>
        <v>1887.067561</v>
      </c>
      <c r="G13" s="149">
        <f t="shared" si="11"/>
        <v>1888.522495</v>
      </c>
      <c r="H13" s="149">
        <f t="shared" si="11"/>
        <v>1885.288944</v>
      </c>
      <c r="I13" s="149">
        <f t="shared" si="11"/>
        <v>1921.465312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</row>
    <row r="14">
      <c r="A14" s="150"/>
      <c r="B14" s="151">
        <f t="shared" ref="B14:I14" si="12">(B13+B4)/B2</f>
        <v>0.9348753754</v>
      </c>
      <c r="C14" s="151">
        <f t="shared" si="12"/>
        <v>0.753321113</v>
      </c>
      <c r="D14" s="151">
        <f t="shared" si="12"/>
        <v>0.7530370688</v>
      </c>
      <c r="E14" s="151">
        <f t="shared" si="12"/>
        <v>0.7611559083</v>
      </c>
      <c r="F14" s="151">
        <f t="shared" si="12"/>
        <v>0.7893547672</v>
      </c>
      <c r="G14" s="151">
        <f t="shared" si="12"/>
        <v>0.7899298399</v>
      </c>
      <c r="H14" s="151">
        <f t="shared" si="12"/>
        <v>0.7926043257</v>
      </c>
      <c r="I14" s="151">
        <f t="shared" si="12"/>
        <v>0.7861868982</v>
      </c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</row>
    <row r="15">
      <c r="A15" s="5" t="s">
        <v>132</v>
      </c>
      <c r="B15" s="5">
        <v>2025.0</v>
      </c>
      <c r="C15" s="5">
        <v>2026.0</v>
      </c>
      <c r="D15" s="76"/>
      <c r="E15" s="76"/>
      <c r="F15" s="30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</row>
    <row r="16">
      <c r="A16" s="5" t="s">
        <v>133</v>
      </c>
      <c r="B16" s="152">
        <v>0.047</v>
      </c>
      <c r="C16" s="152">
        <v>0.047</v>
      </c>
      <c r="D16" s="76"/>
      <c r="E16" s="76"/>
      <c r="F16" s="30"/>
      <c r="G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</row>
    <row r="17">
      <c r="A17" s="5" t="s">
        <v>134</v>
      </c>
      <c r="B17" s="152">
        <v>0.0013</v>
      </c>
      <c r="C17" s="152">
        <v>0.0015</v>
      </c>
      <c r="D17" s="76"/>
      <c r="E17" s="76"/>
      <c r="F17" s="76"/>
      <c r="G17" s="76"/>
      <c r="H17" s="76"/>
      <c r="I17" s="5" t="s">
        <v>19</v>
      </c>
      <c r="J17" s="30">
        <f>(30360+800+750)*(1-SUM(C16:C19))-1420</f>
        <v>28415.85</v>
      </c>
      <c r="L17" s="30">
        <f>10650</f>
        <v>10650</v>
      </c>
      <c r="M17" s="74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</row>
    <row r="18">
      <c r="A18" s="5" t="s">
        <v>135</v>
      </c>
      <c r="B18" s="152">
        <v>0.001</v>
      </c>
      <c r="C18" s="152">
        <v>0.001</v>
      </c>
      <c r="D18" s="76"/>
      <c r="E18" s="76"/>
      <c r="F18" s="76"/>
      <c r="G18" s="76"/>
      <c r="H18" s="153">
        <v>12450.0</v>
      </c>
      <c r="I18" s="154">
        <v>0.18</v>
      </c>
      <c r="J18" s="76">
        <f t="shared" ref="J18:J26" si="13">IF(OR(($J$17)-H18&gt;0,($J$17)-H18=0),H18-H17,IF(($J$17)&lt;H17,0,($J$17)-H17))</f>
        <v>12450</v>
      </c>
      <c r="K18" s="76">
        <f t="shared" ref="K18:K27" si="14">I18*J18</f>
        <v>2241</v>
      </c>
      <c r="L18" s="30">
        <f>I18*L17</f>
        <v>1917</v>
      </c>
      <c r="M18" s="74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</row>
    <row r="19">
      <c r="A19" s="5" t="s">
        <v>136</v>
      </c>
      <c r="B19" s="152">
        <v>0.0155</v>
      </c>
      <c r="C19" s="152">
        <v>0.0155</v>
      </c>
      <c r="D19" s="74"/>
      <c r="E19" s="74"/>
      <c r="F19" s="76"/>
      <c r="G19" s="76"/>
      <c r="H19" s="153">
        <v>13362.0</v>
      </c>
      <c r="I19" s="154">
        <v>0.205</v>
      </c>
      <c r="J19" s="76">
        <f t="shared" si="13"/>
        <v>912</v>
      </c>
      <c r="K19" s="76">
        <f t="shared" si="14"/>
        <v>186.96</v>
      </c>
      <c r="L19" s="76"/>
      <c r="M19" s="74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</row>
    <row r="20">
      <c r="A20" s="74"/>
      <c r="B20" s="74"/>
      <c r="C20" s="74"/>
      <c r="D20" s="74"/>
      <c r="E20" s="74"/>
      <c r="F20" s="76"/>
      <c r="G20" s="76"/>
      <c r="H20" s="153">
        <v>19004.0</v>
      </c>
      <c r="I20" s="154">
        <v>0.227</v>
      </c>
      <c r="J20" s="76">
        <f t="shared" si="13"/>
        <v>5642</v>
      </c>
      <c r="K20" s="76">
        <f t="shared" si="14"/>
        <v>1280.734</v>
      </c>
      <c r="L20" s="76"/>
      <c r="M20" s="74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</row>
    <row r="21">
      <c r="F21" s="76"/>
      <c r="G21" s="76"/>
      <c r="H21" s="153">
        <v>20200.0</v>
      </c>
      <c r="I21" s="154">
        <v>0.248</v>
      </c>
      <c r="J21" s="76">
        <f t="shared" si="13"/>
        <v>1196</v>
      </c>
      <c r="K21" s="76">
        <f t="shared" si="14"/>
        <v>296.608</v>
      </c>
      <c r="L21" s="76"/>
      <c r="M21" s="74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</row>
    <row r="22">
      <c r="A22" s="76"/>
      <c r="C22" s="76"/>
      <c r="D22" s="76"/>
      <c r="E22" s="76"/>
      <c r="F22" s="76"/>
      <c r="G22" s="76"/>
      <c r="H22" s="153">
        <v>35200.0</v>
      </c>
      <c r="I22" s="154">
        <v>0.278</v>
      </c>
      <c r="J22" s="76">
        <f t="shared" si="13"/>
        <v>8215.85</v>
      </c>
      <c r="K22" s="76">
        <f t="shared" si="14"/>
        <v>2284.0063</v>
      </c>
      <c r="L22" s="76"/>
      <c r="M22" s="74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</row>
    <row r="23">
      <c r="A23" s="76"/>
      <c r="C23" s="76"/>
      <c r="D23" s="76"/>
      <c r="E23" s="76"/>
      <c r="F23" s="76"/>
      <c r="G23" s="76"/>
      <c r="H23" s="153">
        <v>35425.0</v>
      </c>
      <c r="I23" s="154">
        <v>0.313</v>
      </c>
      <c r="J23" s="74">
        <f t="shared" si="13"/>
        <v>0</v>
      </c>
      <c r="K23" s="74">
        <f t="shared" si="14"/>
        <v>0</v>
      </c>
      <c r="L23" s="76"/>
      <c r="M23" s="74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</row>
    <row r="24">
      <c r="A24" s="76"/>
      <c r="C24" s="76"/>
      <c r="D24" s="76"/>
      <c r="E24" s="76"/>
      <c r="F24" s="76"/>
      <c r="G24" s="76"/>
      <c r="H24" s="153">
        <v>57320.0</v>
      </c>
      <c r="I24" s="154">
        <v>0.359</v>
      </c>
      <c r="J24" s="74">
        <f t="shared" si="13"/>
        <v>0</v>
      </c>
      <c r="K24" s="74">
        <f t="shared" si="14"/>
        <v>0</v>
      </c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</row>
    <row r="25">
      <c r="D25" s="76"/>
      <c r="E25" s="76"/>
      <c r="F25" s="76"/>
      <c r="G25" s="76"/>
      <c r="H25" s="153">
        <v>60000.0</v>
      </c>
      <c r="I25" s="154">
        <v>0.39</v>
      </c>
      <c r="J25" s="74">
        <f t="shared" si="13"/>
        <v>0</v>
      </c>
      <c r="K25" s="74">
        <f t="shared" si="14"/>
        <v>0</v>
      </c>
      <c r="L25" s="155"/>
      <c r="M25" s="155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</row>
    <row r="26">
      <c r="A26" s="76"/>
      <c r="B26" s="76"/>
      <c r="C26" s="76"/>
      <c r="D26" s="76"/>
      <c r="E26" s="76"/>
      <c r="F26" s="76"/>
      <c r="G26" s="76"/>
      <c r="H26" s="153">
        <v>300000.0</v>
      </c>
      <c r="I26" s="154">
        <v>0.43</v>
      </c>
      <c r="J26" s="74">
        <f t="shared" si="13"/>
        <v>0</v>
      </c>
      <c r="K26" s="74">
        <f t="shared" si="14"/>
        <v>0</v>
      </c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</row>
    <row r="27">
      <c r="A27" s="76"/>
      <c r="B27" s="76"/>
      <c r="C27" s="76"/>
      <c r="D27" s="76"/>
      <c r="E27" s="76"/>
      <c r="F27" s="76"/>
      <c r="G27" s="76"/>
      <c r="H27" s="153" t="s">
        <v>137</v>
      </c>
      <c r="I27" s="154">
        <v>0.45</v>
      </c>
      <c r="J27" s="74">
        <f>IF(($J$17)-H26&gt;0,($J$17)-H26,0)</f>
        <v>0</v>
      </c>
      <c r="K27" s="74">
        <f t="shared" si="14"/>
        <v>0</v>
      </c>
      <c r="L27" s="76"/>
      <c r="M27" s="155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</row>
    <row r="28">
      <c r="A28" s="76"/>
      <c r="B28" s="76"/>
      <c r="C28" s="76"/>
      <c r="D28" s="76"/>
      <c r="E28" s="76"/>
      <c r="F28" s="76"/>
      <c r="G28" s="76"/>
      <c r="H28" s="76"/>
      <c r="I28" s="76"/>
      <c r="J28" s="74"/>
      <c r="K28" s="76">
        <f>SUM(K18:K27)</f>
        <v>6289.3083</v>
      </c>
      <c r="L28" s="76">
        <f>K28-L18</f>
        <v>4372.3083</v>
      </c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</row>
    <row r="29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155">
        <f t="shared" ref="K29:L29" si="15">K28/$J$17</f>
        <v>0.2213309931</v>
      </c>
      <c r="L29" s="155">
        <f t="shared" si="15"/>
        <v>0.1538686437</v>
      </c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</row>
    <row r="30">
      <c r="A30" s="76"/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</row>
    <row r="31">
      <c r="A31" s="76"/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</row>
    <row r="32">
      <c r="A32" s="76"/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</row>
    <row r="33">
      <c r="A33" s="76"/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</row>
    <row r="34">
      <c r="A34" s="76"/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</row>
    <row r="35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</row>
    <row r="36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</cols>
  <sheetData>
    <row r="1">
      <c r="A1" s="76"/>
      <c r="B1" s="30" t="s">
        <v>3</v>
      </c>
      <c r="C1" s="30" t="s">
        <v>76</v>
      </c>
      <c r="D1" s="5" t="s">
        <v>79</v>
      </c>
      <c r="E1" s="5" t="s">
        <v>118</v>
      </c>
      <c r="F1" s="5" t="s">
        <v>119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>
      <c r="A2" s="139" t="s">
        <v>121</v>
      </c>
      <c r="B2" s="140">
        <v>3644.91</v>
      </c>
      <c r="C2" s="140">
        <v>3644.91</v>
      </c>
      <c r="D2" s="140">
        <v>3644.91</v>
      </c>
      <c r="E2" s="140">
        <v>3644.91</v>
      </c>
      <c r="F2" s="140">
        <f>43738.92/12</f>
        <v>3644.91</v>
      </c>
      <c r="G2" s="76">
        <f>49005.86/12</f>
        <v>4083.821667</v>
      </c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>
      <c r="A3" s="141" t="s">
        <v>122</v>
      </c>
      <c r="B3" s="5">
        <v>11.0</v>
      </c>
      <c r="C3" s="5">
        <v>22.0</v>
      </c>
      <c r="D3" s="5">
        <v>17.0</v>
      </c>
      <c r="E3" s="5">
        <v>16.0</v>
      </c>
      <c r="F3" s="5">
        <v>17.0</v>
      </c>
      <c r="G3" s="5">
        <v>22.0</v>
      </c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>
      <c r="A4" s="142" t="s">
        <v>138</v>
      </c>
      <c r="B4" s="30">
        <f t="shared" ref="B4:G4" si="1">B3*9</f>
        <v>99</v>
      </c>
      <c r="C4" s="30">
        <f t="shared" si="1"/>
        <v>198</v>
      </c>
      <c r="D4" s="30">
        <f t="shared" si="1"/>
        <v>153</v>
      </c>
      <c r="E4" s="30">
        <f t="shared" si="1"/>
        <v>144</v>
      </c>
      <c r="F4" s="30">
        <f t="shared" si="1"/>
        <v>153</v>
      </c>
      <c r="G4" s="30">
        <f t="shared" si="1"/>
        <v>198</v>
      </c>
      <c r="H4" s="76"/>
      <c r="I4" s="76"/>
      <c r="J4" s="76"/>
      <c r="K4" s="76"/>
      <c r="L4" s="76"/>
      <c r="M4" s="30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>
      <c r="A5" s="142" t="s">
        <v>139</v>
      </c>
      <c r="B5" s="30">
        <v>66.22</v>
      </c>
      <c r="C5" s="30">
        <v>66.22</v>
      </c>
      <c r="D5" s="30">
        <v>66.22</v>
      </c>
      <c r="E5" s="30">
        <v>66.22</v>
      </c>
      <c r="F5" s="30">
        <v>66.22</v>
      </c>
      <c r="G5" s="30">
        <v>66.22</v>
      </c>
      <c r="H5" s="76"/>
      <c r="I5" s="76"/>
      <c r="J5" s="76"/>
      <c r="K5" s="76"/>
      <c r="L5" s="76"/>
      <c r="M5" s="30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>
      <c r="A6" s="142" t="s">
        <v>140</v>
      </c>
      <c r="B6" s="30">
        <v>50.0</v>
      </c>
      <c r="C6" s="30">
        <v>50.0</v>
      </c>
      <c r="D6" s="30">
        <v>50.0</v>
      </c>
      <c r="E6" s="30">
        <v>50.0</v>
      </c>
      <c r="F6" s="30">
        <v>50.0</v>
      </c>
      <c r="G6" s="30">
        <v>50.0</v>
      </c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>
      <c r="A7" s="142" t="s">
        <v>126</v>
      </c>
      <c r="B7" s="30">
        <f t="shared" ref="B7:G7" si="2">B2+B4+B5-B6</f>
        <v>3760.13</v>
      </c>
      <c r="C7" s="30">
        <f t="shared" si="2"/>
        <v>3859.13</v>
      </c>
      <c r="D7" s="30">
        <f t="shared" si="2"/>
        <v>3814.13</v>
      </c>
      <c r="E7" s="30">
        <f t="shared" si="2"/>
        <v>3805.13</v>
      </c>
      <c r="F7" s="30">
        <f t="shared" si="2"/>
        <v>3814.13</v>
      </c>
      <c r="G7" s="30">
        <f t="shared" si="2"/>
        <v>4298.041667</v>
      </c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>
      <c r="A8" s="143" t="s">
        <v>127</v>
      </c>
      <c r="B8" s="30">
        <f t="shared" ref="B8:G8" si="3">B2+B4+B5</f>
        <v>3810.13</v>
      </c>
      <c r="C8" s="30">
        <f t="shared" si="3"/>
        <v>3909.13</v>
      </c>
      <c r="D8" s="30">
        <f t="shared" si="3"/>
        <v>3864.13</v>
      </c>
      <c r="E8" s="30">
        <f t="shared" si="3"/>
        <v>3855.13</v>
      </c>
      <c r="F8" s="30">
        <f t="shared" si="3"/>
        <v>3864.13</v>
      </c>
      <c r="G8" s="30">
        <f t="shared" si="3"/>
        <v>4348.041667</v>
      </c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>
      <c r="A9" s="144" t="s">
        <v>128</v>
      </c>
      <c r="B9" s="145">
        <v>0.1964</v>
      </c>
      <c r="C9" s="145">
        <v>0.1962</v>
      </c>
      <c r="D9" s="145">
        <v>0.1964</v>
      </c>
      <c r="E9" s="145">
        <v>0.1848</v>
      </c>
      <c r="F9" s="145">
        <v>0.196</v>
      </c>
      <c r="G9" s="145">
        <v>0.2196</v>
      </c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>
      <c r="A10" s="142" t="s">
        <v>129</v>
      </c>
      <c r="B10" s="30">
        <f t="shared" ref="B10:G10" si="4">B9*B2</f>
        <v>715.860324</v>
      </c>
      <c r="C10" s="30">
        <f t="shared" si="4"/>
        <v>715.131342</v>
      </c>
      <c r="D10" s="30">
        <f t="shared" si="4"/>
        <v>715.860324</v>
      </c>
      <c r="E10" s="30">
        <f t="shared" si="4"/>
        <v>673.579368</v>
      </c>
      <c r="F10" s="30">
        <f t="shared" si="4"/>
        <v>714.40236</v>
      </c>
      <c r="G10" s="30">
        <f t="shared" si="4"/>
        <v>896.807238</v>
      </c>
      <c r="H10" s="30"/>
      <c r="I10" s="76"/>
      <c r="J10" s="30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>
      <c r="A11" s="146" t="s">
        <v>130</v>
      </c>
      <c r="B11" s="147">
        <f t="shared" ref="B11:E11" si="5">B7*($B$16+$B$17)+B8*($B$18+$B$19)</f>
        <v>244.481424</v>
      </c>
      <c r="C11" s="147">
        <f t="shared" si="5"/>
        <v>250.896624</v>
      </c>
      <c r="D11" s="147">
        <f t="shared" si="5"/>
        <v>247.980624</v>
      </c>
      <c r="E11" s="147">
        <f t="shared" si="5"/>
        <v>247.397424</v>
      </c>
      <c r="F11" s="147">
        <f t="shared" ref="F11:G11" si="6">F7*($C$16+$C$17)+F8*($C$18+$C$19)</f>
        <v>248.74345</v>
      </c>
      <c r="G11" s="147">
        <f t="shared" si="6"/>
        <v>280.1977083</v>
      </c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>
      <c r="A12" s="142"/>
      <c r="B12" s="30"/>
      <c r="C12" s="30"/>
      <c r="D12" s="30"/>
      <c r="E12" s="30"/>
      <c r="F12" s="30"/>
      <c r="G12" s="30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>
      <c r="A13" s="148" t="s">
        <v>131</v>
      </c>
      <c r="B13" s="149">
        <f t="shared" ref="B13:G13" si="7">B2-B10-B11</f>
        <v>2684.568252</v>
      </c>
      <c r="C13" s="149">
        <f t="shared" si="7"/>
        <v>2678.882034</v>
      </c>
      <c r="D13" s="149">
        <f t="shared" si="7"/>
        <v>2681.069052</v>
      </c>
      <c r="E13" s="149">
        <f t="shared" si="7"/>
        <v>2723.933208</v>
      </c>
      <c r="F13" s="149">
        <f t="shared" si="7"/>
        <v>2681.76419</v>
      </c>
      <c r="G13" s="149">
        <f t="shared" si="7"/>
        <v>2906.81672</v>
      </c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>
      <c r="A14" s="150"/>
      <c r="B14" s="151">
        <f t="shared" ref="B14:G14" si="8">B13/B2</f>
        <v>0.7365252508</v>
      </c>
      <c r="C14" s="151">
        <f t="shared" si="8"/>
        <v>0.7349652074</v>
      </c>
      <c r="D14" s="151">
        <f t="shared" si="8"/>
        <v>0.7355652271</v>
      </c>
      <c r="E14" s="151">
        <f t="shared" si="8"/>
        <v>0.7473252311</v>
      </c>
      <c r="F14" s="151">
        <f t="shared" si="8"/>
        <v>0.7357559418</v>
      </c>
      <c r="G14" s="151">
        <f t="shared" si="8"/>
        <v>0.7117883585</v>
      </c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>
      <c r="A15" s="5" t="s">
        <v>132</v>
      </c>
      <c r="B15" s="5">
        <v>2025.0</v>
      </c>
      <c r="C15" s="5">
        <v>2026.0</v>
      </c>
      <c r="D15" s="76"/>
      <c r="E15" s="76"/>
      <c r="F15" s="30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>
      <c r="A16" s="5" t="s">
        <v>133</v>
      </c>
      <c r="B16" s="152">
        <v>0.047</v>
      </c>
      <c r="C16" s="152">
        <v>0.047</v>
      </c>
      <c r="D16" s="76"/>
      <c r="E16" s="76"/>
      <c r="F16" s="30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>
      <c r="A17" s="5" t="s">
        <v>134</v>
      </c>
      <c r="B17" s="152">
        <v>0.0013</v>
      </c>
      <c r="C17" s="152">
        <v>0.0015</v>
      </c>
      <c r="D17" s="76"/>
      <c r="E17" s="76"/>
      <c r="F17" s="76"/>
      <c r="G17" s="76"/>
      <c r="H17" s="76"/>
      <c r="I17" s="5" t="s">
        <v>19</v>
      </c>
      <c r="J17" s="30">
        <f>49005.86*(1-SUM(B16:B19))</f>
        <v>45830.28027</v>
      </c>
      <c r="K17" s="30"/>
      <c r="L17" s="30">
        <f>10650</f>
        <v>10650</v>
      </c>
      <c r="M17" s="74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>
      <c r="A18" s="5" t="s">
        <v>135</v>
      </c>
      <c r="B18" s="152">
        <v>0.001</v>
      </c>
      <c r="C18" s="152">
        <v>0.001</v>
      </c>
      <c r="D18" s="76"/>
      <c r="E18" s="76"/>
      <c r="F18" s="76"/>
      <c r="G18" s="76"/>
      <c r="H18" s="153">
        <v>12450.0</v>
      </c>
      <c r="I18" s="154">
        <v>0.18</v>
      </c>
      <c r="J18" s="76">
        <f t="shared" ref="J18:J26" si="9">IF(OR($J$17-H18&gt;0,$J$17-H18=0),H18-H17,IF($J$17&lt;H17,0,$J$17-H17))</f>
        <v>12450</v>
      </c>
      <c r="K18" s="76">
        <f t="shared" ref="K18:K27" si="10">I18*J18</f>
        <v>2241</v>
      </c>
      <c r="L18" s="30">
        <f>I18*L17</f>
        <v>1917</v>
      </c>
      <c r="M18" s="74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>
      <c r="A19" s="5" t="s">
        <v>136</v>
      </c>
      <c r="B19" s="152">
        <v>0.0155</v>
      </c>
      <c r="C19" s="152">
        <v>0.0155</v>
      </c>
      <c r="F19" s="76"/>
      <c r="G19" s="76"/>
      <c r="H19" s="153">
        <v>13362.0</v>
      </c>
      <c r="I19" s="154">
        <v>0.205</v>
      </c>
      <c r="J19" s="76">
        <f t="shared" si="9"/>
        <v>912</v>
      </c>
      <c r="K19" s="76">
        <f t="shared" si="10"/>
        <v>186.96</v>
      </c>
      <c r="L19" s="74"/>
      <c r="M19" s="74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>
      <c r="F20" s="76"/>
      <c r="G20" s="76"/>
      <c r="H20" s="153">
        <v>19004.0</v>
      </c>
      <c r="I20" s="154">
        <v>0.227</v>
      </c>
      <c r="J20" s="76">
        <f t="shared" si="9"/>
        <v>5642</v>
      </c>
      <c r="K20" s="76">
        <f t="shared" si="10"/>
        <v>1280.734</v>
      </c>
      <c r="L20" s="74"/>
      <c r="M20" s="74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>
      <c r="F21" s="76"/>
      <c r="G21" s="76"/>
      <c r="H21" s="153">
        <v>20200.0</v>
      </c>
      <c r="I21" s="154">
        <v>0.248</v>
      </c>
      <c r="J21" s="76">
        <f t="shared" si="9"/>
        <v>1196</v>
      </c>
      <c r="K21" s="76">
        <f t="shared" si="10"/>
        <v>296.608</v>
      </c>
      <c r="L21" s="74"/>
      <c r="M21" s="74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>
      <c r="F22" s="76"/>
      <c r="G22" s="76"/>
      <c r="H22" s="153">
        <v>35200.0</v>
      </c>
      <c r="I22" s="154">
        <v>0.278</v>
      </c>
      <c r="J22" s="76">
        <f t="shared" si="9"/>
        <v>15000</v>
      </c>
      <c r="K22" s="76">
        <f t="shared" si="10"/>
        <v>4170</v>
      </c>
      <c r="L22" s="74"/>
      <c r="M22" s="74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>
      <c r="F23" s="76"/>
      <c r="G23" s="76"/>
      <c r="H23" s="153">
        <v>35425.0</v>
      </c>
      <c r="I23" s="154">
        <v>0.313</v>
      </c>
      <c r="J23" s="76">
        <f t="shared" si="9"/>
        <v>225</v>
      </c>
      <c r="K23" s="76">
        <f t="shared" si="10"/>
        <v>70.425</v>
      </c>
      <c r="L23" s="74"/>
      <c r="M23" s="74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>
      <c r="A24" s="76"/>
      <c r="C24" s="76"/>
      <c r="D24" s="76"/>
      <c r="E24" s="76"/>
      <c r="F24" s="76"/>
      <c r="G24" s="76"/>
      <c r="H24" s="153">
        <v>57320.0</v>
      </c>
      <c r="I24" s="154">
        <v>0.359</v>
      </c>
      <c r="J24" s="76">
        <f t="shared" si="9"/>
        <v>10405.28027</v>
      </c>
      <c r="K24" s="76">
        <f t="shared" si="10"/>
        <v>3735.495618</v>
      </c>
      <c r="L24" s="74"/>
      <c r="M24" s="74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>
      <c r="A25" s="76"/>
      <c r="C25" s="76"/>
      <c r="D25" s="76"/>
      <c r="E25" s="76"/>
      <c r="F25" s="76"/>
      <c r="G25" s="76"/>
      <c r="H25" s="153">
        <v>60000.0</v>
      </c>
      <c r="I25" s="154">
        <v>0.39</v>
      </c>
      <c r="J25" s="74">
        <f t="shared" si="9"/>
        <v>0</v>
      </c>
      <c r="K25" s="74">
        <f t="shared" si="10"/>
        <v>0</v>
      </c>
      <c r="L25" s="74"/>
      <c r="M25" s="74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>
      <c r="A26" s="76"/>
      <c r="C26" s="76"/>
      <c r="D26" s="76"/>
      <c r="E26" s="76"/>
      <c r="F26" s="76"/>
      <c r="G26" s="76"/>
      <c r="H26" s="153">
        <v>300000.0</v>
      </c>
      <c r="I26" s="154">
        <v>0.43</v>
      </c>
      <c r="J26" s="74">
        <f t="shared" si="9"/>
        <v>0</v>
      </c>
      <c r="K26" s="74">
        <f t="shared" si="10"/>
        <v>0</v>
      </c>
      <c r="L26" s="74"/>
      <c r="M26" s="74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>
      <c r="A27" s="76"/>
      <c r="C27" s="76"/>
      <c r="D27" s="76"/>
      <c r="E27" s="76"/>
      <c r="F27" s="76"/>
      <c r="G27" s="76"/>
      <c r="H27" s="153" t="s">
        <v>137</v>
      </c>
      <c r="I27" s="154">
        <v>0.45</v>
      </c>
      <c r="J27" s="74">
        <f>IF($J$17-H26&gt;0,$J$17-H26,0)</f>
        <v>0</v>
      </c>
      <c r="K27" s="74">
        <f t="shared" si="10"/>
        <v>0</v>
      </c>
      <c r="L27" s="74"/>
      <c r="M27" s="74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>
      <c r="A28" s="76"/>
      <c r="C28" s="76"/>
      <c r="D28" s="76"/>
      <c r="E28" s="76"/>
      <c r="F28" s="76"/>
      <c r="G28" s="76"/>
      <c r="H28" s="76"/>
      <c r="I28" s="76"/>
      <c r="J28" s="74"/>
      <c r="K28" s="76">
        <f>SUM(K18:K27)</f>
        <v>11981.22262</v>
      </c>
      <c r="L28" s="76">
        <f>K28-L18</f>
        <v>10064.22262</v>
      </c>
      <c r="M28" s="74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>
      <c r="D29" s="76"/>
      <c r="E29" s="76"/>
      <c r="F29" s="76"/>
      <c r="G29" s="76"/>
      <c r="H29" s="76"/>
      <c r="I29" s="76"/>
      <c r="J29" s="76"/>
      <c r="K29" s="155">
        <f>K28/J17</f>
        <v>0.2614259076</v>
      </c>
      <c r="L29" s="155">
        <f>L28/J17</f>
        <v>0.2195976668</v>
      </c>
      <c r="M29" s="155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>
      <c r="A30" s="76"/>
      <c r="B30" s="76"/>
      <c r="C30" s="76"/>
      <c r="D30" s="76"/>
      <c r="E30" s="76"/>
      <c r="F30" s="76"/>
      <c r="G30" s="76"/>
      <c r="H30" s="76"/>
      <c r="I30" s="5"/>
      <c r="J30" s="30"/>
      <c r="K30" s="76"/>
      <c r="L30" s="30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>
      <c r="A31" s="76"/>
      <c r="B31" s="76"/>
      <c r="C31" s="76"/>
      <c r="D31" s="76"/>
      <c r="E31" s="76"/>
      <c r="F31" s="76"/>
      <c r="G31" s="76"/>
      <c r="H31" s="153"/>
      <c r="I31" s="154"/>
      <c r="J31" s="74"/>
      <c r="K31" s="74"/>
      <c r="L31" s="30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>
      <c r="A32" s="76"/>
      <c r="B32" s="76"/>
      <c r="C32" s="76"/>
      <c r="D32" s="76"/>
      <c r="E32" s="76"/>
      <c r="F32" s="76"/>
      <c r="G32" s="76"/>
      <c r="H32" s="153"/>
      <c r="I32" s="154"/>
      <c r="J32" s="74"/>
      <c r="K32" s="74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>
      <c r="A33" s="76"/>
      <c r="B33" s="76"/>
      <c r="C33" s="76"/>
      <c r="D33" s="76"/>
      <c r="E33" s="76"/>
      <c r="F33" s="76"/>
      <c r="G33" s="76"/>
      <c r="H33" s="153"/>
      <c r="I33" s="154"/>
      <c r="J33" s="74"/>
      <c r="K33" s="74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>
      <c r="A34" s="76"/>
      <c r="B34" s="76"/>
      <c r="C34" s="76"/>
      <c r="D34" s="76"/>
      <c r="E34" s="76"/>
      <c r="F34" s="76"/>
      <c r="G34" s="76"/>
      <c r="H34" s="153"/>
      <c r="I34" s="154"/>
      <c r="J34" s="74"/>
      <c r="K34" s="74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>
      <c r="A35" s="76"/>
      <c r="B35" s="76"/>
      <c r="C35" s="76"/>
      <c r="D35" s="76"/>
      <c r="E35" s="76"/>
      <c r="F35" s="76"/>
      <c r="G35" s="76"/>
      <c r="H35" s="153"/>
      <c r="I35" s="154"/>
      <c r="J35" s="74"/>
      <c r="K35" s="74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76"/>
      <c r="B36" s="76"/>
      <c r="C36" s="76"/>
      <c r="D36" s="76"/>
      <c r="E36" s="76"/>
      <c r="F36" s="76"/>
      <c r="G36" s="76"/>
      <c r="H36" s="153"/>
      <c r="I36" s="154"/>
      <c r="J36" s="74"/>
      <c r="K36" s="74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153"/>
      <c r="I37" s="154"/>
      <c r="J37" s="74"/>
      <c r="K37" s="74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153"/>
      <c r="I38" s="154"/>
      <c r="J38" s="74"/>
      <c r="K38" s="74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153"/>
      <c r="I39" s="154"/>
      <c r="J39" s="74"/>
      <c r="K39" s="74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153"/>
      <c r="I40" s="154"/>
      <c r="J40" s="74"/>
      <c r="K40" s="74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4"/>
      <c r="K41" s="74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155"/>
      <c r="L42" s="155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5"/>
      <c r="J43" s="30"/>
      <c r="K43" s="76"/>
      <c r="L43" s="30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153"/>
      <c r="I44" s="154"/>
      <c r="J44" s="74"/>
      <c r="K44" s="74"/>
      <c r="L44" s="30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153"/>
      <c r="I45" s="154"/>
      <c r="J45" s="74"/>
      <c r="K45" s="74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153"/>
      <c r="I46" s="154"/>
      <c r="J46" s="74"/>
      <c r="K46" s="74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153"/>
      <c r="I47" s="154"/>
      <c r="J47" s="74"/>
      <c r="K47" s="74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153"/>
      <c r="I48" s="154"/>
      <c r="J48" s="74"/>
      <c r="K48" s="74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153"/>
      <c r="I49" s="154"/>
      <c r="J49" s="74"/>
      <c r="K49" s="74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153"/>
      <c r="I50" s="154"/>
      <c r="J50" s="74"/>
      <c r="K50" s="74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153"/>
      <c r="I51" s="154"/>
      <c r="J51" s="74"/>
      <c r="K51" s="74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153"/>
      <c r="I52" s="154"/>
      <c r="J52" s="74"/>
      <c r="K52" s="74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153"/>
      <c r="I53" s="154"/>
      <c r="J53" s="74"/>
      <c r="K53" s="74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4"/>
      <c r="K54" s="74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155"/>
      <c r="L55" s="155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  <row r="999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</row>
    <row r="100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</row>
    <row r="1001">
      <c r="A1001" s="76"/>
      <c r="B1001" s="76"/>
      <c r="C1001" s="76"/>
      <c r="D1001" s="76"/>
      <c r="E1001" s="76"/>
      <c r="F1001" s="76"/>
      <c r="G1001" s="76"/>
      <c r="H1001" s="76"/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  <c r="S1001" s="76"/>
      <c r="T1001" s="76"/>
      <c r="U1001" s="76"/>
      <c r="V1001" s="76"/>
      <c r="W1001" s="76"/>
      <c r="X1001" s="76"/>
      <c r="Y1001" s="76"/>
      <c r="Z1001" s="76"/>
    </row>
    <row r="1002">
      <c r="A1002" s="76"/>
      <c r="B1002" s="76"/>
      <c r="C1002" s="76"/>
      <c r="D1002" s="76"/>
      <c r="E1002" s="76"/>
      <c r="F1002" s="76"/>
      <c r="G1002" s="76"/>
      <c r="H1002" s="76"/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  <c r="S1002" s="76"/>
      <c r="T1002" s="76"/>
      <c r="U1002" s="76"/>
      <c r="V1002" s="76"/>
      <c r="W1002" s="76"/>
      <c r="X1002" s="76"/>
      <c r="Y1002" s="76"/>
      <c r="Z1002" s="7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88"/>
    <col customWidth="1" min="2" max="2" width="15.0"/>
    <col customWidth="1" min="3" max="3" width="13.63"/>
    <col customWidth="1" min="4" max="4" width="10.88"/>
    <col customWidth="1" min="5" max="5" width="21.5"/>
    <col customWidth="1" min="7" max="7" width="9.0"/>
    <col customWidth="1" min="8" max="8" width="8.5"/>
    <col customWidth="1" min="9" max="9" width="10.5"/>
    <col customWidth="1" min="10" max="10" width="2.13"/>
    <col customWidth="1" min="11" max="11" width="16.25"/>
    <col customWidth="1" min="12" max="12" width="9.63"/>
    <col customWidth="1" min="13" max="13" width="11.75"/>
    <col customWidth="1" min="14" max="14" width="10.63"/>
    <col customWidth="1" min="15" max="15" width="4.63"/>
    <col customWidth="1" min="16" max="16" width="13.63"/>
    <col customWidth="1" min="18" max="18" width="14.75"/>
    <col customWidth="1" min="19" max="19" width="14.88"/>
  </cols>
  <sheetData>
    <row r="1">
      <c r="A1" s="4" t="s">
        <v>51</v>
      </c>
      <c r="C1" s="7"/>
      <c r="D1" s="9"/>
      <c r="E1" s="13" t="s">
        <v>5</v>
      </c>
      <c r="F1" s="16"/>
      <c r="G1" s="16"/>
      <c r="H1" s="16"/>
      <c r="I1" s="19"/>
      <c r="J1" s="21"/>
      <c r="K1" s="75" t="s">
        <v>9</v>
      </c>
      <c r="M1" s="75" t="s">
        <v>10</v>
      </c>
      <c r="O1" s="7"/>
      <c r="P1" s="7" t="s">
        <v>11</v>
      </c>
      <c r="Q1" s="7" t="s">
        <v>12</v>
      </c>
      <c r="R1" s="7" t="s">
        <v>13</v>
      </c>
      <c r="S1" s="7" t="s">
        <v>14</v>
      </c>
      <c r="T1" s="21"/>
      <c r="U1" s="7"/>
      <c r="V1" s="21"/>
    </row>
    <row r="2">
      <c r="A2" s="4" t="s">
        <v>0</v>
      </c>
      <c r="B2" s="4" t="s">
        <v>17</v>
      </c>
      <c r="C2" s="4" t="s">
        <v>18</v>
      </c>
      <c r="D2" s="7"/>
      <c r="E2" s="26" t="s">
        <v>20</v>
      </c>
      <c r="F2" s="28" t="s">
        <v>22</v>
      </c>
      <c r="G2" s="30" t="s">
        <v>23</v>
      </c>
      <c r="H2" s="7" t="s">
        <v>24</v>
      </c>
      <c r="I2" s="31" t="s">
        <v>25</v>
      </c>
      <c r="J2" s="21"/>
      <c r="K2" s="28" t="s">
        <v>20</v>
      </c>
      <c r="L2" s="28" t="s">
        <v>27</v>
      </c>
      <c r="M2" s="7" t="s">
        <v>28</v>
      </c>
      <c r="N2" s="7">
        <v>13.99</v>
      </c>
      <c r="O2" s="4"/>
      <c r="P2" s="156">
        <v>28.35</v>
      </c>
      <c r="Q2" s="28">
        <v>60.0</v>
      </c>
      <c r="R2" s="7">
        <v>21.73</v>
      </c>
      <c r="S2" s="7">
        <v>124.82</v>
      </c>
      <c r="T2" s="21"/>
      <c r="U2" s="7"/>
      <c r="V2" s="21"/>
    </row>
    <row r="3">
      <c r="A3" s="4">
        <v>2025.0</v>
      </c>
      <c r="B3" s="7">
        <f>-2047.08-52.7</f>
        <v>-2099.78</v>
      </c>
      <c r="C3" s="7"/>
      <c r="D3" s="7"/>
      <c r="E3" s="26" t="s">
        <v>30</v>
      </c>
      <c r="F3" s="39">
        <f t="shared" ref="F3:F24" si="1">G3+I3+H3</f>
        <v>550.93</v>
      </c>
      <c r="G3" s="30"/>
      <c r="H3" s="7"/>
      <c r="I3" s="31">
        <v>550.93</v>
      </c>
      <c r="J3" s="4"/>
      <c r="K3" s="28" t="s">
        <v>31</v>
      </c>
      <c r="L3" s="7">
        <v>47.36</v>
      </c>
      <c r="M3" s="7" t="s">
        <v>33</v>
      </c>
      <c r="N3" s="21">
        <f>IF($A$1="Sep",49.99,0)</f>
        <v>0</v>
      </c>
      <c r="O3" s="21"/>
      <c r="P3" s="156">
        <v>50.0</v>
      </c>
      <c r="Q3" s="28">
        <v>61.25</v>
      </c>
      <c r="R3" s="7">
        <v>30.0</v>
      </c>
      <c r="S3" s="7">
        <v>246.04</v>
      </c>
      <c r="T3" s="21"/>
      <c r="U3" s="7"/>
      <c r="V3" s="21"/>
    </row>
    <row r="4">
      <c r="A4" s="7" t="s">
        <v>34</v>
      </c>
      <c r="B4" s="7">
        <v>-133.47</v>
      </c>
      <c r="C4" s="21">
        <f>1360.14+50+19.99+202.5</f>
        <v>1632.63</v>
      </c>
      <c r="D4" s="21"/>
      <c r="E4" s="26" t="s">
        <v>38</v>
      </c>
      <c r="F4" s="39">
        <f t="shared" si="1"/>
        <v>242</v>
      </c>
      <c r="G4" s="30"/>
      <c r="H4" s="30"/>
      <c r="I4" s="31">
        <f>IF(OR($A$1="Jul",$A$1="Aug"),0,242)</f>
        <v>242</v>
      </c>
      <c r="J4" s="7"/>
      <c r="K4" s="4" t="s">
        <v>40</v>
      </c>
      <c r="L4" s="7">
        <v>246.04</v>
      </c>
      <c r="M4" s="7" t="s">
        <v>41</v>
      </c>
      <c r="N4" s="7">
        <v>10.99</v>
      </c>
      <c r="O4" s="21"/>
      <c r="P4" s="156">
        <v>35.95</v>
      </c>
      <c r="Q4" s="7">
        <v>112.97</v>
      </c>
      <c r="R4" s="7">
        <v>40.0</v>
      </c>
      <c r="S4" s="7"/>
      <c r="T4" s="21"/>
      <c r="U4" s="7"/>
      <c r="V4" s="21"/>
    </row>
    <row r="5">
      <c r="A5" s="7" t="s">
        <v>42</v>
      </c>
      <c r="B5" s="7">
        <v>280.2</v>
      </c>
      <c r="C5" s="7"/>
      <c r="D5" s="21"/>
      <c r="E5" s="26" t="s">
        <v>43</v>
      </c>
      <c r="F5" s="39">
        <f t="shared" si="1"/>
        <v>150.93</v>
      </c>
      <c r="G5" s="30"/>
      <c r="H5" s="7"/>
      <c r="I5" s="31">
        <v>150.93</v>
      </c>
      <c r="J5" s="4"/>
      <c r="K5" s="75" t="s">
        <v>44</v>
      </c>
      <c r="L5" s="28">
        <v>124.82</v>
      </c>
      <c r="M5" s="7" t="s">
        <v>46</v>
      </c>
      <c r="N5" s="7">
        <v>7.99</v>
      </c>
      <c r="O5" s="21"/>
      <c r="P5" s="156">
        <v>3.95</v>
      </c>
      <c r="Q5" s="7">
        <v>59.9</v>
      </c>
      <c r="R5" s="7">
        <v>29.87</v>
      </c>
      <c r="S5" s="7"/>
      <c r="T5" s="21"/>
      <c r="U5" s="7"/>
      <c r="V5" s="21"/>
    </row>
    <row r="6">
      <c r="A6" s="4" t="s">
        <v>47</v>
      </c>
      <c r="B6" s="7">
        <v>-573.43</v>
      </c>
      <c r="C6" s="7">
        <v>100.0</v>
      </c>
      <c r="D6" s="21"/>
      <c r="E6" s="26" t="s">
        <v>48</v>
      </c>
      <c r="F6" s="39">
        <f t="shared" si="1"/>
        <v>40</v>
      </c>
      <c r="G6" s="30">
        <f>IF(OR($A$1="May",$A$1="Jun",$A$1="Jul",$A$1="Aug"),0,40)</f>
        <v>40</v>
      </c>
      <c r="H6" s="7"/>
      <c r="I6" s="31"/>
      <c r="J6" s="7"/>
      <c r="K6" s="75" t="s">
        <v>49</v>
      </c>
      <c r="L6" s="28">
        <f>238.4</f>
        <v>238.4</v>
      </c>
      <c r="M6" s="7" t="s">
        <v>50</v>
      </c>
      <c r="N6" s="7">
        <v>16.99</v>
      </c>
      <c r="O6" s="21"/>
      <c r="P6" s="30">
        <v>197.77</v>
      </c>
      <c r="Q6" s="7">
        <v>238.4</v>
      </c>
      <c r="R6" s="7"/>
      <c r="S6" s="21"/>
      <c r="T6" s="21"/>
      <c r="U6" s="7"/>
      <c r="V6" s="21"/>
    </row>
    <row r="7">
      <c r="A7" s="7" t="s">
        <v>51</v>
      </c>
      <c r="B7" s="7">
        <v>-779.65</v>
      </c>
      <c r="C7" s="7">
        <f>50</f>
        <v>50</v>
      </c>
      <c r="D7" s="21"/>
      <c r="E7" s="26" t="s">
        <v>52</v>
      </c>
      <c r="F7" s="39">
        <f t="shared" si="1"/>
        <v>30</v>
      </c>
      <c r="G7" s="30">
        <f>IF(OR($A$1="Jul",$A$1="Aug"),0,30)</f>
        <v>30</v>
      </c>
      <c r="H7" s="7"/>
      <c r="I7" s="31"/>
      <c r="J7" s="7"/>
      <c r="K7" s="28" t="s">
        <v>53</v>
      </c>
      <c r="L7" s="28">
        <v>308.96</v>
      </c>
      <c r="M7" s="7" t="s">
        <v>54</v>
      </c>
      <c r="N7" s="7">
        <v>1.79</v>
      </c>
      <c r="O7" s="21"/>
      <c r="P7" s="156">
        <v>82.98</v>
      </c>
      <c r="Q7" s="7">
        <v>368.47</v>
      </c>
      <c r="R7" s="7" t="s">
        <v>56</v>
      </c>
      <c r="S7" s="7" t="s">
        <v>57</v>
      </c>
      <c r="T7" s="21"/>
      <c r="U7" s="7"/>
      <c r="V7" s="21"/>
    </row>
    <row r="8">
      <c r="A8" s="7" t="s">
        <v>58</v>
      </c>
      <c r="B8" s="21"/>
      <c r="C8" s="7"/>
      <c r="D8" s="21"/>
      <c r="E8" s="26" t="s">
        <v>60</v>
      </c>
      <c r="F8" s="39">
        <f t="shared" si="1"/>
        <v>100</v>
      </c>
      <c r="G8" s="30"/>
      <c r="H8" s="21"/>
      <c r="I8" s="31">
        <f>IF(OR($A$1="Jul",$A$1="Aug",$A$1="Sep"),150,IF(OR($A$1="May",$A$1="Jun",$A$1="Oct",$A$1="Nov"),120,100))</f>
        <v>100</v>
      </c>
      <c r="J8" s="60"/>
      <c r="K8" s="4" t="s">
        <v>141</v>
      </c>
      <c r="L8" s="7">
        <f>IF(OR($A$1="Jan",$A$1="Feb",$A$1="Mar",$A$1="Apr",$A$1="May",$A$1="Jun"),112.97,0)</f>
        <v>112.97</v>
      </c>
      <c r="M8" s="21"/>
      <c r="N8" s="21"/>
      <c r="O8" s="21"/>
      <c r="P8" s="156">
        <v>40.0</v>
      </c>
      <c r="Q8" s="7">
        <v>53.64</v>
      </c>
      <c r="R8" s="7"/>
      <c r="S8" s="7">
        <v>55.0</v>
      </c>
      <c r="T8" s="21"/>
      <c r="U8" s="7"/>
      <c r="V8" s="21"/>
    </row>
    <row r="9">
      <c r="A9" s="7" t="s">
        <v>64</v>
      </c>
      <c r="B9" s="21"/>
      <c r="C9" s="21"/>
      <c r="D9" s="21"/>
      <c r="E9" s="26" t="s">
        <v>65</v>
      </c>
      <c r="F9" s="39">
        <f t="shared" si="1"/>
        <v>130</v>
      </c>
      <c r="G9" s="30"/>
      <c r="H9" s="21"/>
      <c r="I9" s="31">
        <f>IF(OR($A$1="Jun",$A$1="Aug",$A$1="Oct"),90,IF(OR($A$1="Apr",$A$1="Dec"),130,IF($A$1="Feb",200,0)))</f>
        <v>130</v>
      </c>
      <c r="J9" s="60"/>
      <c r="K9" s="64" t="s">
        <v>67</v>
      </c>
      <c r="L9" s="68">
        <f>SUM(L3:L8)</f>
        <v>1078.55</v>
      </c>
      <c r="M9" s="157" t="s">
        <v>68</v>
      </c>
      <c r="N9" s="158">
        <f>SUM(N2:N7)</f>
        <v>51.75</v>
      </c>
      <c r="O9" s="21"/>
      <c r="P9" s="156">
        <v>2.35</v>
      </c>
      <c r="Q9" s="7">
        <v>308.96</v>
      </c>
      <c r="R9" s="21"/>
      <c r="S9" s="21"/>
      <c r="T9" s="21"/>
      <c r="U9" s="7"/>
      <c r="V9" s="21"/>
    </row>
    <row r="10">
      <c r="A10" s="7" t="s">
        <v>70</v>
      </c>
      <c r="B10" s="21"/>
      <c r="C10" s="21"/>
      <c r="D10" s="21"/>
      <c r="E10" s="72" t="s">
        <v>71</v>
      </c>
      <c r="F10" s="39">
        <f t="shared" si="1"/>
        <v>89</v>
      </c>
      <c r="G10" s="39"/>
      <c r="H10" s="21"/>
      <c r="I10" s="73">
        <f>79+10</f>
        <v>89</v>
      </c>
      <c r="J10" s="75"/>
      <c r="K10" s="4" t="s">
        <v>30</v>
      </c>
      <c r="L10" s="21">
        <f>F3</f>
        <v>550.93</v>
      </c>
      <c r="M10" s="97"/>
      <c r="N10" s="97"/>
      <c r="O10" s="21"/>
      <c r="P10" s="156">
        <v>16.95</v>
      </c>
      <c r="Q10" s="7">
        <v>79.0</v>
      </c>
      <c r="R10" s="21"/>
      <c r="S10" s="21"/>
      <c r="T10" s="21"/>
      <c r="U10" s="7"/>
      <c r="V10" s="21"/>
    </row>
    <row r="11">
      <c r="A11" s="7" t="s">
        <v>2</v>
      </c>
      <c r="B11" s="21"/>
      <c r="C11" s="21"/>
      <c r="D11" s="7"/>
      <c r="E11" s="26" t="s">
        <v>72</v>
      </c>
      <c r="F11" s="39">
        <f t="shared" si="1"/>
        <v>1078.55</v>
      </c>
      <c r="G11" s="30">
        <f>L3</f>
        <v>47.36</v>
      </c>
      <c r="H11" s="21">
        <f>L4+L5</f>
        <v>370.86</v>
      </c>
      <c r="I11" s="31">
        <f>SUM(L6:L8)</f>
        <v>660.33</v>
      </c>
      <c r="J11" s="28"/>
      <c r="K11" s="64" t="s">
        <v>68</v>
      </c>
      <c r="L11" s="68">
        <f>L9+L10</f>
        <v>1629.48</v>
      </c>
      <c r="M11" s="97"/>
      <c r="N11" s="97"/>
      <c r="O11" s="21"/>
      <c r="P11" s="156">
        <v>5.15</v>
      </c>
      <c r="Q11" s="7">
        <v>16.99</v>
      </c>
      <c r="R11" s="21"/>
      <c r="S11" s="21"/>
      <c r="T11" s="21"/>
      <c r="U11" s="7"/>
      <c r="V11" s="21"/>
    </row>
    <row r="12">
      <c r="A12" s="7" t="s">
        <v>3</v>
      </c>
      <c r="B12" s="21"/>
      <c r="C12" s="21"/>
      <c r="D12" s="21"/>
      <c r="E12" s="72" t="s">
        <v>75</v>
      </c>
      <c r="F12" s="39">
        <f t="shared" si="1"/>
        <v>0</v>
      </c>
      <c r="G12" s="30"/>
      <c r="H12" s="21"/>
      <c r="I12" s="73">
        <f>IF(OR($A$1="Jan",$A$1="Mar",$A$1="May",$A$1="Jul",$A$1="Sep",$A$1="Nov",),50,0)</f>
        <v>0</v>
      </c>
      <c r="J12" s="75"/>
      <c r="K12" s="118"/>
      <c r="L12" s="159"/>
      <c r="M12" s="97"/>
      <c r="N12" s="97"/>
      <c r="O12" s="21"/>
      <c r="P12" s="156">
        <v>28.05</v>
      </c>
      <c r="Q12" s="7">
        <v>13.99</v>
      </c>
      <c r="R12" s="21"/>
      <c r="S12" s="21"/>
      <c r="T12" s="21"/>
      <c r="U12" s="7"/>
      <c r="V12" s="21"/>
    </row>
    <row r="13">
      <c r="A13" s="7" t="s">
        <v>76</v>
      </c>
      <c r="B13" s="7"/>
      <c r="C13" s="21"/>
      <c r="D13" s="21"/>
      <c r="E13" s="72" t="s">
        <v>10</v>
      </c>
      <c r="F13" s="39">
        <f t="shared" si="1"/>
        <v>51.75</v>
      </c>
      <c r="G13" s="30"/>
      <c r="H13" s="7"/>
      <c r="I13" s="73">
        <f>SUM(N2:N7)</f>
        <v>51.75</v>
      </c>
      <c r="J13" s="28"/>
      <c r="K13" s="97"/>
      <c r="L13" s="97"/>
      <c r="M13" s="97"/>
      <c r="N13" s="97"/>
      <c r="O13" s="21"/>
      <c r="P13" s="156">
        <v>6.64</v>
      </c>
      <c r="Q13" s="7">
        <v>87.0</v>
      </c>
      <c r="R13" s="21"/>
      <c r="S13" s="21"/>
      <c r="T13" s="21"/>
      <c r="U13" s="7"/>
      <c r="V13" s="21"/>
    </row>
    <row r="14">
      <c r="A14" s="4" t="s">
        <v>79</v>
      </c>
      <c r="B14" s="21"/>
      <c r="C14" s="21"/>
      <c r="D14" s="7"/>
      <c r="E14" s="87" t="s">
        <v>81</v>
      </c>
      <c r="F14" s="39">
        <f t="shared" si="1"/>
        <v>60</v>
      </c>
      <c r="G14" s="21"/>
      <c r="H14" s="21"/>
      <c r="I14" s="89">
        <v>60.0</v>
      </c>
      <c r="J14" s="28"/>
      <c r="K14" s="4" t="s">
        <v>82</v>
      </c>
      <c r="M14" s="4"/>
      <c r="N14" s="4"/>
      <c r="O14" s="21"/>
      <c r="P14" s="7">
        <v>1.45</v>
      </c>
      <c r="Q14" s="7">
        <v>198.0</v>
      </c>
      <c r="R14" s="21"/>
      <c r="S14" s="21"/>
      <c r="T14" s="21"/>
      <c r="U14" s="21"/>
      <c r="V14" s="21"/>
    </row>
    <row r="15">
      <c r="A15" s="7" t="s">
        <v>83</v>
      </c>
      <c r="B15" s="21"/>
      <c r="C15" s="21"/>
      <c r="D15" s="21"/>
      <c r="E15" s="26" t="s">
        <v>84</v>
      </c>
      <c r="F15" s="39">
        <f t="shared" si="1"/>
        <v>121.82</v>
      </c>
      <c r="G15" s="30"/>
      <c r="H15" s="7"/>
      <c r="I15" s="31">
        <f>L20+L19</f>
        <v>121.82</v>
      </c>
      <c r="J15" s="4"/>
      <c r="K15" s="4" t="s">
        <v>86</v>
      </c>
      <c r="L15" s="21">
        <f>IF(OR($A$1="Feb",$A$1="May",$A$1="Aug",$A$1="Nov"),88.27,0)</f>
        <v>0</v>
      </c>
      <c r="M15" s="4"/>
      <c r="N15" s="4"/>
      <c r="O15" s="21"/>
      <c r="P15" s="7">
        <v>2.05</v>
      </c>
      <c r="Q15" s="7">
        <v>121.82</v>
      </c>
      <c r="R15" s="21"/>
      <c r="S15" s="21"/>
      <c r="T15" s="21"/>
      <c r="U15" s="21"/>
      <c r="V15" s="21"/>
    </row>
    <row r="16">
      <c r="A16" s="7" t="s">
        <v>68</v>
      </c>
      <c r="B16" s="7">
        <f>SUM(B3:B15)+C16</f>
        <v>-1523.5</v>
      </c>
      <c r="C16" s="7">
        <f>SUM(C3:C15)</f>
        <v>1782.63</v>
      </c>
      <c r="D16" s="7"/>
      <c r="E16" s="72" t="s">
        <v>89</v>
      </c>
      <c r="F16" s="39">
        <f t="shared" si="1"/>
        <v>146.9</v>
      </c>
      <c r="G16" s="30"/>
      <c r="H16" s="7"/>
      <c r="I16" s="73">
        <f>IF($A$1="Feb",60.97,59.9) + 87</f>
        <v>146.9</v>
      </c>
      <c r="J16" s="4"/>
      <c r="K16" s="4" t="s">
        <v>63</v>
      </c>
      <c r="L16" s="21">
        <f>IF(OR($A$1="Feb",$A$1="May",$A$1="Aug",$A$1="Nov"),(39.15+82.31),0)</f>
        <v>0</v>
      </c>
      <c r="M16" s="4"/>
      <c r="N16" s="4"/>
      <c r="O16" s="21"/>
      <c r="P16" s="7">
        <v>1.45</v>
      </c>
      <c r="Q16" s="7">
        <v>111.55</v>
      </c>
      <c r="R16" s="21"/>
      <c r="S16" s="21"/>
      <c r="T16" s="21"/>
      <c r="U16" s="21"/>
      <c r="V16" s="21"/>
    </row>
    <row r="17">
      <c r="A17" s="21"/>
      <c r="B17" s="97"/>
      <c r="C17" s="97"/>
      <c r="D17" s="7"/>
      <c r="E17" s="87" t="s">
        <v>86</v>
      </c>
      <c r="F17" s="39">
        <f t="shared" si="1"/>
        <v>0</v>
      </c>
      <c r="G17" s="76"/>
      <c r="H17" s="7"/>
      <c r="I17" s="31">
        <f t="shared" ref="I17:I20" si="2">L15</f>
        <v>0</v>
      </c>
      <c r="J17" s="28"/>
      <c r="K17" s="4" t="s">
        <v>92</v>
      </c>
      <c r="L17" s="7">
        <f>IF($A$1="May",150.93,0)</f>
        <v>0</v>
      </c>
      <c r="M17" s="4"/>
      <c r="N17" s="107"/>
      <c r="O17" s="21"/>
      <c r="P17" s="7">
        <v>53.35</v>
      </c>
      <c r="Q17" s="7">
        <v>7.99</v>
      </c>
      <c r="R17" s="21"/>
      <c r="S17" s="21"/>
      <c r="T17" s="21"/>
      <c r="U17" s="21"/>
      <c r="V17" s="21"/>
    </row>
    <row r="18">
      <c r="A18" s="21"/>
      <c r="B18" s="21"/>
      <c r="C18" s="21"/>
      <c r="D18" s="7"/>
      <c r="E18" s="87" t="s">
        <v>63</v>
      </c>
      <c r="F18" s="39">
        <f t="shared" si="1"/>
        <v>0</v>
      </c>
      <c r="G18" s="7"/>
      <c r="H18" s="30"/>
      <c r="I18" s="31">
        <f t="shared" si="2"/>
        <v>0</v>
      </c>
      <c r="J18" s="4"/>
      <c r="K18" s="4" t="s">
        <v>93</v>
      </c>
      <c r="L18" s="7">
        <f>IF($A$1="Apr",80,0)</f>
        <v>80</v>
      </c>
      <c r="M18" s="4"/>
      <c r="N18" s="107"/>
      <c r="O18" s="21"/>
      <c r="P18" s="156">
        <v>50.0</v>
      </c>
      <c r="Q18" s="7">
        <v>68.64</v>
      </c>
      <c r="R18" s="21"/>
      <c r="S18" s="21"/>
      <c r="T18" s="21"/>
      <c r="U18" s="21"/>
      <c r="V18" s="21"/>
    </row>
    <row r="19">
      <c r="A19" s="21"/>
      <c r="B19" s="21"/>
      <c r="C19" s="21"/>
      <c r="D19" s="21"/>
      <c r="E19" s="87" t="s">
        <v>92</v>
      </c>
      <c r="F19" s="39">
        <f t="shared" si="1"/>
        <v>0</v>
      </c>
      <c r="G19" s="7"/>
      <c r="H19" s="21"/>
      <c r="I19" s="101">
        <f t="shared" si="2"/>
        <v>0</v>
      </c>
      <c r="J19" s="28"/>
      <c r="K19" s="4" t="s">
        <v>95</v>
      </c>
      <c r="L19" s="7">
        <f>IF($A$1="Sep",449.58,0)</f>
        <v>0</v>
      </c>
      <c r="M19" s="4"/>
      <c r="N19" s="4"/>
      <c r="O19" s="21"/>
      <c r="P19" s="156">
        <v>97.23</v>
      </c>
      <c r="Q19" s="7">
        <v>10.99</v>
      </c>
      <c r="R19" s="21"/>
      <c r="S19" s="21"/>
      <c r="T19" s="21"/>
      <c r="U19" s="21"/>
      <c r="V19" s="21"/>
    </row>
    <row r="20">
      <c r="A20" s="21"/>
      <c r="B20" s="21"/>
      <c r="C20" s="21"/>
      <c r="D20" s="21"/>
      <c r="E20" s="87" t="s">
        <v>96</v>
      </c>
      <c r="F20" s="39">
        <f t="shared" si="1"/>
        <v>80</v>
      </c>
      <c r="G20" s="76"/>
      <c r="H20" s="76"/>
      <c r="I20" s="31">
        <f t="shared" si="2"/>
        <v>80</v>
      </c>
      <c r="J20" s="4"/>
      <c r="K20" s="4" t="s">
        <v>97</v>
      </c>
      <c r="L20" s="7">
        <f>IF($A$1="Jan",126.66,IF(OR($A$1="Feb",$A$1="Apr"),121.82,0))</f>
        <v>121.82</v>
      </c>
      <c r="M20" s="97"/>
      <c r="N20" s="97"/>
      <c r="O20" s="21"/>
      <c r="P20" s="156">
        <v>123.22</v>
      </c>
      <c r="Q20" s="7">
        <v>10.0</v>
      </c>
      <c r="R20" s="21"/>
      <c r="S20" s="21"/>
      <c r="T20" s="21"/>
      <c r="U20" s="21"/>
      <c r="V20" s="21"/>
    </row>
    <row r="21">
      <c r="A21" s="4"/>
      <c r="B21" s="21"/>
      <c r="C21" s="7"/>
      <c r="D21" s="21"/>
      <c r="E21" s="87" t="s">
        <v>99</v>
      </c>
      <c r="F21" s="39">
        <f t="shared" si="1"/>
        <v>412.37</v>
      </c>
      <c r="G21" s="30"/>
      <c r="H21" s="30"/>
      <c r="I21" s="89">
        <f>IF($A$1="Apr",108.86+54.29+17.58+41.05+190.59,0)</f>
        <v>412.37</v>
      </c>
      <c r="J21" s="97"/>
      <c r="K21" s="97"/>
      <c r="L21" s="97"/>
      <c r="M21" s="97"/>
      <c r="N21" s="97"/>
      <c r="O21" s="21"/>
      <c r="P21" s="156">
        <v>3.62</v>
      </c>
      <c r="Q21" s="7">
        <v>550.93</v>
      </c>
      <c r="R21" s="21"/>
      <c r="S21" s="21"/>
      <c r="T21" s="21"/>
      <c r="U21" s="21"/>
      <c r="V21" s="21"/>
    </row>
    <row r="22">
      <c r="A22" s="21"/>
      <c r="B22" s="7"/>
      <c r="C22" s="7"/>
      <c r="D22" s="21"/>
      <c r="E22" s="87" t="s">
        <v>101</v>
      </c>
      <c r="F22" s="39">
        <f t="shared" si="1"/>
        <v>21.73</v>
      </c>
      <c r="G22" s="7">
        <v>21.73</v>
      </c>
      <c r="H22" s="7"/>
      <c r="I22" s="89">
        <f>IF($A$1="Jun",330,0)</f>
        <v>0</v>
      </c>
      <c r="J22" s="60"/>
      <c r="K22" s="97"/>
      <c r="L22" s="97"/>
      <c r="M22" s="97"/>
      <c r="N22" s="97"/>
      <c r="O22" s="21"/>
      <c r="P22" s="7">
        <v>44.0</v>
      </c>
      <c r="Q22" s="7"/>
      <c r="R22" s="21"/>
      <c r="S22" s="21"/>
      <c r="T22" s="21"/>
      <c r="U22" s="21"/>
      <c r="V22" s="21"/>
    </row>
    <row r="23">
      <c r="A23" s="21"/>
      <c r="B23" s="7"/>
      <c r="C23" s="7"/>
      <c r="D23" s="21"/>
      <c r="E23" s="87" t="s">
        <v>102</v>
      </c>
      <c r="F23" s="39">
        <f t="shared" si="1"/>
        <v>0</v>
      </c>
      <c r="G23" s="7"/>
      <c r="H23" s="7"/>
      <c r="I23" s="89">
        <f>IF(OR($A$1="May",$A$1="Jul"),600,0)</f>
        <v>0</v>
      </c>
      <c r="J23" s="60"/>
      <c r="K23" s="97"/>
      <c r="L23" s="97"/>
      <c r="M23" s="97"/>
      <c r="N23" s="97"/>
      <c r="O23" s="21"/>
      <c r="P23" s="7">
        <v>50.76</v>
      </c>
      <c r="Q23" s="7"/>
      <c r="R23" s="21"/>
      <c r="S23" s="21"/>
      <c r="T23" s="21"/>
      <c r="U23" s="21"/>
      <c r="V23" s="21"/>
    </row>
    <row r="24">
      <c r="A24" s="21"/>
      <c r="B24" s="7"/>
      <c r="C24" s="21"/>
      <c r="D24" s="21"/>
      <c r="E24" s="108" t="s">
        <v>103</v>
      </c>
      <c r="F24" s="109">
        <f t="shared" si="1"/>
        <v>0</v>
      </c>
      <c r="G24" s="110"/>
      <c r="H24" s="110"/>
      <c r="I24" s="112">
        <f>IF(OR($A$1="Jan",$A$1="Jun",$A$1="Aug",$A$1="Oct",$A$1="Dic"),100,IF($A$1="Mar",300,IF(OR($A$1="Feb",$A$1="Apr"),0,200)))</f>
        <v>0</v>
      </c>
      <c r="J24" s="4"/>
      <c r="K24" s="97"/>
      <c r="L24" s="97"/>
      <c r="M24" s="97"/>
      <c r="N24" s="97"/>
      <c r="O24" s="97"/>
      <c r="P24" s="7">
        <v>13.0</v>
      </c>
      <c r="Q24" s="7"/>
      <c r="R24" s="21"/>
      <c r="S24" s="21"/>
      <c r="T24" s="21"/>
      <c r="U24" s="21"/>
      <c r="V24" s="21"/>
    </row>
    <row r="25">
      <c r="A25" s="113"/>
      <c r="B25" s="7"/>
      <c r="C25" s="21"/>
      <c r="D25" s="21"/>
      <c r="E25" s="114" t="s">
        <v>142</v>
      </c>
      <c r="F25" s="115">
        <f t="shared" ref="F25:I25" si="3">SUM(F3:F24)</f>
        <v>3305.98</v>
      </c>
      <c r="G25" s="115">
        <f t="shared" si="3"/>
        <v>139.09</v>
      </c>
      <c r="H25" s="115">
        <f t="shared" si="3"/>
        <v>370.86</v>
      </c>
      <c r="I25" s="116">
        <f t="shared" si="3"/>
        <v>2796.03</v>
      </c>
      <c r="J25" s="4"/>
      <c r="K25" s="118"/>
      <c r="L25" s="119"/>
      <c r="M25" s="118"/>
      <c r="N25" s="120"/>
      <c r="O25" s="97"/>
      <c r="P25" s="7">
        <v>60.0</v>
      </c>
      <c r="Q25" s="21"/>
      <c r="R25" s="21"/>
      <c r="S25" s="21"/>
      <c r="T25" s="21"/>
      <c r="U25" s="21"/>
      <c r="V25" s="21"/>
    </row>
    <row r="26">
      <c r="A26" s="113"/>
      <c r="B26" s="21"/>
      <c r="C26" s="21"/>
      <c r="D26" s="21"/>
      <c r="E26" s="129" t="s">
        <v>143</v>
      </c>
      <c r="F26" s="130">
        <f>G26+I26+H26</f>
        <v>1174</v>
      </c>
      <c r="G26" s="123">
        <v>0.91</v>
      </c>
      <c r="H26" s="123">
        <v>0.31</v>
      </c>
      <c r="I26" s="124">
        <v>1172.78</v>
      </c>
      <c r="J26" s="21"/>
      <c r="K26" s="21"/>
      <c r="L26" s="21"/>
      <c r="M26" s="97"/>
      <c r="N26" s="97"/>
      <c r="O26" s="97"/>
      <c r="P26" s="30">
        <v>2.6</v>
      </c>
      <c r="Q26" s="21"/>
      <c r="R26" s="21"/>
      <c r="S26" s="21"/>
      <c r="T26" s="21"/>
      <c r="U26" s="21"/>
      <c r="V26" s="21"/>
    </row>
    <row r="27">
      <c r="A27" s="21"/>
      <c r="B27" s="21"/>
      <c r="C27" s="21"/>
      <c r="D27" s="21"/>
      <c r="E27" s="133" t="s">
        <v>144</v>
      </c>
      <c r="F27" s="134">
        <f t="shared" ref="F27:I27" si="4">SUM(F25:F26)</f>
        <v>4479.98</v>
      </c>
      <c r="G27" s="134">
        <f t="shared" si="4"/>
        <v>140</v>
      </c>
      <c r="H27" s="134">
        <f t="shared" si="4"/>
        <v>371.17</v>
      </c>
      <c r="I27" s="135">
        <f t="shared" si="4"/>
        <v>3968.81</v>
      </c>
      <c r="J27" s="97"/>
      <c r="K27" s="97"/>
      <c r="L27" s="21"/>
      <c r="M27" s="97"/>
      <c r="N27" s="97"/>
      <c r="O27" s="97"/>
      <c r="P27" s="7">
        <v>43.23</v>
      </c>
      <c r="Q27" s="21"/>
      <c r="R27" s="21"/>
      <c r="S27" s="21"/>
      <c r="T27" s="21"/>
      <c r="U27" s="21"/>
      <c r="V27" s="21"/>
    </row>
    <row r="28">
      <c r="A28" s="21"/>
      <c r="B28" s="21"/>
      <c r="C28" s="21"/>
      <c r="D28" s="21"/>
      <c r="E28" s="114" t="s">
        <v>106</v>
      </c>
      <c r="F28" s="115">
        <f t="shared" ref="F28:F29" si="6">G28+H28+I28</f>
        <v>3032.95</v>
      </c>
      <c r="G28" s="115">
        <f t="shared" ref="G28:H28" si="5">SUM(R2:R6)</f>
        <v>121.6</v>
      </c>
      <c r="H28" s="115">
        <f t="shared" si="5"/>
        <v>370.86</v>
      </c>
      <c r="I28" s="116">
        <f>SUM(Q2:Q31)</f>
        <v>2540.49</v>
      </c>
      <c r="J28" s="97"/>
      <c r="K28" s="4"/>
      <c r="L28" s="21"/>
      <c r="M28" s="4"/>
      <c r="N28" s="4"/>
      <c r="O28" s="4"/>
      <c r="P28" s="7">
        <v>16.0</v>
      </c>
      <c r="Q28" s="21"/>
      <c r="R28" s="21"/>
      <c r="S28" s="21"/>
      <c r="T28" s="21"/>
      <c r="U28" s="21"/>
      <c r="V28" s="21"/>
    </row>
    <row r="29">
      <c r="A29" s="97"/>
      <c r="B29" s="21"/>
      <c r="C29" s="21"/>
      <c r="D29" s="21"/>
      <c r="E29" s="129" t="s">
        <v>107</v>
      </c>
      <c r="F29" s="130">
        <f t="shared" si="6"/>
        <v>2226.68</v>
      </c>
      <c r="G29" s="131">
        <f t="shared" ref="G29:H29" si="7">SUM(R8:R20)</f>
        <v>0</v>
      </c>
      <c r="H29" s="131">
        <f t="shared" si="7"/>
        <v>55</v>
      </c>
      <c r="I29" s="132">
        <f>SUM(P2:P51)</f>
        <v>2171.68</v>
      </c>
      <c r="J29" s="97"/>
      <c r="K29" s="4"/>
      <c r="L29" s="21"/>
      <c r="M29" s="4"/>
      <c r="N29" s="4"/>
      <c r="O29" s="4"/>
      <c r="P29" s="7">
        <v>234.31</v>
      </c>
      <c r="Q29" s="21"/>
      <c r="R29" s="21"/>
      <c r="S29" s="21"/>
      <c r="T29" s="21"/>
      <c r="U29" s="21"/>
      <c r="V29" s="21"/>
    </row>
    <row r="30">
      <c r="A30" s="97"/>
      <c r="B30" s="7"/>
      <c r="C30" s="21"/>
      <c r="D30" s="21"/>
      <c r="E30" s="133" t="s">
        <v>108</v>
      </c>
      <c r="F30" s="134">
        <f t="shared" ref="F30:I30" si="8">SUM(F28:F29)</f>
        <v>5259.63</v>
      </c>
      <c r="G30" s="134">
        <f t="shared" si="8"/>
        <v>121.6</v>
      </c>
      <c r="H30" s="134">
        <f t="shared" si="8"/>
        <v>425.86</v>
      </c>
      <c r="I30" s="135">
        <f t="shared" si="8"/>
        <v>4712.17</v>
      </c>
      <c r="J30" s="97"/>
      <c r="K30" s="4"/>
      <c r="L30" s="7"/>
      <c r="M30" s="4"/>
      <c r="N30" s="4"/>
      <c r="O30" s="4"/>
      <c r="P30" s="7">
        <v>40.5</v>
      </c>
      <c r="Q30" s="21"/>
      <c r="R30" s="21"/>
      <c r="S30" s="21"/>
      <c r="T30" s="21"/>
      <c r="U30" s="21"/>
      <c r="V30" s="21"/>
    </row>
    <row r="31">
      <c r="A31" s="21"/>
      <c r="B31" s="21"/>
      <c r="C31" s="21"/>
      <c r="D31" s="7"/>
      <c r="E31" s="114" t="s">
        <v>111</v>
      </c>
      <c r="F31" s="115">
        <f t="shared" ref="F31:F32" si="10">G31+H31+I31</f>
        <v>273.03</v>
      </c>
      <c r="G31" s="115">
        <f t="shared" ref="G31:I31" si="9">G25-G28</f>
        <v>17.49</v>
      </c>
      <c r="H31" s="115">
        <f t="shared" si="9"/>
        <v>0</v>
      </c>
      <c r="I31" s="116">
        <f t="shared" si="9"/>
        <v>255.54</v>
      </c>
      <c r="J31" s="97"/>
      <c r="K31" s="4"/>
      <c r="L31" s="7"/>
      <c r="M31" s="4"/>
      <c r="N31" s="107"/>
      <c r="O31" s="107"/>
      <c r="P31" s="7">
        <v>5.34</v>
      </c>
      <c r="Q31" s="21"/>
      <c r="R31" s="21"/>
      <c r="S31" s="21"/>
      <c r="T31" s="21"/>
      <c r="U31" s="21"/>
      <c r="V31" s="21"/>
    </row>
    <row r="32">
      <c r="A32" s="21"/>
      <c r="B32" s="137"/>
      <c r="C32" s="137"/>
      <c r="D32" s="97"/>
      <c r="E32" s="129" t="s">
        <v>112</v>
      </c>
      <c r="F32" s="130">
        <f t="shared" si="10"/>
        <v>-1052.68</v>
      </c>
      <c r="G32" s="131">
        <f t="shared" ref="G32:I32" si="11">G26-G29</f>
        <v>0.91</v>
      </c>
      <c r="H32" s="131">
        <f t="shared" si="11"/>
        <v>-54.69</v>
      </c>
      <c r="I32" s="132">
        <f t="shared" si="11"/>
        <v>-998.9</v>
      </c>
      <c r="J32" s="97"/>
      <c r="K32" s="4"/>
      <c r="L32" s="7"/>
      <c r="M32" s="4"/>
      <c r="N32" s="107"/>
      <c r="O32" s="107"/>
      <c r="P32" s="7">
        <v>41.12</v>
      </c>
      <c r="Q32" s="21"/>
      <c r="R32" s="21"/>
      <c r="S32" s="21"/>
      <c r="T32" s="21"/>
      <c r="U32" s="21"/>
      <c r="V32" s="21"/>
    </row>
    <row r="33">
      <c r="A33" s="21"/>
      <c r="B33" s="21"/>
      <c r="C33" s="21"/>
      <c r="D33" s="97"/>
      <c r="E33" s="133" t="s">
        <v>68</v>
      </c>
      <c r="F33" s="134">
        <f t="shared" ref="F33:I33" si="12">SUM(F31:F32)</f>
        <v>-779.65</v>
      </c>
      <c r="G33" s="134">
        <f t="shared" si="12"/>
        <v>18.4</v>
      </c>
      <c r="H33" s="134">
        <f t="shared" si="12"/>
        <v>-54.69</v>
      </c>
      <c r="I33" s="135">
        <f t="shared" si="12"/>
        <v>-743.36</v>
      </c>
      <c r="J33" s="97"/>
      <c r="K33" s="4"/>
      <c r="L33" s="7"/>
      <c r="M33" s="4"/>
      <c r="N33" s="4"/>
      <c r="O33" s="4"/>
      <c r="P33" s="7">
        <v>39.99</v>
      </c>
      <c r="Q33" s="21"/>
      <c r="R33" s="21"/>
      <c r="S33" s="21"/>
      <c r="T33" s="21"/>
      <c r="U33" s="21"/>
      <c r="V33" s="21"/>
    </row>
    <row r="34">
      <c r="A34" s="21"/>
      <c r="B34" s="21"/>
      <c r="C34" s="21"/>
      <c r="D34" s="21"/>
      <c r="E34" s="4" t="s">
        <v>115</v>
      </c>
      <c r="F34" s="21">
        <f>G34+I34+H34</f>
        <v>3736.13</v>
      </c>
      <c r="G34" s="7">
        <v>129.54</v>
      </c>
      <c r="H34" s="7">
        <v>187.96</v>
      </c>
      <c r="I34" s="7">
        <v>3418.63</v>
      </c>
      <c r="J34" s="97"/>
      <c r="K34" s="97"/>
      <c r="L34" s="21"/>
      <c r="M34" s="97"/>
      <c r="N34" s="97"/>
      <c r="O34" s="21"/>
      <c r="P34" s="7">
        <v>129.99</v>
      </c>
      <c r="Q34" s="21"/>
      <c r="R34" s="21"/>
      <c r="S34" s="21"/>
      <c r="T34" s="21"/>
      <c r="U34" s="21"/>
      <c r="V34" s="21"/>
    </row>
    <row r="35">
      <c r="A35" s="21"/>
      <c r="B35" s="21"/>
      <c r="C35" s="21"/>
      <c r="D35" s="21"/>
      <c r="E35" s="4" t="s">
        <v>116</v>
      </c>
      <c r="F35" s="21">
        <f t="shared" ref="F35:I35" si="13">F34-F27</f>
        <v>-743.85</v>
      </c>
      <c r="G35" s="7">
        <f t="shared" si="13"/>
        <v>-10.46</v>
      </c>
      <c r="H35" s="7">
        <f t="shared" si="13"/>
        <v>-183.21</v>
      </c>
      <c r="I35" s="7">
        <f t="shared" si="13"/>
        <v>-550.18</v>
      </c>
      <c r="J35" s="97"/>
      <c r="K35" s="97"/>
      <c r="L35" s="21"/>
      <c r="M35" s="7"/>
      <c r="N35" s="21"/>
      <c r="O35" s="21"/>
      <c r="P35" s="7">
        <v>28.0</v>
      </c>
      <c r="Q35" s="21"/>
      <c r="R35" s="21"/>
      <c r="S35" s="21"/>
      <c r="T35" s="21"/>
      <c r="U35" s="21"/>
      <c r="V35" s="21"/>
    </row>
    <row r="36">
      <c r="A36" s="21"/>
      <c r="B36" s="21"/>
      <c r="C36" s="21"/>
      <c r="D36" s="21"/>
      <c r="E36" s="4" t="s">
        <v>117</v>
      </c>
      <c r="F36" s="21">
        <f t="shared" ref="F36:I36" si="14">F34-F30</f>
        <v>-1523.5</v>
      </c>
      <c r="G36" s="21">
        <f t="shared" si="14"/>
        <v>7.94</v>
      </c>
      <c r="H36" s="21">
        <f t="shared" si="14"/>
        <v>-237.9</v>
      </c>
      <c r="I36" s="21">
        <f t="shared" si="14"/>
        <v>-1293.54</v>
      </c>
      <c r="J36" s="97"/>
      <c r="K36" s="97"/>
      <c r="L36" s="21"/>
      <c r="M36" s="21"/>
      <c r="N36" s="21"/>
      <c r="O36" s="21"/>
      <c r="P36" s="7">
        <v>43.96</v>
      </c>
      <c r="Q36" s="21"/>
      <c r="R36" s="21"/>
      <c r="S36" s="21"/>
      <c r="T36" s="21"/>
      <c r="U36" s="21"/>
      <c r="V36" s="21"/>
    </row>
    <row r="37">
      <c r="A37" s="21"/>
      <c r="B37" s="21"/>
      <c r="C37" s="21"/>
      <c r="D37" s="21"/>
      <c r="E37" s="97"/>
      <c r="F37" s="97"/>
      <c r="G37" s="97"/>
      <c r="H37" s="60"/>
      <c r="I37" s="97"/>
      <c r="J37" s="97"/>
      <c r="K37" s="97"/>
      <c r="L37" s="21"/>
      <c r="M37" s="21"/>
      <c r="N37" s="21"/>
      <c r="O37" s="21"/>
      <c r="P37" s="7">
        <v>3.3</v>
      </c>
      <c r="Q37" s="21"/>
      <c r="R37" s="21"/>
      <c r="S37" s="21"/>
      <c r="T37" s="21"/>
      <c r="U37" s="21"/>
      <c r="V37" s="21"/>
    </row>
    <row r="38">
      <c r="A38" s="21"/>
      <c r="B38" s="21"/>
      <c r="C38" s="21"/>
      <c r="D38" s="21"/>
      <c r="E38" s="97"/>
      <c r="F38" s="97"/>
      <c r="G38" s="97"/>
      <c r="H38" s="7"/>
      <c r="I38" s="97"/>
      <c r="J38" s="21"/>
      <c r="K38" s="21"/>
      <c r="L38" s="21"/>
      <c r="M38" s="21"/>
      <c r="N38" s="21"/>
      <c r="O38" s="21"/>
      <c r="P38" s="7">
        <v>97.39</v>
      </c>
      <c r="Q38" s="21"/>
      <c r="R38" s="21"/>
      <c r="S38" s="21"/>
      <c r="T38" s="21"/>
      <c r="U38" s="21"/>
      <c r="V38" s="21"/>
    </row>
    <row r="39">
      <c r="A39" s="21"/>
      <c r="B39" s="21"/>
      <c r="C39" s="21"/>
      <c r="D39" s="21"/>
      <c r="E39" s="97"/>
      <c r="F39" s="97"/>
      <c r="G39" s="97"/>
      <c r="H39" s="21"/>
      <c r="I39" s="97"/>
      <c r="J39" s="21"/>
      <c r="K39" s="21"/>
      <c r="L39" s="21"/>
      <c r="M39" s="21"/>
      <c r="N39" s="21"/>
      <c r="O39" s="21"/>
      <c r="P39" s="7">
        <v>3.25</v>
      </c>
      <c r="Q39" s="21"/>
      <c r="R39" s="21"/>
      <c r="S39" s="21"/>
      <c r="T39" s="21"/>
      <c r="U39" s="21"/>
      <c r="V39" s="21"/>
    </row>
    <row r="40">
      <c r="A40" s="21"/>
      <c r="B40" s="21"/>
      <c r="C40" s="21"/>
      <c r="D40" s="21"/>
      <c r="E40" s="97"/>
      <c r="F40" s="97"/>
      <c r="G40" s="97"/>
      <c r="H40" s="21"/>
      <c r="I40" s="97"/>
      <c r="J40" s="21"/>
      <c r="K40" s="21"/>
      <c r="L40" s="21"/>
      <c r="M40" s="21"/>
      <c r="N40" s="21"/>
      <c r="O40" s="21"/>
      <c r="P40" s="7">
        <v>182.38</v>
      </c>
      <c r="Q40" s="21"/>
      <c r="R40" s="21"/>
      <c r="S40" s="21"/>
      <c r="T40" s="21"/>
      <c r="U40" s="21"/>
      <c r="V40" s="21"/>
    </row>
    <row r="41">
      <c r="A41" s="21"/>
      <c r="B41" s="21"/>
      <c r="C41" s="21"/>
      <c r="D41" s="21"/>
      <c r="E41" s="97"/>
      <c r="F41" s="97"/>
      <c r="G41" s="97"/>
      <c r="H41" s="21"/>
      <c r="I41" s="97"/>
      <c r="J41" s="21"/>
      <c r="K41" s="21"/>
      <c r="L41" s="21"/>
      <c r="M41" s="21"/>
      <c r="N41" s="21"/>
      <c r="O41" s="21"/>
      <c r="P41" s="7">
        <v>4.8</v>
      </c>
      <c r="Q41" s="97"/>
      <c r="R41" s="21"/>
      <c r="S41" s="21"/>
      <c r="T41" s="21"/>
      <c r="U41" s="21"/>
      <c r="V41" s="21"/>
    </row>
    <row r="42">
      <c r="A42" s="21"/>
      <c r="B42" s="21"/>
      <c r="C42" s="21"/>
      <c r="D42" s="21"/>
      <c r="E42" s="136"/>
      <c r="F42" s="136"/>
      <c r="G42" s="21"/>
      <c r="H42" s="21"/>
      <c r="I42" s="21"/>
      <c r="J42" s="21"/>
      <c r="K42" s="21"/>
      <c r="L42" s="21"/>
      <c r="M42" s="21"/>
      <c r="N42" s="21"/>
      <c r="O42" s="21"/>
      <c r="P42" s="7">
        <v>56.99</v>
      </c>
      <c r="Q42" s="97"/>
      <c r="R42" s="21"/>
      <c r="S42" s="21"/>
      <c r="T42" s="21"/>
      <c r="U42" s="21"/>
      <c r="V42" s="21"/>
    </row>
    <row r="43">
      <c r="A43" s="21"/>
      <c r="B43" s="21"/>
      <c r="C43" s="21"/>
      <c r="D43" s="21"/>
      <c r="E43" s="136"/>
      <c r="F43" s="136"/>
      <c r="G43" s="21"/>
      <c r="H43" s="21"/>
      <c r="I43" s="21"/>
      <c r="J43" s="21"/>
      <c r="K43" s="21"/>
      <c r="L43" s="21"/>
      <c r="M43" s="21"/>
      <c r="N43" s="21"/>
      <c r="O43" s="21"/>
      <c r="P43" s="7">
        <v>106.94</v>
      </c>
      <c r="Q43" s="97"/>
      <c r="R43" s="21"/>
      <c r="S43" s="21"/>
      <c r="T43" s="21"/>
      <c r="U43" s="21"/>
      <c r="V43" s="21"/>
    </row>
    <row r="44">
      <c r="A44" s="21"/>
      <c r="B44" s="21"/>
      <c r="C44" s="21"/>
      <c r="D44" s="21"/>
      <c r="E44" s="136"/>
      <c r="F44" s="136"/>
      <c r="G44" s="21"/>
      <c r="H44" s="21"/>
      <c r="I44" s="21"/>
      <c r="J44" s="21"/>
      <c r="K44" s="21"/>
      <c r="L44" s="21"/>
      <c r="M44" s="21"/>
      <c r="N44" s="21"/>
      <c r="O44" s="21"/>
      <c r="P44" s="7">
        <v>33.98</v>
      </c>
      <c r="Q44" s="97"/>
      <c r="R44" s="21"/>
      <c r="S44" s="21"/>
      <c r="T44" s="21"/>
      <c r="U44" s="21"/>
      <c r="V44" s="21"/>
    </row>
    <row r="45">
      <c r="A45" s="21"/>
      <c r="B45" s="21"/>
      <c r="C45" s="21"/>
      <c r="D45" s="21"/>
      <c r="E45" s="136"/>
      <c r="F45" s="136"/>
      <c r="G45" s="21"/>
      <c r="H45" s="21"/>
      <c r="I45" s="21"/>
      <c r="J45" s="21"/>
      <c r="K45" s="21"/>
      <c r="L45" s="21"/>
      <c r="M45" s="21"/>
      <c r="N45" s="21"/>
      <c r="O45" s="21"/>
      <c r="P45" s="7">
        <v>18.99</v>
      </c>
      <c r="Q45" s="97"/>
      <c r="R45" s="21"/>
      <c r="S45" s="21"/>
      <c r="T45" s="21"/>
      <c r="U45" s="21"/>
      <c r="V45" s="21"/>
    </row>
    <row r="46">
      <c r="A46" s="21"/>
      <c r="B46" s="21"/>
      <c r="C46" s="21"/>
      <c r="D46" s="21"/>
      <c r="E46" s="136"/>
      <c r="F46" s="136"/>
      <c r="G46" s="21"/>
      <c r="H46" s="21"/>
      <c r="I46" s="21"/>
      <c r="J46" s="21"/>
      <c r="K46" s="21"/>
      <c r="L46" s="21"/>
      <c r="M46" s="21"/>
      <c r="N46" s="21"/>
      <c r="O46" s="21"/>
      <c r="P46" s="7">
        <v>40.35</v>
      </c>
      <c r="Q46" s="97"/>
      <c r="R46" s="21"/>
      <c r="S46" s="21"/>
      <c r="T46" s="21"/>
      <c r="U46" s="21"/>
      <c r="V46" s="21"/>
    </row>
    <row r="47">
      <c r="A47" s="21"/>
      <c r="B47" s="21"/>
      <c r="C47" s="21"/>
      <c r="D47" s="21"/>
      <c r="E47" s="136"/>
      <c r="F47" s="136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97"/>
      <c r="R47" s="21"/>
      <c r="S47" s="21"/>
      <c r="T47" s="21"/>
      <c r="U47" s="21"/>
      <c r="V47" s="21"/>
    </row>
    <row r="48">
      <c r="A48" s="21"/>
      <c r="B48" s="21"/>
      <c r="C48" s="21"/>
      <c r="D48" s="21"/>
      <c r="E48" s="136"/>
      <c r="F48" s="136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97"/>
      <c r="R48" s="21"/>
      <c r="S48" s="21"/>
      <c r="T48" s="21"/>
      <c r="U48" s="21"/>
      <c r="V48" s="21"/>
    </row>
    <row r="49">
      <c r="A49" s="21"/>
      <c r="B49" s="21"/>
      <c r="C49" s="21"/>
      <c r="D49" s="21"/>
      <c r="E49" s="136"/>
      <c r="F49" s="136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97"/>
      <c r="R49" s="21"/>
      <c r="S49" s="21"/>
      <c r="T49" s="21"/>
      <c r="U49" s="21"/>
      <c r="V49" s="21"/>
    </row>
    <row r="50">
      <c r="A50" s="21"/>
      <c r="B50" s="21"/>
      <c r="C50" s="21"/>
      <c r="D50" s="21"/>
      <c r="E50" s="136"/>
      <c r="F50" s="136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</row>
    <row r="51">
      <c r="A51" s="21"/>
      <c r="B51" s="21"/>
      <c r="C51" s="21"/>
      <c r="D51" s="21"/>
      <c r="E51" s="136"/>
      <c r="F51" s="136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</row>
    <row r="52">
      <c r="A52" s="21"/>
      <c r="B52" s="21"/>
      <c r="C52" s="21"/>
      <c r="D52" s="21"/>
      <c r="E52" s="136"/>
      <c r="F52" s="136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</row>
    <row r="53">
      <c r="A53" s="21"/>
      <c r="B53" s="21"/>
      <c r="C53" s="21"/>
      <c r="D53" s="21"/>
      <c r="E53" s="136"/>
      <c r="F53" s="136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</row>
    <row r="54">
      <c r="A54" s="21"/>
      <c r="B54" s="21"/>
      <c r="C54" s="21"/>
      <c r="D54" s="21"/>
      <c r="E54" s="136"/>
      <c r="F54" s="136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</row>
    <row r="55">
      <c r="A55" s="21"/>
      <c r="B55" s="21"/>
      <c r="C55" s="21"/>
      <c r="D55" s="21"/>
      <c r="E55" s="136"/>
      <c r="F55" s="136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</row>
    <row r="56">
      <c r="A56" s="21"/>
      <c r="B56" s="21"/>
      <c r="C56" s="21"/>
      <c r="D56" s="21"/>
      <c r="E56" s="136"/>
      <c r="F56" s="136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</row>
    <row r="57">
      <c r="A57" s="21"/>
      <c r="B57" s="21"/>
      <c r="C57" s="21"/>
      <c r="D57" s="21"/>
      <c r="E57" s="136"/>
      <c r="F57" s="136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</row>
    <row r="58">
      <c r="A58" s="21"/>
      <c r="B58" s="21"/>
      <c r="C58" s="21"/>
      <c r="D58" s="21"/>
      <c r="E58" s="136"/>
      <c r="F58" s="136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</row>
    <row r="59">
      <c r="A59" s="21"/>
      <c r="B59" s="21"/>
      <c r="C59" s="21"/>
      <c r="D59" s="21"/>
      <c r="E59" s="136"/>
      <c r="F59" s="136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</row>
    <row r="60">
      <c r="A60" s="21"/>
      <c r="B60" s="21"/>
      <c r="C60" s="21"/>
      <c r="D60" s="21"/>
      <c r="E60" s="136"/>
      <c r="F60" s="136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</row>
    <row r="61">
      <c r="A61" s="21"/>
      <c r="B61" s="21"/>
      <c r="C61" s="21"/>
      <c r="D61" s="21"/>
      <c r="E61" s="136"/>
      <c r="F61" s="136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</row>
    <row r="62">
      <c r="A62" s="21"/>
      <c r="B62" s="21"/>
      <c r="C62" s="21"/>
      <c r="D62" s="21"/>
      <c r="E62" s="136"/>
      <c r="F62" s="136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</row>
    <row r="63">
      <c r="A63" s="21"/>
      <c r="B63" s="21"/>
      <c r="C63" s="21"/>
      <c r="D63" s="21"/>
      <c r="E63" s="136"/>
      <c r="F63" s="136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</row>
    <row r="64">
      <c r="A64" s="21"/>
      <c r="B64" s="21"/>
      <c r="C64" s="21"/>
      <c r="D64" s="21"/>
      <c r="E64" s="136"/>
      <c r="F64" s="136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</row>
    <row r="65">
      <c r="A65" s="21"/>
      <c r="B65" s="21"/>
      <c r="C65" s="21"/>
      <c r="D65" s="21"/>
      <c r="E65" s="136"/>
      <c r="F65" s="136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</row>
    <row r="66">
      <c r="A66" s="21"/>
      <c r="B66" s="21"/>
      <c r="C66" s="21"/>
      <c r="D66" s="21"/>
      <c r="E66" s="136"/>
      <c r="F66" s="136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</row>
    <row r="67">
      <c r="A67" s="21"/>
      <c r="B67" s="21"/>
      <c r="C67" s="21"/>
      <c r="D67" s="21"/>
      <c r="E67" s="136"/>
      <c r="F67" s="136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</row>
    <row r="68">
      <c r="A68" s="21"/>
      <c r="B68" s="21"/>
      <c r="C68" s="21"/>
      <c r="D68" s="21"/>
      <c r="E68" s="136"/>
      <c r="F68" s="136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</row>
    <row r="69">
      <c r="A69" s="21"/>
      <c r="B69" s="21"/>
      <c r="C69" s="21"/>
      <c r="D69" s="21"/>
      <c r="E69" s="136"/>
      <c r="F69" s="136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</row>
    <row r="70">
      <c r="A70" s="21"/>
      <c r="B70" s="21"/>
      <c r="C70" s="21"/>
      <c r="D70" s="21"/>
      <c r="E70" s="136"/>
      <c r="F70" s="136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</row>
    <row r="71">
      <c r="A71" s="21"/>
      <c r="B71" s="21"/>
      <c r="C71" s="21"/>
      <c r="D71" s="21"/>
      <c r="E71" s="136"/>
      <c r="F71" s="136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</row>
    <row r="72">
      <c r="A72" s="21"/>
      <c r="B72" s="21"/>
      <c r="C72" s="21"/>
      <c r="D72" s="21"/>
      <c r="E72" s="136"/>
      <c r="F72" s="136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</row>
    <row r="73">
      <c r="A73" s="21"/>
      <c r="B73" s="21"/>
      <c r="C73" s="21"/>
      <c r="D73" s="21"/>
      <c r="E73" s="136"/>
      <c r="F73" s="136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</row>
    <row r="74">
      <c r="A74" s="21"/>
      <c r="B74" s="21"/>
      <c r="C74" s="21"/>
      <c r="D74" s="21"/>
      <c r="E74" s="136"/>
      <c r="F74" s="136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</row>
    <row r="75">
      <c r="A75" s="21"/>
      <c r="B75" s="21"/>
      <c r="C75" s="21"/>
      <c r="D75" s="21"/>
      <c r="E75" s="136"/>
      <c r="F75" s="136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</row>
    <row r="76">
      <c r="A76" s="21"/>
      <c r="B76" s="21"/>
      <c r="C76" s="21"/>
      <c r="D76" s="21"/>
      <c r="E76" s="136"/>
      <c r="F76" s="136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</row>
    <row r="77">
      <c r="A77" s="21"/>
      <c r="B77" s="21"/>
      <c r="C77" s="21"/>
      <c r="D77" s="21"/>
      <c r="E77" s="136"/>
      <c r="F77" s="136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</row>
    <row r="78">
      <c r="A78" s="21"/>
      <c r="B78" s="21"/>
      <c r="C78" s="21"/>
      <c r="D78" s="21"/>
      <c r="E78" s="136"/>
      <c r="F78" s="136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</row>
    <row r="79">
      <c r="A79" s="21"/>
      <c r="B79" s="21"/>
      <c r="C79" s="21"/>
      <c r="D79" s="21"/>
      <c r="E79" s="136"/>
      <c r="F79" s="136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</row>
    <row r="80">
      <c r="A80" s="21"/>
      <c r="B80" s="21"/>
      <c r="C80" s="21"/>
      <c r="D80" s="21"/>
      <c r="E80" s="136"/>
      <c r="F80" s="136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</row>
    <row r="81">
      <c r="A81" s="21"/>
      <c r="B81" s="21"/>
      <c r="C81" s="21"/>
      <c r="D81" s="21"/>
      <c r="E81" s="136"/>
      <c r="F81" s="136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</row>
    <row r="82">
      <c r="A82" s="21"/>
      <c r="B82" s="21"/>
      <c r="C82" s="21"/>
      <c r="D82" s="21"/>
      <c r="E82" s="136"/>
      <c r="F82" s="136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</row>
    <row r="83">
      <c r="A83" s="21"/>
      <c r="B83" s="21"/>
      <c r="C83" s="21"/>
      <c r="D83" s="21"/>
      <c r="E83" s="136"/>
      <c r="F83" s="136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</row>
    <row r="84">
      <c r="A84" s="21"/>
      <c r="B84" s="21"/>
      <c r="C84" s="21"/>
      <c r="D84" s="21"/>
      <c r="E84" s="136"/>
      <c r="F84" s="136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</row>
    <row r="85">
      <c r="A85" s="21"/>
      <c r="B85" s="21"/>
      <c r="C85" s="21"/>
      <c r="D85" s="21"/>
      <c r="E85" s="136"/>
      <c r="F85" s="136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</row>
    <row r="86">
      <c r="A86" s="21"/>
      <c r="B86" s="21"/>
      <c r="C86" s="21"/>
      <c r="D86" s="21"/>
      <c r="E86" s="136"/>
      <c r="F86" s="136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</row>
    <row r="87">
      <c r="A87" s="21"/>
      <c r="B87" s="21"/>
      <c r="C87" s="21"/>
      <c r="D87" s="21"/>
      <c r="E87" s="136"/>
      <c r="F87" s="136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</row>
    <row r="88">
      <c r="A88" s="21"/>
      <c r="B88" s="21"/>
      <c r="C88" s="21"/>
      <c r="D88" s="21"/>
      <c r="E88" s="136"/>
      <c r="F88" s="136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</row>
    <row r="89">
      <c r="A89" s="21"/>
      <c r="B89" s="21"/>
      <c r="C89" s="21"/>
      <c r="D89" s="21"/>
      <c r="E89" s="136"/>
      <c r="F89" s="136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</row>
    <row r="90">
      <c r="A90" s="21"/>
      <c r="B90" s="21"/>
      <c r="C90" s="21"/>
      <c r="D90" s="21"/>
      <c r="E90" s="136"/>
      <c r="F90" s="136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>
      <c r="A91" s="21"/>
      <c r="B91" s="21"/>
      <c r="C91" s="21"/>
      <c r="D91" s="21"/>
      <c r="E91" s="136"/>
      <c r="F91" s="136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</row>
    <row r="92">
      <c r="A92" s="21"/>
      <c r="B92" s="21"/>
      <c r="C92" s="21"/>
      <c r="D92" s="21"/>
      <c r="E92" s="136"/>
      <c r="F92" s="136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</row>
    <row r="93">
      <c r="A93" s="21"/>
      <c r="B93" s="21"/>
      <c r="C93" s="21"/>
      <c r="D93" s="21"/>
      <c r="E93" s="136"/>
      <c r="F93" s="136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</row>
    <row r="94">
      <c r="A94" s="21"/>
      <c r="B94" s="21"/>
      <c r="C94" s="21"/>
      <c r="D94" s="21"/>
      <c r="E94" s="136"/>
      <c r="F94" s="136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>
      <c r="A95" s="21"/>
      <c r="B95" s="21"/>
      <c r="C95" s="21"/>
      <c r="D95" s="21"/>
      <c r="E95" s="136"/>
      <c r="F95" s="136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>
      <c r="A96" s="21"/>
      <c r="B96" s="21"/>
      <c r="C96" s="21"/>
      <c r="D96" s="21"/>
      <c r="E96" s="136"/>
      <c r="F96" s="136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>
      <c r="A97" s="21"/>
      <c r="B97" s="21"/>
      <c r="C97" s="21"/>
      <c r="D97" s="21"/>
      <c r="E97" s="136"/>
      <c r="F97" s="136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>
      <c r="A98" s="21"/>
      <c r="B98" s="21"/>
      <c r="C98" s="21"/>
      <c r="D98" s="21"/>
      <c r="E98" s="136"/>
      <c r="F98" s="136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>
      <c r="A99" s="21"/>
      <c r="B99" s="21"/>
      <c r="C99" s="21"/>
      <c r="D99" s="21"/>
      <c r="E99" s="136"/>
      <c r="F99" s="136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>
      <c r="A100" s="21"/>
      <c r="B100" s="21"/>
      <c r="C100" s="21"/>
      <c r="D100" s="21"/>
      <c r="E100" s="136"/>
      <c r="F100" s="136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>
      <c r="A101" s="21"/>
      <c r="B101" s="21"/>
      <c r="C101" s="21"/>
      <c r="D101" s="21"/>
      <c r="E101" s="136"/>
      <c r="F101" s="136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>
      <c r="A102" s="21"/>
      <c r="B102" s="21"/>
      <c r="C102" s="21"/>
      <c r="D102" s="21"/>
      <c r="E102" s="136"/>
      <c r="F102" s="136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  <row r="103">
      <c r="A103" s="21"/>
      <c r="B103" s="21"/>
      <c r="C103" s="21"/>
      <c r="D103" s="21"/>
      <c r="E103" s="136"/>
      <c r="F103" s="136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</row>
    <row r="104">
      <c r="A104" s="21"/>
      <c r="B104" s="21"/>
      <c r="C104" s="21"/>
      <c r="D104" s="21"/>
      <c r="E104" s="136"/>
      <c r="F104" s="136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</row>
    <row r="105">
      <c r="A105" s="21"/>
      <c r="B105" s="21"/>
      <c r="C105" s="21"/>
      <c r="D105" s="21"/>
      <c r="E105" s="136"/>
      <c r="F105" s="136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</row>
    <row r="106">
      <c r="A106" s="21"/>
      <c r="B106" s="21"/>
      <c r="C106" s="21"/>
      <c r="D106" s="21"/>
      <c r="E106" s="136"/>
      <c r="F106" s="136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</row>
    <row r="107">
      <c r="A107" s="21"/>
      <c r="B107" s="21"/>
      <c r="C107" s="21"/>
      <c r="D107" s="21"/>
      <c r="E107" s="136"/>
      <c r="F107" s="136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</row>
    <row r="108">
      <c r="A108" s="21"/>
      <c r="B108" s="21"/>
      <c r="C108" s="21"/>
      <c r="D108" s="21"/>
      <c r="E108" s="136"/>
      <c r="F108" s="136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</row>
    <row r="109">
      <c r="A109" s="21"/>
      <c r="B109" s="21"/>
      <c r="C109" s="21"/>
      <c r="D109" s="21"/>
      <c r="E109" s="136"/>
      <c r="F109" s="136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</row>
    <row r="110">
      <c r="A110" s="21"/>
      <c r="B110" s="21"/>
      <c r="C110" s="21"/>
      <c r="D110" s="21"/>
      <c r="E110" s="136"/>
      <c r="F110" s="136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</row>
    <row r="111">
      <c r="A111" s="21"/>
      <c r="B111" s="21"/>
      <c r="C111" s="21"/>
      <c r="D111" s="21"/>
      <c r="E111" s="136"/>
      <c r="F111" s="136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</row>
    <row r="112">
      <c r="A112" s="21"/>
      <c r="B112" s="21"/>
      <c r="C112" s="21"/>
      <c r="D112" s="21"/>
      <c r="E112" s="136"/>
      <c r="F112" s="136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</row>
    <row r="113">
      <c r="A113" s="21"/>
      <c r="B113" s="21"/>
      <c r="C113" s="21"/>
      <c r="D113" s="21"/>
      <c r="E113" s="136"/>
      <c r="F113" s="136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</row>
    <row r="114">
      <c r="A114" s="21"/>
      <c r="B114" s="21"/>
      <c r="C114" s="21"/>
      <c r="D114" s="21"/>
      <c r="E114" s="136"/>
      <c r="F114" s="136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</row>
    <row r="115">
      <c r="A115" s="21"/>
      <c r="B115" s="21"/>
      <c r="C115" s="21"/>
      <c r="D115" s="21"/>
      <c r="E115" s="136"/>
      <c r="F115" s="136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</row>
    <row r="116">
      <c r="A116" s="21"/>
      <c r="B116" s="21"/>
      <c r="C116" s="21"/>
      <c r="D116" s="21"/>
      <c r="E116" s="136"/>
      <c r="F116" s="136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</row>
    <row r="117">
      <c r="A117" s="21"/>
      <c r="B117" s="21"/>
      <c r="C117" s="21"/>
      <c r="D117" s="21"/>
      <c r="E117" s="136"/>
      <c r="F117" s="136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</row>
    <row r="118">
      <c r="A118" s="21"/>
      <c r="B118" s="21"/>
      <c r="C118" s="21"/>
      <c r="D118" s="21"/>
      <c r="E118" s="136"/>
      <c r="F118" s="136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</row>
    <row r="119">
      <c r="A119" s="21"/>
      <c r="B119" s="21"/>
      <c r="C119" s="21"/>
      <c r="D119" s="21"/>
      <c r="E119" s="136"/>
      <c r="F119" s="136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</row>
    <row r="120">
      <c r="A120" s="21"/>
      <c r="B120" s="21"/>
      <c r="C120" s="21"/>
      <c r="D120" s="21"/>
      <c r="E120" s="136"/>
      <c r="F120" s="136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</row>
    <row r="121">
      <c r="A121" s="21"/>
      <c r="B121" s="21"/>
      <c r="C121" s="21"/>
      <c r="D121" s="21"/>
      <c r="E121" s="136"/>
      <c r="F121" s="136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</row>
    <row r="122">
      <c r="A122" s="21"/>
      <c r="B122" s="21"/>
      <c r="C122" s="21"/>
      <c r="D122" s="21"/>
      <c r="E122" s="136"/>
      <c r="F122" s="136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</row>
    <row r="123">
      <c r="A123" s="21"/>
      <c r="B123" s="21"/>
      <c r="C123" s="21"/>
      <c r="D123" s="21"/>
      <c r="E123" s="136"/>
      <c r="F123" s="136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</row>
    <row r="124">
      <c r="A124" s="21"/>
      <c r="B124" s="21"/>
      <c r="C124" s="21"/>
      <c r="D124" s="21"/>
      <c r="E124" s="136"/>
      <c r="F124" s="136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</row>
    <row r="125">
      <c r="A125" s="21"/>
      <c r="B125" s="21"/>
      <c r="C125" s="21"/>
      <c r="D125" s="21"/>
      <c r="E125" s="136"/>
      <c r="F125" s="136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</row>
    <row r="126">
      <c r="A126" s="21"/>
      <c r="B126" s="21"/>
      <c r="C126" s="21"/>
      <c r="D126" s="21"/>
      <c r="E126" s="136"/>
      <c r="F126" s="136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</row>
    <row r="127">
      <c r="A127" s="21"/>
      <c r="B127" s="21"/>
      <c r="C127" s="21"/>
      <c r="D127" s="21"/>
      <c r="E127" s="136"/>
      <c r="F127" s="136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</row>
    <row r="128">
      <c r="A128" s="21"/>
      <c r="B128" s="21"/>
      <c r="C128" s="21"/>
      <c r="D128" s="21"/>
      <c r="E128" s="136"/>
      <c r="F128" s="136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</row>
    <row r="129">
      <c r="A129" s="21"/>
      <c r="B129" s="21"/>
      <c r="C129" s="21"/>
      <c r="D129" s="21"/>
      <c r="E129" s="136"/>
      <c r="F129" s="136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</row>
    <row r="130">
      <c r="A130" s="21"/>
      <c r="B130" s="21"/>
      <c r="C130" s="21"/>
      <c r="D130" s="21"/>
      <c r="E130" s="136"/>
      <c r="F130" s="136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</row>
    <row r="131">
      <c r="A131" s="21"/>
      <c r="B131" s="21"/>
      <c r="C131" s="21"/>
      <c r="D131" s="21"/>
      <c r="E131" s="136"/>
      <c r="F131" s="136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</row>
    <row r="132">
      <c r="A132" s="21"/>
      <c r="B132" s="21"/>
      <c r="C132" s="21"/>
      <c r="D132" s="21"/>
      <c r="E132" s="136"/>
      <c r="F132" s="136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</row>
    <row r="133">
      <c r="A133" s="21"/>
      <c r="B133" s="21"/>
      <c r="C133" s="21"/>
      <c r="D133" s="21"/>
      <c r="E133" s="136"/>
      <c r="F133" s="136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</row>
    <row r="134">
      <c r="A134" s="21"/>
      <c r="B134" s="21"/>
      <c r="C134" s="21"/>
      <c r="D134" s="21"/>
      <c r="E134" s="136"/>
      <c r="F134" s="136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</row>
    <row r="135">
      <c r="A135" s="21"/>
      <c r="B135" s="21"/>
      <c r="C135" s="21"/>
      <c r="D135" s="21"/>
      <c r="E135" s="136"/>
      <c r="F135" s="136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</row>
    <row r="136">
      <c r="A136" s="21"/>
      <c r="B136" s="21"/>
      <c r="C136" s="21"/>
      <c r="D136" s="21"/>
      <c r="E136" s="136"/>
      <c r="F136" s="136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</row>
    <row r="137">
      <c r="A137" s="21"/>
      <c r="B137" s="21"/>
      <c r="C137" s="21"/>
      <c r="D137" s="21"/>
      <c r="E137" s="136"/>
      <c r="F137" s="136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</row>
    <row r="138">
      <c r="A138" s="21"/>
      <c r="B138" s="21"/>
      <c r="C138" s="21"/>
      <c r="D138" s="21"/>
      <c r="E138" s="136"/>
      <c r="F138" s="136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</row>
    <row r="139">
      <c r="A139" s="21"/>
      <c r="B139" s="21"/>
      <c r="C139" s="21"/>
      <c r="D139" s="21"/>
      <c r="E139" s="136"/>
      <c r="F139" s="136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</row>
    <row r="140">
      <c r="A140" s="21"/>
      <c r="B140" s="21"/>
      <c r="C140" s="21"/>
      <c r="D140" s="21"/>
      <c r="E140" s="136"/>
      <c r="F140" s="136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</row>
    <row r="141">
      <c r="A141" s="21"/>
      <c r="B141" s="21"/>
      <c r="C141" s="21"/>
      <c r="D141" s="21"/>
      <c r="E141" s="136"/>
      <c r="F141" s="136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</row>
    <row r="142">
      <c r="A142" s="21"/>
      <c r="B142" s="21"/>
      <c r="C142" s="21"/>
      <c r="D142" s="21"/>
      <c r="E142" s="136"/>
      <c r="F142" s="136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</row>
    <row r="143">
      <c r="A143" s="21"/>
      <c r="B143" s="21"/>
      <c r="C143" s="21"/>
      <c r="D143" s="21"/>
      <c r="E143" s="136"/>
      <c r="F143" s="136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</row>
    <row r="144">
      <c r="A144" s="21"/>
      <c r="B144" s="21"/>
      <c r="C144" s="21"/>
      <c r="D144" s="21"/>
      <c r="E144" s="136"/>
      <c r="F144" s="136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</row>
    <row r="145">
      <c r="A145" s="21"/>
      <c r="B145" s="21"/>
      <c r="C145" s="21"/>
      <c r="D145" s="21"/>
      <c r="E145" s="136"/>
      <c r="F145" s="136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</row>
    <row r="146">
      <c r="A146" s="21"/>
      <c r="B146" s="21"/>
      <c r="C146" s="21"/>
      <c r="D146" s="21"/>
      <c r="E146" s="136"/>
      <c r="F146" s="136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</row>
    <row r="147">
      <c r="A147" s="21"/>
      <c r="B147" s="21"/>
      <c r="C147" s="21"/>
      <c r="D147" s="21"/>
      <c r="E147" s="136"/>
      <c r="F147" s="136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</row>
    <row r="148">
      <c r="A148" s="21"/>
      <c r="B148" s="21"/>
      <c r="C148" s="21"/>
      <c r="D148" s="21"/>
      <c r="E148" s="136"/>
      <c r="F148" s="136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</row>
    <row r="149">
      <c r="A149" s="21"/>
      <c r="B149" s="21"/>
      <c r="C149" s="21"/>
      <c r="D149" s="21"/>
      <c r="E149" s="136"/>
      <c r="F149" s="136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</row>
    <row r="150">
      <c r="A150" s="21"/>
      <c r="B150" s="21"/>
      <c r="C150" s="21"/>
      <c r="D150" s="21"/>
      <c r="E150" s="136"/>
      <c r="F150" s="136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</row>
    <row r="151">
      <c r="A151" s="21"/>
      <c r="B151" s="21"/>
      <c r="C151" s="21"/>
      <c r="D151" s="21"/>
      <c r="E151" s="136"/>
      <c r="F151" s="136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</row>
    <row r="152">
      <c r="A152" s="21"/>
      <c r="B152" s="21"/>
      <c r="C152" s="21"/>
      <c r="D152" s="21"/>
      <c r="E152" s="136"/>
      <c r="F152" s="136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</row>
    <row r="153">
      <c r="A153" s="21"/>
      <c r="B153" s="21"/>
      <c r="C153" s="21"/>
      <c r="D153" s="21"/>
      <c r="E153" s="136"/>
      <c r="F153" s="136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</row>
    <row r="154">
      <c r="A154" s="21"/>
      <c r="B154" s="21"/>
      <c r="C154" s="21"/>
      <c r="D154" s="21"/>
      <c r="E154" s="136"/>
      <c r="F154" s="136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</row>
    <row r="155">
      <c r="A155" s="21"/>
      <c r="B155" s="21"/>
      <c r="C155" s="21"/>
      <c r="D155" s="21"/>
      <c r="E155" s="136"/>
      <c r="F155" s="136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</row>
    <row r="156">
      <c r="A156" s="21"/>
      <c r="B156" s="21"/>
      <c r="C156" s="21"/>
      <c r="D156" s="21"/>
      <c r="E156" s="136"/>
      <c r="F156" s="136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</row>
    <row r="157">
      <c r="A157" s="21"/>
      <c r="B157" s="21"/>
      <c r="C157" s="21"/>
      <c r="D157" s="21"/>
      <c r="E157" s="136"/>
      <c r="F157" s="136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</row>
    <row r="158">
      <c r="A158" s="21"/>
      <c r="B158" s="21"/>
      <c r="C158" s="21"/>
      <c r="D158" s="21"/>
      <c r="E158" s="136"/>
      <c r="F158" s="136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</row>
    <row r="159">
      <c r="A159" s="21"/>
      <c r="B159" s="21"/>
      <c r="C159" s="21"/>
      <c r="D159" s="21"/>
      <c r="E159" s="136"/>
      <c r="F159" s="136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</row>
    <row r="160">
      <c r="A160" s="21"/>
      <c r="B160" s="21"/>
      <c r="C160" s="21"/>
      <c r="D160" s="21"/>
      <c r="E160" s="136"/>
      <c r="F160" s="136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</row>
    <row r="161">
      <c r="A161" s="21"/>
      <c r="B161" s="21"/>
      <c r="C161" s="21"/>
      <c r="D161" s="21"/>
      <c r="E161" s="136"/>
      <c r="F161" s="136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</row>
    <row r="162">
      <c r="A162" s="21"/>
      <c r="B162" s="21"/>
      <c r="C162" s="21"/>
      <c r="D162" s="21"/>
      <c r="E162" s="136"/>
      <c r="F162" s="136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</row>
    <row r="163">
      <c r="A163" s="21"/>
      <c r="B163" s="21"/>
      <c r="C163" s="21"/>
      <c r="D163" s="21"/>
      <c r="E163" s="136"/>
      <c r="F163" s="136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</row>
    <row r="164">
      <c r="A164" s="21"/>
      <c r="B164" s="21"/>
      <c r="C164" s="21"/>
      <c r="D164" s="21"/>
      <c r="E164" s="136"/>
      <c r="F164" s="136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</row>
    <row r="165">
      <c r="A165" s="21"/>
      <c r="B165" s="21"/>
      <c r="C165" s="21"/>
      <c r="D165" s="21"/>
      <c r="E165" s="136"/>
      <c r="F165" s="136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</row>
    <row r="166">
      <c r="A166" s="21"/>
      <c r="B166" s="21"/>
      <c r="C166" s="21"/>
      <c r="D166" s="21"/>
      <c r="E166" s="136"/>
      <c r="F166" s="136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</row>
    <row r="167">
      <c r="A167" s="21"/>
      <c r="B167" s="21"/>
      <c r="C167" s="21"/>
      <c r="D167" s="21"/>
      <c r="E167" s="136"/>
      <c r="F167" s="136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</row>
    <row r="168">
      <c r="A168" s="21"/>
      <c r="B168" s="21"/>
      <c r="C168" s="21"/>
      <c r="D168" s="21"/>
      <c r="E168" s="136"/>
      <c r="F168" s="136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</row>
    <row r="169">
      <c r="A169" s="21"/>
      <c r="B169" s="21"/>
      <c r="C169" s="21"/>
      <c r="D169" s="21"/>
      <c r="E169" s="136"/>
      <c r="F169" s="136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</row>
    <row r="170">
      <c r="A170" s="21"/>
      <c r="B170" s="21"/>
      <c r="C170" s="21"/>
      <c r="D170" s="21"/>
      <c r="E170" s="136"/>
      <c r="F170" s="136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</row>
    <row r="171">
      <c r="A171" s="21"/>
      <c r="B171" s="21"/>
      <c r="C171" s="21"/>
      <c r="D171" s="21"/>
      <c r="E171" s="136"/>
      <c r="F171" s="136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</row>
    <row r="172">
      <c r="A172" s="21"/>
      <c r="B172" s="21"/>
      <c r="C172" s="21"/>
      <c r="D172" s="21"/>
      <c r="E172" s="136"/>
      <c r="F172" s="136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</row>
    <row r="173">
      <c r="A173" s="21"/>
      <c r="B173" s="21"/>
      <c r="C173" s="21"/>
      <c r="D173" s="21"/>
      <c r="E173" s="136"/>
      <c r="F173" s="136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</row>
    <row r="174">
      <c r="A174" s="21"/>
      <c r="B174" s="21"/>
      <c r="C174" s="21"/>
      <c r="D174" s="21"/>
      <c r="E174" s="136"/>
      <c r="F174" s="136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</row>
    <row r="175">
      <c r="A175" s="21"/>
      <c r="B175" s="21"/>
      <c r="C175" s="21"/>
      <c r="D175" s="21"/>
      <c r="E175" s="136"/>
      <c r="F175" s="136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</row>
    <row r="176">
      <c r="A176" s="21"/>
      <c r="B176" s="21"/>
      <c r="C176" s="21"/>
      <c r="D176" s="21"/>
      <c r="E176" s="136"/>
      <c r="F176" s="136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</row>
    <row r="177">
      <c r="A177" s="21"/>
      <c r="B177" s="21"/>
      <c r="C177" s="21"/>
      <c r="D177" s="21"/>
      <c r="E177" s="136"/>
      <c r="F177" s="136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</row>
    <row r="178">
      <c r="A178" s="21"/>
      <c r="B178" s="21"/>
      <c r="C178" s="21"/>
      <c r="D178" s="21"/>
      <c r="E178" s="136"/>
      <c r="F178" s="136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</row>
    <row r="179">
      <c r="A179" s="21"/>
      <c r="B179" s="21"/>
      <c r="C179" s="21"/>
      <c r="D179" s="21"/>
      <c r="E179" s="136"/>
      <c r="F179" s="136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</row>
    <row r="180">
      <c r="A180" s="21"/>
      <c r="B180" s="21"/>
      <c r="C180" s="21"/>
      <c r="D180" s="21"/>
      <c r="E180" s="136"/>
      <c r="F180" s="136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</row>
    <row r="181">
      <c r="A181" s="21"/>
      <c r="B181" s="21"/>
      <c r="C181" s="21"/>
      <c r="D181" s="21"/>
      <c r="E181" s="136"/>
      <c r="F181" s="136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</row>
    <row r="182">
      <c r="A182" s="21"/>
      <c r="B182" s="21"/>
      <c r="C182" s="21"/>
      <c r="D182" s="21"/>
      <c r="E182" s="136"/>
      <c r="F182" s="136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</row>
    <row r="183">
      <c r="A183" s="21"/>
      <c r="B183" s="21"/>
      <c r="C183" s="21"/>
      <c r="D183" s="21"/>
      <c r="E183" s="136"/>
      <c r="F183" s="136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</row>
    <row r="184">
      <c r="A184" s="21"/>
      <c r="B184" s="21"/>
      <c r="C184" s="21"/>
      <c r="D184" s="21"/>
      <c r="E184" s="136"/>
      <c r="F184" s="136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</row>
    <row r="185">
      <c r="A185" s="21"/>
      <c r="B185" s="21"/>
      <c r="C185" s="21"/>
      <c r="D185" s="21"/>
      <c r="E185" s="136"/>
      <c r="F185" s="136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</row>
    <row r="186">
      <c r="A186" s="21"/>
      <c r="B186" s="21"/>
      <c r="C186" s="21"/>
      <c r="D186" s="21"/>
      <c r="E186" s="136"/>
      <c r="F186" s="136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</row>
    <row r="187">
      <c r="A187" s="21"/>
      <c r="B187" s="21"/>
      <c r="C187" s="21"/>
      <c r="D187" s="21"/>
      <c r="E187" s="136"/>
      <c r="F187" s="136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</row>
    <row r="188">
      <c r="A188" s="21"/>
      <c r="B188" s="21"/>
      <c r="C188" s="21"/>
      <c r="D188" s="21"/>
      <c r="E188" s="136"/>
      <c r="F188" s="136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</row>
    <row r="189">
      <c r="A189" s="21"/>
      <c r="B189" s="21"/>
      <c r="C189" s="21"/>
      <c r="D189" s="21"/>
      <c r="E189" s="136"/>
      <c r="F189" s="136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</row>
    <row r="190">
      <c r="A190" s="21"/>
      <c r="B190" s="21"/>
      <c r="C190" s="21"/>
      <c r="D190" s="21"/>
      <c r="E190" s="136"/>
      <c r="F190" s="136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</row>
    <row r="191">
      <c r="A191" s="21"/>
      <c r="B191" s="21"/>
      <c r="C191" s="21"/>
      <c r="D191" s="21"/>
      <c r="E191" s="136"/>
      <c r="F191" s="136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</row>
    <row r="192">
      <c r="A192" s="21"/>
      <c r="B192" s="21"/>
      <c r="C192" s="21"/>
      <c r="D192" s="21"/>
      <c r="E192" s="136"/>
      <c r="F192" s="136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</row>
    <row r="193">
      <c r="A193" s="21"/>
      <c r="B193" s="21"/>
      <c r="C193" s="21"/>
      <c r="D193" s="21"/>
      <c r="E193" s="136"/>
      <c r="F193" s="136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</row>
    <row r="194">
      <c r="A194" s="21"/>
      <c r="B194" s="21"/>
      <c r="C194" s="21"/>
      <c r="D194" s="21"/>
      <c r="E194" s="136"/>
      <c r="F194" s="136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</row>
    <row r="195">
      <c r="A195" s="21"/>
      <c r="B195" s="21"/>
      <c r="C195" s="21"/>
      <c r="D195" s="21"/>
      <c r="E195" s="136"/>
      <c r="F195" s="136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</row>
    <row r="196">
      <c r="A196" s="21"/>
      <c r="B196" s="21"/>
      <c r="C196" s="21"/>
      <c r="D196" s="21"/>
      <c r="E196" s="136"/>
      <c r="F196" s="136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</row>
    <row r="197">
      <c r="A197" s="21"/>
      <c r="B197" s="21"/>
      <c r="C197" s="21"/>
      <c r="D197" s="21"/>
      <c r="E197" s="136"/>
      <c r="F197" s="136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</row>
    <row r="198">
      <c r="A198" s="21"/>
      <c r="B198" s="21"/>
      <c r="C198" s="21"/>
      <c r="D198" s="21"/>
      <c r="E198" s="136"/>
      <c r="F198" s="136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</row>
    <row r="199">
      <c r="A199" s="21"/>
      <c r="B199" s="21"/>
      <c r="C199" s="21"/>
      <c r="D199" s="21"/>
      <c r="E199" s="136"/>
      <c r="F199" s="136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</row>
    <row r="200">
      <c r="A200" s="21"/>
      <c r="B200" s="21"/>
      <c r="C200" s="21"/>
      <c r="D200" s="21"/>
      <c r="E200" s="136"/>
      <c r="F200" s="136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</row>
    <row r="201">
      <c r="A201" s="21"/>
      <c r="B201" s="21"/>
      <c r="C201" s="21"/>
      <c r="D201" s="21"/>
      <c r="E201" s="136"/>
      <c r="F201" s="136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</row>
    <row r="202">
      <c r="A202" s="21"/>
      <c r="B202" s="21"/>
      <c r="C202" s="21"/>
      <c r="D202" s="21"/>
      <c r="E202" s="136"/>
      <c r="F202" s="136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</row>
    <row r="203">
      <c r="A203" s="21"/>
      <c r="B203" s="21"/>
      <c r="C203" s="21"/>
      <c r="D203" s="21"/>
      <c r="E203" s="136"/>
      <c r="F203" s="136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</row>
    <row r="204">
      <c r="A204" s="21"/>
      <c r="B204" s="21"/>
      <c r="C204" s="21"/>
      <c r="D204" s="21"/>
      <c r="E204" s="136"/>
      <c r="F204" s="136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</row>
    <row r="205">
      <c r="A205" s="21"/>
      <c r="B205" s="21"/>
      <c r="C205" s="21"/>
      <c r="D205" s="21"/>
      <c r="E205" s="136"/>
      <c r="F205" s="136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</row>
    <row r="206">
      <c r="A206" s="21"/>
      <c r="B206" s="21"/>
      <c r="C206" s="21"/>
      <c r="D206" s="21"/>
      <c r="E206" s="136"/>
      <c r="F206" s="136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</row>
    <row r="207">
      <c r="A207" s="21"/>
      <c r="B207" s="21"/>
      <c r="C207" s="21"/>
      <c r="D207" s="21"/>
      <c r="E207" s="136"/>
      <c r="F207" s="136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</row>
    <row r="208">
      <c r="A208" s="21"/>
      <c r="B208" s="21"/>
      <c r="C208" s="21"/>
      <c r="D208" s="21"/>
      <c r="E208" s="136"/>
      <c r="F208" s="136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</row>
    <row r="209">
      <c r="A209" s="21"/>
      <c r="B209" s="21"/>
      <c r="C209" s="21"/>
      <c r="D209" s="21"/>
      <c r="E209" s="136"/>
      <c r="F209" s="136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</row>
    <row r="210">
      <c r="A210" s="21"/>
      <c r="B210" s="21"/>
      <c r="C210" s="21"/>
      <c r="D210" s="21"/>
      <c r="E210" s="136"/>
      <c r="F210" s="136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</row>
    <row r="211">
      <c r="A211" s="21"/>
      <c r="B211" s="21"/>
      <c r="C211" s="21"/>
      <c r="D211" s="21"/>
      <c r="E211" s="136"/>
      <c r="F211" s="136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</row>
    <row r="212">
      <c r="A212" s="21"/>
      <c r="B212" s="21"/>
      <c r="C212" s="21"/>
      <c r="D212" s="21"/>
      <c r="E212" s="136"/>
      <c r="F212" s="136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</row>
    <row r="213">
      <c r="A213" s="21"/>
      <c r="B213" s="21"/>
      <c r="C213" s="21"/>
      <c r="D213" s="21"/>
      <c r="E213" s="136"/>
      <c r="F213" s="136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</row>
    <row r="214">
      <c r="A214" s="21"/>
      <c r="B214" s="21"/>
      <c r="C214" s="21"/>
      <c r="D214" s="21"/>
      <c r="E214" s="136"/>
      <c r="F214" s="136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</row>
    <row r="215">
      <c r="A215" s="21"/>
      <c r="B215" s="21"/>
      <c r="C215" s="21"/>
      <c r="D215" s="21"/>
      <c r="E215" s="136"/>
      <c r="F215" s="136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</row>
    <row r="216">
      <c r="A216" s="21"/>
      <c r="B216" s="21"/>
      <c r="C216" s="21"/>
      <c r="D216" s="21"/>
      <c r="E216" s="136"/>
      <c r="F216" s="136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</row>
    <row r="217">
      <c r="A217" s="21"/>
      <c r="B217" s="21"/>
      <c r="C217" s="21"/>
      <c r="D217" s="21"/>
      <c r="E217" s="136"/>
      <c r="F217" s="136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</row>
    <row r="218">
      <c r="A218" s="21"/>
      <c r="B218" s="21"/>
      <c r="C218" s="21"/>
      <c r="D218" s="21"/>
      <c r="E218" s="136"/>
      <c r="F218" s="136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</row>
    <row r="219">
      <c r="A219" s="21"/>
      <c r="B219" s="21"/>
      <c r="C219" s="21"/>
      <c r="D219" s="21"/>
      <c r="E219" s="136"/>
      <c r="F219" s="136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</row>
    <row r="220">
      <c r="A220" s="21"/>
      <c r="B220" s="21"/>
      <c r="C220" s="21"/>
      <c r="D220" s="21"/>
      <c r="E220" s="136"/>
      <c r="F220" s="136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</row>
    <row r="221">
      <c r="A221" s="21"/>
      <c r="B221" s="21"/>
      <c r="C221" s="21"/>
      <c r="D221" s="21"/>
      <c r="E221" s="136"/>
      <c r="F221" s="136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</row>
    <row r="222">
      <c r="A222" s="21"/>
      <c r="B222" s="21"/>
      <c r="C222" s="21"/>
      <c r="D222" s="21"/>
      <c r="E222" s="136"/>
      <c r="F222" s="136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</row>
    <row r="223">
      <c r="A223" s="21"/>
      <c r="B223" s="21"/>
      <c r="C223" s="21"/>
      <c r="D223" s="21"/>
      <c r="E223" s="136"/>
      <c r="F223" s="136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</row>
    <row r="224">
      <c r="A224" s="21"/>
      <c r="B224" s="21"/>
      <c r="C224" s="21"/>
      <c r="D224" s="21"/>
      <c r="E224" s="136"/>
      <c r="F224" s="136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</row>
    <row r="225">
      <c r="A225" s="21"/>
      <c r="B225" s="21"/>
      <c r="C225" s="21"/>
      <c r="D225" s="21"/>
      <c r="E225" s="136"/>
      <c r="F225" s="136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</row>
    <row r="226">
      <c r="A226" s="21"/>
      <c r="B226" s="21"/>
      <c r="C226" s="21"/>
      <c r="D226" s="21"/>
      <c r="E226" s="136"/>
      <c r="F226" s="136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</row>
    <row r="227">
      <c r="A227" s="21"/>
      <c r="B227" s="21"/>
      <c r="C227" s="21"/>
      <c r="D227" s="21"/>
      <c r="E227" s="136"/>
      <c r="F227" s="136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</row>
    <row r="228">
      <c r="A228" s="21"/>
      <c r="B228" s="21"/>
      <c r="C228" s="21"/>
      <c r="D228" s="21"/>
      <c r="E228" s="136"/>
      <c r="F228" s="136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</row>
    <row r="229">
      <c r="A229" s="21"/>
      <c r="B229" s="21"/>
      <c r="C229" s="21"/>
      <c r="D229" s="21"/>
      <c r="E229" s="136"/>
      <c r="F229" s="136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</row>
    <row r="230">
      <c r="A230" s="21"/>
      <c r="B230" s="21"/>
      <c r="C230" s="21"/>
      <c r="D230" s="21"/>
      <c r="E230" s="136"/>
      <c r="F230" s="136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</row>
    <row r="231">
      <c r="A231" s="21"/>
      <c r="B231" s="21"/>
      <c r="C231" s="21"/>
      <c r="D231" s="21"/>
      <c r="E231" s="136"/>
      <c r="F231" s="136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</row>
    <row r="232">
      <c r="A232" s="21"/>
      <c r="B232" s="21"/>
      <c r="C232" s="21"/>
      <c r="D232" s="21"/>
      <c r="E232" s="136"/>
      <c r="F232" s="136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</row>
    <row r="233">
      <c r="A233" s="21"/>
      <c r="B233" s="21"/>
      <c r="C233" s="21"/>
      <c r="D233" s="21"/>
      <c r="E233" s="136"/>
      <c r="F233" s="136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</row>
    <row r="234">
      <c r="A234" s="21"/>
      <c r="B234" s="21"/>
      <c r="C234" s="21"/>
      <c r="D234" s="21"/>
      <c r="E234" s="136"/>
      <c r="F234" s="136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</row>
    <row r="235">
      <c r="A235" s="21"/>
      <c r="B235" s="21"/>
      <c r="C235" s="21"/>
      <c r="D235" s="21"/>
      <c r="E235" s="136"/>
      <c r="F235" s="136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</row>
    <row r="236">
      <c r="A236" s="21"/>
      <c r="B236" s="21"/>
      <c r="C236" s="21"/>
      <c r="D236" s="21"/>
      <c r="E236" s="136"/>
      <c r="F236" s="136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</row>
    <row r="237">
      <c r="A237" s="21"/>
      <c r="B237" s="21"/>
      <c r="C237" s="21"/>
      <c r="D237" s="21"/>
      <c r="E237" s="136"/>
      <c r="F237" s="136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</row>
    <row r="238">
      <c r="A238" s="21"/>
      <c r="B238" s="21"/>
      <c r="C238" s="21"/>
      <c r="D238" s="21"/>
      <c r="E238" s="136"/>
      <c r="F238" s="136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</row>
    <row r="239">
      <c r="A239" s="21"/>
      <c r="B239" s="21"/>
      <c r="C239" s="21"/>
      <c r="D239" s="21"/>
      <c r="E239" s="136"/>
      <c r="F239" s="136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</row>
    <row r="240">
      <c r="A240" s="21"/>
      <c r="B240" s="21"/>
      <c r="C240" s="21"/>
      <c r="D240" s="21"/>
      <c r="E240" s="136"/>
      <c r="F240" s="136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</row>
    <row r="241">
      <c r="A241" s="21"/>
      <c r="B241" s="21"/>
      <c r="C241" s="21"/>
      <c r="D241" s="21"/>
      <c r="E241" s="136"/>
      <c r="F241" s="136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</row>
    <row r="242">
      <c r="A242" s="21"/>
      <c r="B242" s="21"/>
      <c r="C242" s="21"/>
      <c r="D242" s="21"/>
      <c r="E242" s="136"/>
      <c r="F242" s="136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</row>
    <row r="243">
      <c r="A243" s="21"/>
      <c r="B243" s="21"/>
      <c r="C243" s="21"/>
      <c r="D243" s="21"/>
      <c r="E243" s="136"/>
      <c r="F243" s="136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</row>
    <row r="244">
      <c r="A244" s="21"/>
      <c r="B244" s="21"/>
      <c r="C244" s="21"/>
      <c r="D244" s="21"/>
      <c r="E244" s="136"/>
      <c r="F244" s="136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</row>
    <row r="245">
      <c r="A245" s="21"/>
      <c r="B245" s="21"/>
      <c r="C245" s="21"/>
      <c r="D245" s="21"/>
      <c r="E245" s="136"/>
      <c r="F245" s="136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</row>
    <row r="246">
      <c r="A246" s="21"/>
      <c r="B246" s="21"/>
      <c r="C246" s="21"/>
      <c r="D246" s="21"/>
      <c r="E246" s="136"/>
      <c r="F246" s="136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</row>
    <row r="247">
      <c r="A247" s="21"/>
      <c r="B247" s="21"/>
      <c r="C247" s="21"/>
      <c r="D247" s="21"/>
      <c r="E247" s="136"/>
      <c r="F247" s="136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</row>
    <row r="248">
      <c r="A248" s="21"/>
      <c r="B248" s="21"/>
      <c r="C248" s="21"/>
      <c r="D248" s="21"/>
      <c r="E248" s="136"/>
      <c r="F248" s="136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</row>
    <row r="249">
      <c r="A249" s="21"/>
      <c r="B249" s="21"/>
      <c r="C249" s="21"/>
      <c r="D249" s="21"/>
      <c r="E249" s="136"/>
      <c r="F249" s="136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</row>
    <row r="250">
      <c r="A250" s="21"/>
      <c r="B250" s="21"/>
      <c r="C250" s="21"/>
      <c r="D250" s="21"/>
      <c r="E250" s="136"/>
      <c r="F250" s="136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</row>
    <row r="251">
      <c r="A251" s="21"/>
      <c r="B251" s="21"/>
      <c r="C251" s="21"/>
      <c r="D251" s="21"/>
      <c r="E251" s="136"/>
      <c r="F251" s="136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</row>
    <row r="252">
      <c r="A252" s="21"/>
      <c r="B252" s="21"/>
      <c r="C252" s="21"/>
      <c r="D252" s="21"/>
      <c r="E252" s="136"/>
      <c r="F252" s="136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</row>
    <row r="253">
      <c r="A253" s="21"/>
      <c r="B253" s="21"/>
      <c r="C253" s="21"/>
      <c r="D253" s="21"/>
      <c r="E253" s="136"/>
      <c r="F253" s="136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</row>
    <row r="254">
      <c r="A254" s="21"/>
      <c r="B254" s="21"/>
      <c r="C254" s="21"/>
      <c r="D254" s="21"/>
      <c r="E254" s="136"/>
      <c r="F254" s="136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</row>
    <row r="255">
      <c r="A255" s="21"/>
      <c r="B255" s="21"/>
      <c r="C255" s="21"/>
      <c r="D255" s="21"/>
      <c r="E255" s="136"/>
      <c r="F255" s="136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</row>
    <row r="256">
      <c r="A256" s="21"/>
      <c r="B256" s="21"/>
      <c r="C256" s="21"/>
      <c r="D256" s="21"/>
      <c r="E256" s="136"/>
      <c r="F256" s="136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</row>
    <row r="257">
      <c r="A257" s="21"/>
      <c r="B257" s="21"/>
      <c r="C257" s="21"/>
      <c r="D257" s="21"/>
      <c r="E257" s="136"/>
      <c r="F257" s="136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</row>
    <row r="258">
      <c r="A258" s="21"/>
      <c r="B258" s="21"/>
      <c r="C258" s="21"/>
      <c r="D258" s="21"/>
      <c r="E258" s="136"/>
      <c r="F258" s="136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</row>
    <row r="259">
      <c r="A259" s="21"/>
      <c r="B259" s="21"/>
      <c r="C259" s="21"/>
      <c r="D259" s="21"/>
      <c r="E259" s="136"/>
      <c r="F259" s="136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</row>
    <row r="260">
      <c r="A260" s="21"/>
      <c r="B260" s="21"/>
      <c r="C260" s="21"/>
      <c r="D260" s="21"/>
      <c r="E260" s="136"/>
      <c r="F260" s="136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</row>
    <row r="261">
      <c r="A261" s="21"/>
      <c r="B261" s="21"/>
      <c r="C261" s="21"/>
      <c r="D261" s="21"/>
      <c r="E261" s="136"/>
      <c r="F261" s="136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</row>
    <row r="262">
      <c r="A262" s="21"/>
      <c r="B262" s="21"/>
      <c r="C262" s="21"/>
      <c r="D262" s="21"/>
      <c r="E262" s="136"/>
      <c r="F262" s="136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</row>
    <row r="263">
      <c r="A263" s="21"/>
      <c r="B263" s="21"/>
      <c r="C263" s="21"/>
      <c r="D263" s="21"/>
      <c r="E263" s="136"/>
      <c r="F263" s="136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</row>
    <row r="264">
      <c r="A264" s="21"/>
      <c r="B264" s="21"/>
      <c r="C264" s="21"/>
      <c r="D264" s="21"/>
      <c r="E264" s="136"/>
      <c r="F264" s="136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</row>
    <row r="265">
      <c r="A265" s="21"/>
      <c r="B265" s="21"/>
      <c r="C265" s="21"/>
      <c r="D265" s="21"/>
      <c r="E265" s="136"/>
      <c r="F265" s="136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</row>
    <row r="266">
      <c r="A266" s="21"/>
      <c r="B266" s="21"/>
      <c r="C266" s="21"/>
      <c r="D266" s="21"/>
      <c r="E266" s="136"/>
      <c r="F266" s="136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</row>
    <row r="267">
      <c r="A267" s="21"/>
      <c r="B267" s="21"/>
      <c r="C267" s="21"/>
      <c r="D267" s="21"/>
      <c r="E267" s="136"/>
      <c r="F267" s="136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</row>
    <row r="268">
      <c r="A268" s="21"/>
      <c r="B268" s="21"/>
      <c r="C268" s="21"/>
      <c r="D268" s="21"/>
      <c r="E268" s="136"/>
      <c r="F268" s="136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</row>
    <row r="269">
      <c r="A269" s="21"/>
      <c r="B269" s="21"/>
      <c r="C269" s="21"/>
      <c r="D269" s="21"/>
      <c r="E269" s="136"/>
      <c r="F269" s="136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</row>
    <row r="270">
      <c r="A270" s="21"/>
      <c r="B270" s="21"/>
      <c r="C270" s="21"/>
      <c r="D270" s="21"/>
      <c r="E270" s="136"/>
      <c r="F270" s="136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</row>
    <row r="271">
      <c r="A271" s="21"/>
      <c r="B271" s="21"/>
      <c r="C271" s="21"/>
      <c r="D271" s="21"/>
      <c r="E271" s="136"/>
      <c r="F271" s="136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</row>
    <row r="272">
      <c r="A272" s="21"/>
      <c r="B272" s="21"/>
      <c r="C272" s="21"/>
      <c r="D272" s="21"/>
      <c r="E272" s="136"/>
      <c r="F272" s="136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</row>
    <row r="273">
      <c r="A273" s="21"/>
      <c r="B273" s="21"/>
      <c r="C273" s="21"/>
      <c r="D273" s="21"/>
      <c r="E273" s="136"/>
      <c r="F273" s="136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</row>
    <row r="274">
      <c r="A274" s="21"/>
      <c r="B274" s="21"/>
      <c r="C274" s="21"/>
      <c r="D274" s="21"/>
      <c r="E274" s="136"/>
      <c r="F274" s="136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</row>
    <row r="275">
      <c r="A275" s="21"/>
      <c r="B275" s="21"/>
      <c r="C275" s="21"/>
      <c r="D275" s="21"/>
      <c r="E275" s="136"/>
      <c r="F275" s="136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</row>
    <row r="276">
      <c r="A276" s="21"/>
      <c r="B276" s="21"/>
      <c r="C276" s="21"/>
      <c r="D276" s="21"/>
      <c r="E276" s="136"/>
      <c r="F276" s="136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</row>
    <row r="277">
      <c r="A277" s="21"/>
      <c r="B277" s="21"/>
      <c r="C277" s="21"/>
      <c r="D277" s="21"/>
      <c r="E277" s="136"/>
      <c r="F277" s="136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</row>
    <row r="278">
      <c r="A278" s="21"/>
      <c r="B278" s="21"/>
      <c r="C278" s="21"/>
      <c r="D278" s="21"/>
      <c r="E278" s="136"/>
      <c r="F278" s="136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</row>
    <row r="279">
      <c r="A279" s="21"/>
      <c r="B279" s="21"/>
      <c r="C279" s="21"/>
      <c r="D279" s="21"/>
      <c r="E279" s="136"/>
      <c r="F279" s="136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</row>
    <row r="280">
      <c r="A280" s="21"/>
      <c r="B280" s="21"/>
      <c r="C280" s="21"/>
      <c r="D280" s="21"/>
      <c r="E280" s="136"/>
      <c r="F280" s="136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</row>
    <row r="281">
      <c r="A281" s="21"/>
      <c r="B281" s="21"/>
      <c r="C281" s="21"/>
      <c r="D281" s="21"/>
      <c r="E281" s="136"/>
      <c r="F281" s="136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</row>
    <row r="282">
      <c r="A282" s="21"/>
      <c r="B282" s="21"/>
      <c r="C282" s="21"/>
      <c r="D282" s="21"/>
      <c r="E282" s="136"/>
      <c r="F282" s="136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</row>
    <row r="283">
      <c r="A283" s="21"/>
      <c r="B283" s="21"/>
      <c r="C283" s="21"/>
      <c r="D283" s="21"/>
      <c r="E283" s="136"/>
      <c r="F283" s="136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</row>
    <row r="284">
      <c r="A284" s="21"/>
      <c r="B284" s="21"/>
      <c r="C284" s="21"/>
      <c r="D284" s="21"/>
      <c r="E284" s="136"/>
      <c r="F284" s="136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</row>
    <row r="285">
      <c r="A285" s="21"/>
      <c r="B285" s="21"/>
      <c r="C285" s="21"/>
      <c r="D285" s="21"/>
      <c r="E285" s="136"/>
      <c r="F285" s="136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</row>
    <row r="286">
      <c r="A286" s="21"/>
      <c r="B286" s="21"/>
      <c r="C286" s="21"/>
      <c r="D286" s="21"/>
      <c r="E286" s="136"/>
      <c r="F286" s="136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</row>
    <row r="287">
      <c r="A287" s="21"/>
      <c r="B287" s="21"/>
      <c r="C287" s="21"/>
      <c r="D287" s="21"/>
      <c r="E287" s="136"/>
      <c r="F287" s="136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</row>
    <row r="288">
      <c r="A288" s="21"/>
      <c r="B288" s="21"/>
      <c r="C288" s="21"/>
      <c r="D288" s="21"/>
      <c r="E288" s="136"/>
      <c r="F288" s="136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</row>
    <row r="289">
      <c r="A289" s="21"/>
      <c r="B289" s="21"/>
      <c r="C289" s="21"/>
      <c r="D289" s="21"/>
      <c r="E289" s="136"/>
      <c r="F289" s="136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</row>
    <row r="290">
      <c r="A290" s="21"/>
      <c r="B290" s="21"/>
      <c r="C290" s="21"/>
      <c r="D290" s="21"/>
      <c r="E290" s="136"/>
      <c r="F290" s="136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</row>
    <row r="291">
      <c r="A291" s="21"/>
      <c r="B291" s="21"/>
      <c r="C291" s="21"/>
      <c r="D291" s="21"/>
      <c r="E291" s="136"/>
      <c r="F291" s="136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</row>
    <row r="292">
      <c r="A292" s="21"/>
      <c r="B292" s="21"/>
      <c r="C292" s="21"/>
      <c r="D292" s="21"/>
      <c r="E292" s="136"/>
      <c r="F292" s="136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</row>
    <row r="293">
      <c r="A293" s="21"/>
      <c r="B293" s="21"/>
      <c r="C293" s="21"/>
      <c r="D293" s="21"/>
      <c r="E293" s="136"/>
      <c r="F293" s="136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</row>
    <row r="294">
      <c r="A294" s="21"/>
      <c r="B294" s="21"/>
      <c r="C294" s="21"/>
      <c r="D294" s="21"/>
      <c r="E294" s="136"/>
      <c r="F294" s="136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</row>
    <row r="295">
      <c r="A295" s="21"/>
      <c r="B295" s="21"/>
      <c r="C295" s="21"/>
      <c r="D295" s="21"/>
      <c r="E295" s="136"/>
      <c r="F295" s="136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</row>
    <row r="296">
      <c r="A296" s="21"/>
      <c r="B296" s="21"/>
      <c r="C296" s="21"/>
      <c r="D296" s="21"/>
      <c r="E296" s="136"/>
      <c r="F296" s="136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</row>
    <row r="297">
      <c r="A297" s="21"/>
      <c r="B297" s="21"/>
      <c r="C297" s="21"/>
      <c r="D297" s="21"/>
      <c r="E297" s="136"/>
      <c r="F297" s="136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</row>
    <row r="298">
      <c r="A298" s="21"/>
      <c r="B298" s="21"/>
      <c r="C298" s="21"/>
      <c r="D298" s="21"/>
      <c r="E298" s="136"/>
      <c r="F298" s="136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</row>
    <row r="299">
      <c r="A299" s="21"/>
      <c r="B299" s="21"/>
      <c r="C299" s="21"/>
      <c r="D299" s="21"/>
      <c r="E299" s="136"/>
      <c r="F299" s="136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</row>
    <row r="300">
      <c r="A300" s="21"/>
      <c r="B300" s="21"/>
      <c r="C300" s="21"/>
      <c r="D300" s="21"/>
      <c r="E300" s="136"/>
      <c r="F300" s="136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</row>
    <row r="301">
      <c r="A301" s="21"/>
      <c r="B301" s="21"/>
      <c r="C301" s="21"/>
      <c r="D301" s="21"/>
      <c r="E301" s="136"/>
      <c r="F301" s="136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</row>
    <row r="302">
      <c r="A302" s="21"/>
      <c r="B302" s="21"/>
      <c r="C302" s="21"/>
      <c r="D302" s="21"/>
      <c r="E302" s="136"/>
      <c r="F302" s="136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</row>
    <row r="303">
      <c r="A303" s="21"/>
      <c r="B303" s="21"/>
      <c r="C303" s="21"/>
      <c r="D303" s="21"/>
      <c r="E303" s="136"/>
      <c r="F303" s="136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</row>
    <row r="304">
      <c r="A304" s="21"/>
      <c r="B304" s="21"/>
      <c r="C304" s="21"/>
      <c r="D304" s="21"/>
      <c r="E304" s="136"/>
      <c r="F304" s="136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</row>
    <row r="305">
      <c r="A305" s="21"/>
      <c r="B305" s="21"/>
      <c r="C305" s="21"/>
      <c r="D305" s="21"/>
      <c r="E305" s="136"/>
      <c r="F305" s="136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</row>
    <row r="306">
      <c r="A306" s="21"/>
      <c r="B306" s="21"/>
      <c r="C306" s="21"/>
      <c r="D306" s="21"/>
      <c r="E306" s="136"/>
      <c r="F306" s="136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</row>
    <row r="307">
      <c r="A307" s="21"/>
      <c r="B307" s="21"/>
      <c r="C307" s="21"/>
      <c r="D307" s="21"/>
      <c r="E307" s="136"/>
      <c r="F307" s="136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</row>
    <row r="308">
      <c r="A308" s="21"/>
      <c r="B308" s="21"/>
      <c r="C308" s="21"/>
      <c r="D308" s="21"/>
      <c r="E308" s="136"/>
      <c r="F308" s="136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</row>
    <row r="309">
      <c r="A309" s="21"/>
      <c r="B309" s="21"/>
      <c r="C309" s="21"/>
      <c r="D309" s="21"/>
      <c r="E309" s="136"/>
      <c r="F309" s="136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</row>
    <row r="310">
      <c r="A310" s="21"/>
      <c r="B310" s="21"/>
      <c r="C310" s="21"/>
      <c r="D310" s="21"/>
      <c r="E310" s="136"/>
      <c r="F310" s="136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</row>
    <row r="311">
      <c r="A311" s="21"/>
      <c r="B311" s="21"/>
      <c r="C311" s="21"/>
      <c r="D311" s="21"/>
      <c r="E311" s="136"/>
      <c r="F311" s="136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</row>
    <row r="312">
      <c r="A312" s="21"/>
      <c r="B312" s="21"/>
      <c r="C312" s="21"/>
      <c r="D312" s="21"/>
      <c r="E312" s="136"/>
      <c r="F312" s="136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</row>
    <row r="313">
      <c r="A313" s="21"/>
      <c r="B313" s="21"/>
      <c r="C313" s="21"/>
      <c r="D313" s="21"/>
      <c r="E313" s="136"/>
      <c r="F313" s="136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</row>
    <row r="314">
      <c r="A314" s="21"/>
      <c r="B314" s="21"/>
      <c r="C314" s="21"/>
      <c r="D314" s="21"/>
      <c r="E314" s="136"/>
      <c r="F314" s="136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</row>
    <row r="315">
      <c r="A315" s="21"/>
      <c r="B315" s="21"/>
      <c r="C315" s="21"/>
      <c r="D315" s="21"/>
      <c r="E315" s="136"/>
      <c r="F315" s="136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</row>
    <row r="316">
      <c r="A316" s="21"/>
      <c r="B316" s="21"/>
      <c r="C316" s="21"/>
      <c r="D316" s="21"/>
      <c r="E316" s="136"/>
      <c r="F316" s="136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</row>
    <row r="317">
      <c r="A317" s="21"/>
      <c r="B317" s="21"/>
      <c r="C317" s="21"/>
      <c r="D317" s="21"/>
      <c r="E317" s="136"/>
      <c r="F317" s="136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</row>
    <row r="318">
      <c r="A318" s="21"/>
      <c r="B318" s="21"/>
      <c r="C318" s="21"/>
      <c r="D318" s="21"/>
      <c r="E318" s="136"/>
      <c r="F318" s="136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</row>
    <row r="319">
      <c r="A319" s="21"/>
      <c r="B319" s="21"/>
      <c r="C319" s="21"/>
      <c r="D319" s="21"/>
      <c r="E319" s="136"/>
      <c r="F319" s="136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</row>
    <row r="320">
      <c r="A320" s="21"/>
      <c r="B320" s="21"/>
      <c r="C320" s="21"/>
      <c r="D320" s="21"/>
      <c r="E320" s="136"/>
      <c r="F320" s="136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</row>
    <row r="321">
      <c r="A321" s="21"/>
      <c r="B321" s="21"/>
      <c r="C321" s="21"/>
      <c r="D321" s="21"/>
      <c r="E321" s="136"/>
      <c r="F321" s="136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</row>
    <row r="322">
      <c r="A322" s="21"/>
      <c r="B322" s="21"/>
      <c r="C322" s="21"/>
      <c r="D322" s="21"/>
      <c r="E322" s="136"/>
      <c r="F322" s="136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</row>
    <row r="323">
      <c r="A323" s="21"/>
      <c r="B323" s="21"/>
      <c r="C323" s="21"/>
      <c r="D323" s="21"/>
      <c r="E323" s="136"/>
      <c r="F323" s="136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</row>
    <row r="324">
      <c r="A324" s="21"/>
      <c r="B324" s="21"/>
      <c r="C324" s="21"/>
      <c r="D324" s="21"/>
      <c r="E324" s="136"/>
      <c r="F324" s="136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</row>
    <row r="325">
      <c r="A325" s="21"/>
      <c r="B325" s="21"/>
      <c r="C325" s="21"/>
      <c r="D325" s="21"/>
      <c r="E325" s="136"/>
      <c r="F325" s="136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</row>
    <row r="326">
      <c r="A326" s="21"/>
      <c r="B326" s="21"/>
      <c r="C326" s="21"/>
      <c r="D326" s="21"/>
      <c r="E326" s="136"/>
      <c r="F326" s="136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</row>
    <row r="327">
      <c r="A327" s="21"/>
      <c r="B327" s="21"/>
      <c r="C327" s="21"/>
      <c r="D327" s="21"/>
      <c r="E327" s="136"/>
      <c r="F327" s="136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</row>
    <row r="328">
      <c r="A328" s="21"/>
      <c r="B328" s="21"/>
      <c r="C328" s="21"/>
      <c r="D328" s="21"/>
      <c r="E328" s="136"/>
      <c r="F328" s="136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</row>
    <row r="329">
      <c r="A329" s="21"/>
      <c r="B329" s="21"/>
      <c r="C329" s="21"/>
      <c r="D329" s="21"/>
      <c r="E329" s="136"/>
      <c r="F329" s="136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</row>
    <row r="330">
      <c r="A330" s="21"/>
      <c r="B330" s="21"/>
      <c r="C330" s="21"/>
      <c r="D330" s="21"/>
      <c r="E330" s="136"/>
      <c r="F330" s="136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</row>
    <row r="331">
      <c r="A331" s="21"/>
      <c r="B331" s="21"/>
      <c r="C331" s="21"/>
      <c r="D331" s="21"/>
      <c r="E331" s="136"/>
      <c r="F331" s="136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</row>
    <row r="332">
      <c r="A332" s="21"/>
      <c r="B332" s="21"/>
      <c r="C332" s="21"/>
      <c r="D332" s="21"/>
      <c r="E332" s="136"/>
      <c r="F332" s="136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</row>
    <row r="333">
      <c r="A333" s="21"/>
      <c r="B333" s="21"/>
      <c r="C333" s="21"/>
      <c r="D333" s="21"/>
      <c r="E333" s="136"/>
      <c r="F333" s="136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</row>
    <row r="334">
      <c r="A334" s="21"/>
      <c r="B334" s="21"/>
      <c r="C334" s="21"/>
      <c r="D334" s="21"/>
      <c r="E334" s="136"/>
      <c r="F334" s="136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</row>
    <row r="335">
      <c r="A335" s="21"/>
      <c r="B335" s="21"/>
      <c r="C335" s="21"/>
      <c r="D335" s="21"/>
      <c r="E335" s="136"/>
      <c r="F335" s="136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</row>
    <row r="336">
      <c r="A336" s="21"/>
      <c r="B336" s="21"/>
      <c r="C336" s="21"/>
      <c r="D336" s="21"/>
      <c r="E336" s="136"/>
      <c r="F336" s="136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</row>
    <row r="337">
      <c r="A337" s="21"/>
      <c r="B337" s="21"/>
      <c r="C337" s="21"/>
      <c r="D337" s="21"/>
      <c r="E337" s="136"/>
      <c r="F337" s="136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</row>
    <row r="338">
      <c r="A338" s="21"/>
      <c r="B338" s="21"/>
      <c r="C338" s="21"/>
      <c r="D338" s="21"/>
      <c r="E338" s="136"/>
      <c r="F338" s="136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</row>
    <row r="339">
      <c r="A339" s="21"/>
      <c r="B339" s="21"/>
      <c r="C339" s="21"/>
      <c r="D339" s="21"/>
      <c r="E339" s="136"/>
      <c r="F339" s="136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</row>
    <row r="340">
      <c r="A340" s="21"/>
      <c r="B340" s="21"/>
      <c r="C340" s="21"/>
      <c r="D340" s="21"/>
      <c r="E340" s="136"/>
      <c r="F340" s="136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</row>
    <row r="341">
      <c r="A341" s="21"/>
      <c r="B341" s="21"/>
      <c r="C341" s="21"/>
      <c r="D341" s="21"/>
      <c r="E341" s="136"/>
      <c r="F341" s="136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</row>
    <row r="342">
      <c r="A342" s="21"/>
      <c r="B342" s="21"/>
      <c r="C342" s="21"/>
      <c r="D342" s="21"/>
      <c r="E342" s="136"/>
      <c r="F342" s="136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</row>
    <row r="343">
      <c r="A343" s="21"/>
      <c r="B343" s="21"/>
      <c r="C343" s="21"/>
      <c r="D343" s="21"/>
      <c r="E343" s="136"/>
      <c r="F343" s="136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</row>
    <row r="344">
      <c r="A344" s="21"/>
      <c r="B344" s="21"/>
      <c r="C344" s="21"/>
      <c r="D344" s="21"/>
      <c r="E344" s="136"/>
      <c r="F344" s="136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</row>
    <row r="345">
      <c r="A345" s="21"/>
      <c r="B345" s="21"/>
      <c r="C345" s="21"/>
      <c r="D345" s="21"/>
      <c r="E345" s="136"/>
      <c r="F345" s="136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</row>
    <row r="346">
      <c r="A346" s="21"/>
      <c r="B346" s="21"/>
      <c r="C346" s="21"/>
      <c r="D346" s="21"/>
      <c r="E346" s="136"/>
      <c r="F346" s="136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</row>
    <row r="347">
      <c r="A347" s="21"/>
      <c r="B347" s="21"/>
      <c r="C347" s="21"/>
      <c r="D347" s="21"/>
      <c r="E347" s="136"/>
      <c r="F347" s="136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</row>
    <row r="348">
      <c r="A348" s="21"/>
      <c r="B348" s="21"/>
      <c r="C348" s="21"/>
      <c r="D348" s="21"/>
      <c r="E348" s="136"/>
      <c r="F348" s="136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</row>
    <row r="349">
      <c r="A349" s="21"/>
      <c r="B349" s="21"/>
      <c r="C349" s="21"/>
      <c r="D349" s="21"/>
      <c r="E349" s="136"/>
      <c r="F349" s="136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</row>
    <row r="350">
      <c r="A350" s="21"/>
      <c r="B350" s="21"/>
      <c r="C350" s="21"/>
      <c r="D350" s="21"/>
      <c r="E350" s="136"/>
      <c r="F350" s="136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</row>
    <row r="351">
      <c r="A351" s="21"/>
      <c r="B351" s="21"/>
      <c r="C351" s="21"/>
      <c r="D351" s="21"/>
      <c r="E351" s="136"/>
      <c r="F351" s="136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</row>
    <row r="352">
      <c r="A352" s="21"/>
      <c r="B352" s="21"/>
      <c r="C352" s="21"/>
      <c r="D352" s="21"/>
      <c r="E352" s="136"/>
      <c r="F352" s="136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</row>
    <row r="353">
      <c r="A353" s="21"/>
      <c r="B353" s="21"/>
      <c r="C353" s="21"/>
      <c r="D353" s="21"/>
      <c r="E353" s="136"/>
      <c r="F353" s="136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</row>
    <row r="354">
      <c r="A354" s="21"/>
      <c r="B354" s="21"/>
      <c r="C354" s="21"/>
      <c r="D354" s="21"/>
      <c r="E354" s="136"/>
      <c r="F354" s="136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</row>
    <row r="355">
      <c r="A355" s="21"/>
      <c r="B355" s="21"/>
      <c r="C355" s="21"/>
      <c r="D355" s="21"/>
      <c r="E355" s="136"/>
      <c r="F355" s="136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</row>
    <row r="356">
      <c r="A356" s="21"/>
      <c r="B356" s="21"/>
      <c r="C356" s="21"/>
      <c r="D356" s="21"/>
      <c r="E356" s="136"/>
      <c r="F356" s="136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</row>
    <row r="357">
      <c r="A357" s="21"/>
      <c r="B357" s="21"/>
      <c r="C357" s="21"/>
      <c r="D357" s="21"/>
      <c r="E357" s="136"/>
      <c r="F357" s="136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</row>
    <row r="358">
      <c r="A358" s="21"/>
      <c r="B358" s="21"/>
      <c r="C358" s="21"/>
      <c r="D358" s="21"/>
      <c r="E358" s="136"/>
      <c r="F358" s="136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</row>
    <row r="359">
      <c r="A359" s="21"/>
      <c r="B359" s="21"/>
      <c r="C359" s="21"/>
      <c r="D359" s="21"/>
      <c r="E359" s="136"/>
      <c r="F359" s="136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</row>
    <row r="360">
      <c r="A360" s="21"/>
      <c r="B360" s="21"/>
      <c r="C360" s="21"/>
      <c r="D360" s="21"/>
      <c r="E360" s="136"/>
      <c r="F360" s="136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</row>
    <row r="361">
      <c r="A361" s="21"/>
      <c r="B361" s="21"/>
      <c r="C361" s="21"/>
      <c r="D361" s="21"/>
      <c r="E361" s="136"/>
      <c r="F361" s="136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</row>
    <row r="362">
      <c r="A362" s="21"/>
      <c r="B362" s="21"/>
      <c r="C362" s="21"/>
      <c r="D362" s="21"/>
      <c r="E362" s="136"/>
      <c r="F362" s="136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</row>
    <row r="363">
      <c r="A363" s="21"/>
      <c r="B363" s="21"/>
      <c r="C363" s="21"/>
      <c r="D363" s="21"/>
      <c r="E363" s="136"/>
      <c r="F363" s="136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</row>
    <row r="364">
      <c r="A364" s="21"/>
      <c r="B364" s="21"/>
      <c r="C364" s="21"/>
      <c r="D364" s="21"/>
      <c r="E364" s="136"/>
      <c r="F364" s="136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</row>
    <row r="365">
      <c r="A365" s="21"/>
      <c r="B365" s="21"/>
      <c r="C365" s="21"/>
      <c r="D365" s="21"/>
      <c r="E365" s="136"/>
      <c r="F365" s="136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</row>
    <row r="366">
      <c r="A366" s="21"/>
      <c r="B366" s="21"/>
      <c r="C366" s="21"/>
      <c r="D366" s="21"/>
      <c r="E366" s="136"/>
      <c r="F366" s="136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</row>
    <row r="367">
      <c r="A367" s="21"/>
      <c r="B367" s="21"/>
      <c r="C367" s="21"/>
      <c r="D367" s="21"/>
      <c r="E367" s="136"/>
      <c r="F367" s="136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</row>
    <row r="368">
      <c r="A368" s="21"/>
      <c r="B368" s="21"/>
      <c r="C368" s="21"/>
      <c r="D368" s="21"/>
      <c r="E368" s="136"/>
      <c r="F368" s="136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</row>
    <row r="369">
      <c r="A369" s="21"/>
      <c r="B369" s="21"/>
      <c r="C369" s="21"/>
      <c r="D369" s="21"/>
      <c r="E369" s="136"/>
      <c r="F369" s="136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</row>
    <row r="370">
      <c r="A370" s="21"/>
      <c r="B370" s="21"/>
      <c r="C370" s="21"/>
      <c r="D370" s="21"/>
      <c r="E370" s="136"/>
      <c r="F370" s="136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</row>
    <row r="371">
      <c r="A371" s="21"/>
      <c r="B371" s="21"/>
      <c r="C371" s="21"/>
      <c r="D371" s="21"/>
      <c r="E371" s="136"/>
      <c r="F371" s="136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</row>
    <row r="372">
      <c r="A372" s="21"/>
      <c r="B372" s="21"/>
      <c r="C372" s="21"/>
      <c r="D372" s="21"/>
      <c r="E372" s="136"/>
      <c r="F372" s="136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</row>
    <row r="373">
      <c r="A373" s="21"/>
      <c r="B373" s="21"/>
      <c r="C373" s="21"/>
      <c r="D373" s="21"/>
      <c r="E373" s="136"/>
      <c r="F373" s="136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</row>
    <row r="374">
      <c r="A374" s="21"/>
      <c r="B374" s="21"/>
      <c r="C374" s="21"/>
      <c r="D374" s="21"/>
      <c r="E374" s="136"/>
      <c r="F374" s="136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</row>
    <row r="375">
      <c r="A375" s="21"/>
      <c r="B375" s="21"/>
      <c r="C375" s="21"/>
      <c r="D375" s="21"/>
      <c r="E375" s="136"/>
      <c r="F375" s="136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</row>
    <row r="376">
      <c r="A376" s="21"/>
      <c r="B376" s="21"/>
      <c r="C376" s="21"/>
      <c r="D376" s="21"/>
      <c r="E376" s="136"/>
      <c r="F376" s="136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</row>
    <row r="377">
      <c r="A377" s="21"/>
      <c r="B377" s="21"/>
      <c r="C377" s="21"/>
      <c r="D377" s="21"/>
      <c r="E377" s="136"/>
      <c r="F377" s="136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</row>
    <row r="378">
      <c r="A378" s="21"/>
      <c r="B378" s="21"/>
      <c r="C378" s="21"/>
      <c r="D378" s="21"/>
      <c r="E378" s="136"/>
      <c r="F378" s="136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</row>
    <row r="379">
      <c r="A379" s="21"/>
      <c r="B379" s="21"/>
      <c r="C379" s="21"/>
      <c r="D379" s="21"/>
      <c r="E379" s="136"/>
      <c r="F379" s="136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</row>
    <row r="380">
      <c r="A380" s="21"/>
      <c r="B380" s="21"/>
      <c r="C380" s="21"/>
      <c r="D380" s="21"/>
      <c r="E380" s="136"/>
      <c r="F380" s="136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</row>
    <row r="381">
      <c r="A381" s="21"/>
      <c r="B381" s="21"/>
      <c r="C381" s="21"/>
      <c r="D381" s="21"/>
      <c r="E381" s="136"/>
      <c r="F381" s="136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</row>
    <row r="382">
      <c r="A382" s="21"/>
      <c r="B382" s="21"/>
      <c r="C382" s="21"/>
      <c r="D382" s="21"/>
      <c r="E382" s="136"/>
      <c r="F382" s="136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</row>
    <row r="383">
      <c r="A383" s="21"/>
      <c r="B383" s="21"/>
      <c r="C383" s="21"/>
      <c r="D383" s="21"/>
      <c r="E383" s="136"/>
      <c r="F383" s="136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</row>
    <row r="384">
      <c r="A384" s="21"/>
      <c r="B384" s="21"/>
      <c r="C384" s="21"/>
      <c r="D384" s="21"/>
      <c r="E384" s="136"/>
      <c r="F384" s="136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</row>
    <row r="385">
      <c r="A385" s="21"/>
      <c r="B385" s="21"/>
      <c r="C385" s="21"/>
      <c r="D385" s="21"/>
      <c r="E385" s="136"/>
      <c r="F385" s="136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</row>
    <row r="386">
      <c r="A386" s="21"/>
      <c r="B386" s="21"/>
      <c r="C386" s="21"/>
      <c r="D386" s="21"/>
      <c r="E386" s="136"/>
      <c r="F386" s="136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</row>
    <row r="387">
      <c r="A387" s="21"/>
      <c r="B387" s="21"/>
      <c r="C387" s="21"/>
      <c r="D387" s="21"/>
      <c r="E387" s="136"/>
      <c r="F387" s="136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</row>
    <row r="388">
      <c r="A388" s="21"/>
      <c r="B388" s="21"/>
      <c r="C388" s="21"/>
      <c r="D388" s="21"/>
      <c r="E388" s="136"/>
      <c r="F388" s="136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</row>
    <row r="389">
      <c r="A389" s="21"/>
      <c r="B389" s="21"/>
      <c r="C389" s="21"/>
      <c r="D389" s="21"/>
      <c r="E389" s="136"/>
      <c r="F389" s="136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</row>
    <row r="390">
      <c r="A390" s="21"/>
      <c r="B390" s="21"/>
      <c r="C390" s="21"/>
      <c r="D390" s="21"/>
      <c r="E390" s="136"/>
      <c r="F390" s="136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</row>
    <row r="391">
      <c r="A391" s="21"/>
      <c r="B391" s="21"/>
      <c r="C391" s="21"/>
      <c r="D391" s="21"/>
      <c r="E391" s="136"/>
      <c r="F391" s="136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</row>
    <row r="392">
      <c r="A392" s="21"/>
      <c r="B392" s="21"/>
      <c r="C392" s="21"/>
      <c r="D392" s="21"/>
      <c r="E392" s="136"/>
      <c r="F392" s="136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</row>
    <row r="393">
      <c r="A393" s="21"/>
      <c r="B393" s="21"/>
      <c r="C393" s="21"/>
      <c r="D393" s="21"/>
      <c r="E393" s="136"/>
      <c r="F393" s="136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</row>
    <row r="394">
      <c r="A394" s="21"/>
      <c r="B394" s="21"/>
      <c r="C394" s="21"/>
      <c r="D394" s="21"/>
      <c r="E394" s="136"/>
      <c r="F394" s="136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</row>
    <row r="395">
      <c r="A395" s="21"/>
      <c r="B395" s="21"/>
      <c r="C395" s="21"/>
      <c r="D395" s="21"/>
      <c r="E395" s="136"/>
      <c r="F395" s="136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</row>
    <row r="396">
      <c r="A396" s="21"/>
      <c r="B396" s="21"/>
      <c r="C396" s="21"/>
      <c r="D396" s="21"/>
      <c r="E396" s="136"/>
      <c r="F396" s="136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</row>
    <row r="397">
      <c r="A397" s="21"/>
      <c r="B397" s="21"/>
      <c r="C397" s="21"/>
      <c r="D397" s="21"/>
      <c r="E397" s="136"/>
      <c r="F397" s="136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</row>
    <row r="398">
      <c r="A398" s="21"/>
      <c r="B398" s="21"/>
      <c r="C398" s="21"/>
      <c r="D398" s="21"/>
      <c r="E398" s="136"/>
      <c r="F398" s="136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</row>
    <row r="399">
      <c r="A399" s="21"/>
      <c r="B399" s="21"/>
      <c r="C399" s="21"/>
      <c r="D399" s="21"/>
      <c r="E399" s="136"/>
      <c r="F399" s="136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</row>
    <row r="400">
      <c r="A400" s="21"/>
      <c r="B400" s="21"/>
      <c r="C400" s="21"/>
      <c r="D400" s="21"/>
      <c r="E400" s="136"/>
      <c r="F400" s="136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</row>
    <row r="401">
      <c r="A401" s="21"/>
      <c r="B401" s="21"/>
      <c r="C401" s="21"/>
      <c r="D401" s="21"/>
      <c r="E401" s="136"/>
      <c r="F401" s="136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</row>
    <row r="402">
      <c r="A402" s="21"/>
      <c r="B402" s="21"/>
      <c r="C402" s="21"/>
      <c r="D402" s="21"/>
      <c r="E402" s="136"/>
      <c r="F402" s="136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</row>
    <row r="403">
      <c r="A403" s="21"/>
      <c r="B403" s="21"/>
      <c r="C403" s="21"/>
      <c r="D403" s="21"/>
      <c r="E403" s="136"/>
      <c r="F403" s="136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</row>
    <row r="404">
      <c r="A404" s="21"/>
      <c r="B404" s="21"/>
      <c r="C404" s="21"/>
      <c r="D404" s="21"/>
      <c r="E404" s="136"/>
      <c r="F404" s="136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</row>
    <row r="405">
      <c r="A405" s="21"/>
      <c r="B405" s="21"/>
      <c r="C405" s="21"/>
      <c r="D405" s="21"/>
      <c r="E405" s="136"/>
      <c r="F405" s="136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</row>
    <row r="406">
      <c r="A406" s="21"/>
      <c r="B406" s="21"/>
      <c r="C406" s="21"/>
      <c r="D406" s="21"/>
      <c r="E406" s="136"/>
      <c r="F406" s="136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</row>
    <row r="407">
      <c r="A407" s="21"/>
      <c r="B407" s="21"/>
      <c r="C407" s="21"/>
      <c r="D407" s="21"/>
      <c r="E407" s="136"/>
      <c r="F407" s="136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</row>
    <row r="408">
      <c r="A408" s="21"/>
      <c r="B408" s="21"/>
      <c r="C408" s="21"/>
      <c r="D408" s="21"/>
      <c r="E408" s="136"/>
      <c r="F408" s="136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</row>
    <row r="409">
      <c r="A409" s="21"/>
      <c r="B409" s="21"/>
      <c r="C409" s="21"/>
      <c r="D409" s="21"/>
      <c r="E409" s="136"/>
      <c r="F409" s="136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</row>
    <row r="410">
      <c r="A410" s="21"/>
      <c r="B410" s="21"/>
      <c r="C410" s="21"/>
      <c r="D410" s="21"/>
      <c r="E410" s="136"/>
      <c r="F410" s="136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</row>
    <row r="411">
      <c r="A411" s="21"/>
      <c r="B411" s="21"/>
      <c r="C411" s="21"/>
      <c r="D411" s="21"/>
      <c r="E411" s="136"/>
      <c r="F411" s="136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</row>
    <row r="412">
      <c r="A412" s="21"/>
      <c r="B412" s="21"/>
      <c r="C412" s="21"/>
      <c r="D412" s="21"/>
      <c r="E412" s="136"/>
      <c r="F412" s="136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</row>
    <row r="413">
      <c r="A413" s="21"/>
      <c r="B413" s="21"/>
      <c r="C413" s="21"/>
      <c r="D413" s="21"/>
      <c r="E413" s="136"/>
      <c r="F413" s="136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</row>
    <row r="414">
      <c r="A414" s="21"/>
      <c r="B414" s="21"/>
      <c r="C414" s="21"/>
      <c r="D414" s="21"/>
      <c r="E414" s="136"/>
      <c r="F414" s="136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</row>
    <row r="415">
      <c r="A415" s="21"/>
      <c r="B415" s="21"/>
      <c r="C415" s="21"/>
      <c r="D415" s="21"/>
      <c r="E415" s="136"/>
      <c r="F415" s="136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</row>
    <row r="416">
      <c r="A416" s="21"/>
      <c r="B416" s="21"/>
      <c r="C416" s="21"/>
      <c r="D416" s="21"/>
      <c r="E416" s="136"/>
      <c r="F416" s="136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</row>
    <row r="417">
      <c r="A417" s="21"/>
      <c r="B417" s="21"/>
      <c r="C417" s="21"/>
      <c r="D417" s="21"/>
      <c r="E417" s="136"/>
      <c r="F417" s="136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</row>
    <row r="418">
      <c r="A418" s="21"/>
      <c r="B418" s="21"/>
      <c r="C418" s="21"/>
      <c r="D418" s="21"/>
      <c r="E418" s="136"/>
      <c r="F418" s="136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</row>
    <row r="419">
      <c r="A419" s="21"/>
      <c r="B419" s="21"/>
      <c r="C419" s="21"/>
      <c r="D419" s="21"/>
      <c r="E419" s="136"/>
      <c r="F419" s="136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</row>
    <row r="420">
      <c r="A420" s="21"/>
      <c r="B420" s="21"/>
      <c r="C420" s="21"/>
      <c r="D420" s="21"/>
      <c r="E420" s="136"/>
      <c r="F420" s="136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</row>
    <row r="421">
      <c r="A421" s="21"/>
      <c r="B421" s="21"/>
      <c r="C421" s="21"/>
      <c r="D421" s="21"/>
      <c r="E421" s="136"/>
      <c r="F421" s="136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</row>
    <row r="422">
      <c r="A422" s="21"/>
      <c r="B422" s="21"/>
      <c r="C422" s="21"/>
      <c r="D422" s="21"/>
      <c r="E422" s="136"/>
      <c r="F422" s="136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</row>
    <row r="423">
      <c r="A423" s="21"/>
      <c r="B423" s="21"/>
      <c r="C423" s="21"/>
      <c r="D423" s="21"/>
      <c r="E423" s="136"/>
      <c r="F423" s="136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</row>
    <row r="424">
      <c r="A424" s="21"/>
      <c r="B424" s="21"/>
      <c r="C424" s="21"/>
      <c r="D424" s="21"/>
      <c r="E424" s="136"/>
      <c r="F424" s="136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</row>
    <row r="425">
      <c r="A425" s="21"/>
      <c r="B425" s="21"/>
      <c r="C425" s="21"/>
      <c r="D425" s="21"/>
      <c r="E425" s="136"/>
      <c r="F425" s="136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</row>
    <row r="426">
      <c r="A426" s="21"/>
      <c r="B426" s="21"/>
      <c r="C426" s="21"/>
      <c r="D426" s="21"/>
      <c r="E426" s="136"/>
      <c r="F426" s="136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</row>
    <row r="427">
      <c r="A427" s="21"/>
      <c r="B427" s="21"/>
      <c r="C427" s="21"/>
      <c r="D427" s="21"/>
      <c r="E427" s="136"/>
      <c r="F427" s="136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</row>
    <row r="428">
      <c r="A428" s="21"/>
      <c r="B428" s="21"/>
      <c r="C428" s="21"/>
      <c r="D428" s="21"/>
      <c r="E428" s="136"/>
      <c r="F428" s="136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</row>
    <row r="429">
      <c r="A429" s="21"/>
      <c r="B429" s="21"/>
      <c r="C429" s="21"/>
      <c r="D429" s="21"/>
      <c r="E429" s="136"/>
      <c r="F429" s="136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</row>
    <row r="430">
      <c r="A430" s="21"/>
      <c r="B430" s="21"/>
      <c r="C430" s="21"/>
      <c r="D430" s="21"/>
      <c r="E430" s="136"/>
      <c r="F430" s="136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</row>
    <row r="431">
      <c r="A431" s="21"/>
      <c r="B431" s="21"/>
      <c r="C431" s="21"/>
      <c r="D431" s="21"/>
      <c r="E431" s="136"/>
      <c r="F431" s="136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</row>
    <row r="432">
      <c r="A432" s="21"/>
      <c r="B432" s="21"/>
      <c r="C432" s="21"/>
      <c r="D432" s="21"/>
      <c r="E432" s="136"/>
      <c r="F432" s="136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</row>
    <row r="433">
      <c r="A433" s="21"/>
      <c r="B433" s="21"/>
      <c r="C433" s="21"/>
      <c r="D433" s="21"/>
      <c r="E433" s="136"/>
      <c r="F433" s="136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</row>
    <row r="434">
      <c r="A434" s="21"/>
      <c r="B434" s="21"/>
      <c r="C434" s="21"/>
      <c r="D434" s="21"/>
      <c r="E434" s="136"/>
      <c r="F434" s="136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</row>
    <row r="435">
      <c r="A435" s="21"/>
      <c r="B435" s="21"/>
      <c r="C435" s="21"/>
      <c r="D435" s="21"/>
      <c r="E435" s="136"/>
      <c r="F435" s="136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</row>
    <row r="436">
      <c r="A436" s="21"/>
      <c r="B436" s="21"/>
      <c r="C436" s="21"/>
      <c r="D436" s="21"/>
      <c r="E436" s="136"/>
      <c r="F436" s="136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</row>
    <row r="437">
      <c r="A437" s="21"/>
      <c r="B437" s="21"/>
      <c r="C437" s="21"/>
      <c r="D437" s="21"/>
      <c r="E437" s="136"/>
      <c r="F437" s="136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</row>
    <row r="438">
      <c r="A438" s="21"/>
      <c r="B438" s="21"/>
      <c r="C438" s="21"/>
      <c r="D438" s="21"/>
      <c r="E438" s="136"/>
      <c r="F438" s="136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</row>
    <row r="439">
      <c r="A439" s="21"/>
      <c r="B439" s="21"/>
      <c r="C439" s="21"/>
      <c r="D439" s="21"/>
      <c r="E439" s="136"/>
      <c r="F439" s="136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</row>
    <row r="440">
      <c r="A440" s="21"/>
      <c r="B440" s="21"/>
      <c r="C440" s="21"/>
      <c r="D440" s="21"/>
      <c r="E440" s="136"/>
      <c r="F440" s="136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</row>
    <row r="441">
      <c r="A441" s="21"/>
      <c r="B441" s="21"/>
      <c r="C441" s="21"/>
      <c r="D441" s="21"/>
      <c r="E441" s="136"/>
      <c r="F441" s="136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</row>
    <row r="442">
      <c r="A442" s="21"/>
      <c r="B442" s="21"/>
      <c r="C442" s="21"/>
      <c r="D442" s="21"/>
      <c r="E442" s="136"/>
      <c r="F442" s="136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</row>
    <row r="443">
      <c r="A443" s="21"/>
      <c r="B443" s="21"/>
      <c r="C443" s="21"/>
      <c r="D443" s="21"/>
      <c r="E443" s="136"/>
      <c r="F443" s="136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</row>
    <row r="444">
      <c r="A444" s="21"/>
      <c r="B444" s="21"/>
      <c r="C444" s="21"/>
      <c r="D444" s="21"/>
      <c r="E444" s="136"/>
      <c r="F444" s="136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</row>
    <row r="445">
      <c r="A445" s="21"/>
      <c r="B445" s="21"/>
      <c r="C445" s="21"/>
      <c r="D445" s="21"/>
      <c r="E445" s="136"/>
      <c r="F445" s="136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</row>
    <row r="446">
      <c r="A446" s="21"/>
      <c r="B446" s="21"/>
      <c r="C446" s="21"/>
      <c r="D446" s="21"/>
      <c r="E446" s="136"/>
      <c r="F446" s="136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</row>
    <row r="447">
      <c r="A447" s="21"/>
      <c r="B447" s="21"/>
      <c r="C447" s="21"/>
      <c r="D447" s="21"/>
      <c r="E447" s="136"/>
      <c r="F447" s="136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</row>
    <row r="448">
      <c r="A448" s="21"/>
      <c r="B448" s="21"/>
      <c r="C448" s="21"/>
      <c r="D448" s="21"/>
      <c r="E448" s="136"/>
      <c r="F448" s="136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</row>
    <row r="449">
      <c r="A449" s="21"/>
      <c r="B449" s="21"/>
      <c r="C449" s="21"/>
      <c r="D449" s="21"/>
      <c r="E449" s="136"/>
      <c r="F449" s="136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</row>
    <row r="450">
      <c r="A450" s="21"/>
      <c r="B450" s="21"/>
      <c r="C450" s="21"/>
      <c r="D450" s="21"/>
      <c r="E450" s="136"/>
      <c r="F450" s="136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</row>
    <row r="451">
      <c r="A451" s="21"/>
      <c r="B451" s="21"/>
      <c r="C451" s="21"/>
      <c r="D451" s="21"/>
      <c r="E451" s="136"/>
      <c r="F451" s="136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</row>
    <row r="452">
      <c r="A452" s="21"/>
      <c r="B452" s="21"/>
      <c r="C452" s="21"/>
      <c r="D452" s="21"/>
      <c r="E452" s="136"/>
      <c r="F452" s="136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</row>
    <row r="453">
      <c r="A453" s="21"/>
      <c r="B453" s="21"/>
      <c r="C453" s="21"/>
      <c r="D453" s="21"/>
      <c r="E453" s="136"/>
      <c r="F453" s="136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</row>
    <row r="454">
      <c r="A454" s="21"/>
      <c r="B454" s="21"/>
      <c r="C454" s="21"/>
      <c r="D454" s="21"/>
      <c r="E454" s="136"/>
      <c r="F454" s="136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</row>
    <row r="455">
      <c r="A455" s="21"/>
      <c r="B455" s="21"/>
      <c r="C455" s="21"/>
      <c r="D455" s="21"/>
      <c r="E455" s="136"/>
      <c r="F455" s="136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</row>
    <row r="456">
      <c r="A456" s="21"/>
      <c r="B456" s="21"/>
      <c r="C456" s="21"/>
      <c r="D456" s="21"/>
      <c r="E456" s="136"/>
      <c r="F456" s="136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</row>
    <row r="457">
      <c r="A457" s="21"/>
      <c r="B457" s="21"/>
      <c r="C457" s="21"/>
      <c r="D457" s="21"/>
      <c r="E457" s="136"/>
      <c r="F457" s="136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</row>
    <row r="458">
      <c r="A458" s="21"/>
      <c r="B458" s="21"/>
      <c r="C458" s="21"/>
      <c r="D458" s="21"/>
      <c r="E458" s="136"/>
      <c r="F458" s="136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</row>
    <row r="459">
      <c r="A459" s="21"/>
      <c r="B459" s="21"/>
      <c r="C459" s="21"/>
      <c r="D459" s="21"/>
      <c r="E459" s="136"/>
      <c r="F459" s="136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</row>
    <row r="460">
      <c r="A460" s="21"/>
      <c r="B460" s="21"/>
      <c r="C460" s="21"/>
      <c r="D460" s="21"/>
      <c r="E460" s="136"/>
      <c r="F460" s="136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</row>
    <row r="461">
      <c r="A461" s="21"/>
      <c r="B461" s="21"/>
      <c r="C461" s="21"/>
      <c r="D461" s="21"/>
      <c r="E461" s="136"/>
      <c r="F461" s="136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</row>
    <row r="462">
      <c r="A462" s="21"/>
      <c r="B462" s="21"/>
      <c r="C462" s="21"/>
      <c r="D462" s="21"/>
      <c r="E462" s="136"/>
      <c r="F462" s="136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</row>
    <row r="463">
      <c r="A463" s="21"/>
      <c r="B463" s="21"/>
      <c r="C463" s="21"/>
      <c r="D463" s="21"/>
      <c r="E463" s="136"/>
      <c r="F463" s="136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</row>
    <row r="464">
      <c r="A464" s="21"/>
      <c r="B464" s="21"/>
      <c r="C464" s="21"/>
      <c r="D464" s="21"/>
      <c r="E464" s="136"/>
      <c r="F464" s="136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</row>
    <row r="465">
      <c r="A465" s="21"/>
      <c r="B465" s="21"/>
      <c r="C465" s="21"/>
      <c r="D465" s="21"/>
      <c r="E465" s="136"/>
      <c r="F465" s="136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</row>
    <row r="466">
      <c r="A466" s="21"/>
      <c r="B466" s="21"/>
      <c r="C466" s="21"/>
      <c r="D466" s="21"/>
      <c r="E466" s="136"/>
      <c r="F466" s="136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</row>
    <row r="467">
      <c r="A467" s="21"/>
      <c r="B467" s="21"/>
      <c r="C467" s="21"/>
      <c r="D467" s="21"/>
      <c r="E467" s="136"/>
      <c r="F467" s="136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</row>
    <row r="468">
      <c r="A468" s="21"/>
      <c r="B468" s="21"/>
      <c r="C468" s="21"/>
      <c r="D468" s="21"/>
      <c r="E468" s="136"/>
      <c r="F468" s="136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</row>
    <row r="469">
      <c r="A469" s="21"/>
      <c r="B469" s="21"/>
      <c r="C469" s="21"/>
      <c r="D469" s="21"/>
      <c r="E469" s="136"/>
      <c r="F469" s="136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</row>
    <row r="470">
      <c r="A470" s="21"/>
      <c r="B470" s="21"/>
      <c r="C470" s="21"/>
      <c r="D470" s="21"/>
      <c r="E470" s="136"/>
      <c r="F470" s="136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</row>
    <row r="471">
      <c r="A471" s="21"/>
      <c r="B471" s="21"/>
      <c r="C471" s="21"/>
      <c r="D471" s="21"/>
      <c r="E471" s="136"/>
      <c r="F471" s="136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</row>
    <row r="472">
      <c r="A472" s="21"/>
      <c r="B472" s="21"/>
      <c r="C472" s="21"/>
      <c r="D472" s="21"/>
      <c r="E472" s="136"/>
      <c r="F472" s="136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</row>
    <row r="473">
      <c r="A473" s="21"/>
      <c r="B473" s="21"/>
      <c r="C473" s="21"/>
      <c r="D473" s="21"/>
      <c r="E473" s="136"/>
      <c r="F473" s="136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</row>
    <row r="474">
      <c r="A474" s="21"/>
      <c r="B474" s="21"/>
      <c r="C474" s="21"/>
      <c r="D474" s="21"/>
      <c r="E474" s="136"/>
      <c r="F474" s="136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</row>
    <row r="475">
      <c r="A475" s="21"/>
      <c r="B475" s="21"/>
      <c r="C475" s="21"/>
      <c r="D475" s="21"/>
      <c r="E475" s="136"/>
      <c r="F475" s="136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</row>
    <row r="476">
      <c r="A476" s="21"/>
      <c r="B476" s="21"/>
      <c r="C476" s="21"/>
      <c r="D476" s="21"/>
      <c r="E476" s="136"/>
      <c r="F476" s="136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</row>
    <row r="477">
      <c r="A477" s="21"/>
      <c r="B477" s="21"/>
      <c r="C477" s="21"/>
      <c r="D477" s="21"/>
      <c r="E477" s="136"/>
      <c r="F477" s="136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</row>
    <row r="478">
      <c r="A478" s="21"/>
      <c r="B478" s="21"/>
      <c r="C478" s="21"/>
      <c r="D478" s="21"/>
      <c r="E478" s="136"/>
      <c r="F478" s="136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</row>
    <row r="479">
      <c r="A479" s="21"/>
      <c r="B479" s="21"/>
      <c r="C479" s="21"/>
      <c r="D479" s="21"/>
      <c r="E479" s="136"/>
      <c r="F479" s="136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</row>
    <row r="480">
      <c r="A480" s="21"/>
      <c r="B480" s="21"/>
      <c r="C480" s="21"/>
      <c r="D480" s="21"/>
      <c r="E480" s="136"/>
      <c r="F480" s="136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</row>
    <row r="481">
      <c r="A481" s="21"/>
      <c r="B481" s="21"/>
      <c r="C481" s="21"/>
      <c r="D481" s="21"/>
      <c r="E481" s="136"/>
      <c r="F481" s="136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</row>
    <row r="482">
      <c r="A482" s="21"/>
      <c r="B482" s="21"/>
      <c r="C482" s="21"/>
      <c r="D482" s="21"/>
      <c r="E482" s="136"/>
      <c r="F482" s="136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</row>
    <row r="483">
      <c r="A483" s="21"/>
      <c r="B483" s="21"/>
      <c r="C483" s="21"/>
      <c r="D483" s="21"/>
      <c r="E483" s="136"/>
      <c r="F483" s="136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</row>
    <row r="484">
      <c r="A484" s="21"/>
      <c r="B484" s="21"/>
      <c r="C484" s="21"/>
      <c r="D484" s="21"/>
      <c r="E484" s="136"/>
      <c r="F484" s="136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</row>
    <row r="485">
      <c r="A485" s="21"/>
      <c r="B485" s="21"/>
      <c r="C485" s="21"/>
      <c r="D485" s="21"/>
      <c r="E485" s="136"/>
      <c r="F485" s="136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</row>
    <row r="486">
      <c r="A486" s="21"/>
      <c r="B486" s="21"/>
      <c r="C486" s="21"/>
      <c r="D486" s="21"/>
      <c r="E486" s="136"/>
      <c r="F486" s="136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</row>
    <row r="487">
      <c r="A487" s="21"/>
      <c r="B487" s="21"/>
      <c r="C487" s="21"/>
      <c r="D487" s="21"/>
      <c r="E487" s="136"/>
      <c r="F487" s="136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</row>
    <row r="488">
      <c r="A488" s="21"/>
      <c r="B488" s="21"/>
      <c r="C488" s="21"/>
      <c r="D488" s="21"/>
      <c r="E488" s="136"/>
      <c r="F488" s="136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</row>
    <row r="489">
      <c r="A489" s="21"/>
      <c r="B489" s="21"/>
      <c r="C489" s="21"/>
      <c r="D489" s="21"/>
      <c r="E489" s="136"/>
      <c r="F489" s="136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</row>
    <row r="490">
      <c r="A490" s="21"/>
      <c r="B490" s="21"/>
      <c r="C490" s="21"/>
      <c r="D490" s="21"/>
      <c r="E490" s="136"/>
      <c r="F490" s="136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</row>
    <row r="491">
      <c r="A491" s="21"/>
      <c r="B491" s="21"/>
      <c r="C491" s="21"/>
      <c r="D491" s="21"/>
      <c r="E491" s="136"/>
      <c r="F491" s="136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</row>
    <row r="492">
      <c r="A492" s="21"/>
      <c r="B492" s="21"/>
      <c r="C492" s="21"/>
      <c r="D492" s="21"/>
      <c r="E492" s="136"/>
      <c r="F492" s="136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</row>
    <row r="493">
      <c r="A493" s="21"/>
      <c r="B493" s="21"/>
      <c r="C493" s="21"/>
      <c r="D493" s="21"/>
      <c r="E493" s="136"/>
      <c r="F493" s="136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</row>
    <row r="494">
      <c r="A494" s="21"/>
      <c r="B494" s="21"/>
      <c r="C494" s="21"/>
      <c r="D494" s="21"/>
      <c r="E494" s="136"/>
      <c r="F494" s="136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</row>
    <row r="495">
      <c r="A495" s="21"/>
      <c r="B495" s="21"/>
      <c r="C495" s="21"/>
      <c r="D495" s="21"/>
      <c r="E495" s="136"/>
      <c r="F495" s="136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</row>
    <row r="496">
      <c r="A496" s="21"/>
      <c r="B496" s="21"/>
      <c r="C496" s="21"/>
      <c r="D496" s="21"/>
      <c r="E496" s="136"/>
      <c r="F496" s="136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</row>
    <row r="497">
      <c r="A497" s="21"/>
      <c r="B497" s="21"/>
      <c r="C497" s="21"/>
      <c r="D497" s="21"/>
      <c r="E497" s="136"/>
      <c r="F497" s="136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</row>
    <row r="498">
      <c r="A498" s="21"/>
      <c r="B498" s="21"/>
      <c r="C498" s="21"/>
      <c r="D498" s="21"/>
      <c r="E498" s="136"/>
      <c r="F498" s="136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</row>
    <row r="499">
      <c r="A499" s="21"/>
      <c r="B499" s="21"/>
      <c r="C499" s="21"/>
      <c r="D499" s="21"/>
      <c r="E499" s="136"/>
      <c r="F499" s="136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</row>
    <row r="500">
      <c r="A500" s="21"/>
      <c r="B500" s="21"/>
      <c r="C500" s="21"/>
      <c r="D500" s="21"/>
      <c r="E500" s="136"/>
      <c r="F500" s="136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</row>
    <row r="501">
      <c r="A501" s="21"/>
      <c r="B501" s="21"/>
      <c r="C501" s="21"/>
      <c r="D501" s="21"/>
      <c r="E501" s="136"/>
      <c r="F501" s="136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</row>
    <row r="502">
      <c r="A502" s="21"/>
      <c r="B502" s="21"/>
      <c r="C502" s="21"/>
      <c r="D502" s="21"/>
      <c r="E502" s="136"/>
      <c r="F502" s="136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</row>
    <row r="503">
      <c r="A503" s="21"/>
      <c r="B503" s="21"/>
      <c r="C503" s="21"/>
      <c r="D503" s="21"/>
      <c r="E503" s="136"/>
      <c r="F503" s="136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</row>
    <row r="504">
      <c r="A504" s="21"/>
      <c r="B504" s="21"/>
      <c r="C504" s="21"/>
      <c r="D504" s="21"/>
      <c r="E504" s="136"/>
      <c r="F504" s="136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</row>
    <row r="505">
      <c r="A505" s="21"/>
      <c r="B505" s="21"/>
      <c r="C505" s="21"/>
      <c r="D505" s="21"/>
      <c r="E505" s="136"/>
      <c r="F505" s="136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</row>
    <row r="506">
      <c r="A506" s="21"/>
      <c r="B506" s="21"/>
      <c r="C506" s="21"/>
      <c r="D506" s="21"/>
      <c r="E506" s="136"/>
      <c r="F506" s="136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</row>
    <row r="507">
      <c r="A507" s="21"/>
      <c r="B507" s="21"/>
      <c r="C507" s="21"/>
      <c r="D507" s="21"/>
      <c r="E507" s="136"/>
      <c r="F507" s="136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</row>
    <row r="508">
      <c r="A508" s="21"/>
      <c r="B508" s="21"/>
      <c r="C508" s="21"/>
      <c r="D508" s="21"/>
      <c r="E508" s="136"/>
      <c r="F508" s="136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</row>
    <row r="509">
      <c r="A509" s="21"/>
      <c r="B509" s="21"/>
      <c r="C509" s="21"/>
      <c r="D509" s="21"/>
      <c r="E509" s="136"/>
      <c r="F509" s="136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</row>
    <row r="510">
      <c r="A510" s="21"/>
      <c r="B510" s="21"/>
      <c r="C510" s="21"/>
      <c r="D510" s="21"/>
      <c r="E510" s="136"/>
      <c r="F510" s="136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</row>
    <row r="511">
      <c r="A511" s="21"/>
      <c r="B511" s="21"/>
      <c r="C511" s="21"/>
      <c r="D511" s="21"/>
      <c r="E511" s="136"/>
      <c r="F511" s="136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</row>
    <row r="512">
      <c r="A512" s="21"/>
      <c r="B512" s="21"/>
      <c r="C512" s="21"/>
      <c r="D512" s="21"/>
      <c r="E512" s="136"/>
      <c r="F512" s="136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</row>
    <row r="513">
      <c r="A513" s="21"/>
      <c r="B513" s="21"/>
      <c r="C513" s="21"/>
      <c r="D513" s="21"/>
      <c r="E513" s="136"/>
      <c r="F513" s="136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</row>
    <row r="514">
      <c r="A514" s="21"/>
      <c r="B514" s="21"/>
      <c r="C514" s="21"/>
      <c r="D514" s="21"/>
      <c r="E514" s="136"/>
      <c r="F514" s="136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</row>
    <row r="515">
      <c r="A515" s="21"/>
      <c r="B515" s="21"/>
      <c r="C515" s="21"/>
      <c r="D515" s="21"/>
      <c r="E515" s="136"/>
      <c r="F515" s="136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</row>
    <row r="516">
      <c r="A516" s="21"/>
      <c r="B516" s="21"/>
      <c r="C516" s="21"/>
      <c r="D516" s="21"/>
      <c r="E516" s="136"/>
      <c r="F516" s="136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</row>
    <row r="517">
      <c r="A517" s="21"/>
      <c r="B517" s="21"/>
      <c r="C517" s="21"/>
      <c r="D517" s="21"/>
      <c r="E517" s="136"/>
      <c r="F517" s="136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</row>
    <row r="518">
      <c r="A518" s="21"/>
      <c r="B518" s="21"/>
      <c r="C518" s="21"/>
      <c r="D518" s="21"/>
      <c r="E518" s="136"/>
      <c r="F518" s="136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</row>
    <row r="519">
      <c r="A519" s="21"/>
      <c r="B519" s="21"/>
      <c r="C519" s="21"/>
      <c r="D519" s="21"/>
      <c r="E519" s="136"/>
      <c r="F519" s="136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</row>
    <row r="520">
      <c r="A520" s="21"/>
      <c r="B520" s="21"/>
      <c r="C520" s="21"/>
      <c r="D520" s="21"/>
      <c r="E520" s="136"/>
      <c r="F520" s="136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</row>
    <row r="521">
      <c r="A521" s="21"/>
      <c r="B521" s="21"/>
      <c r="C521" s="21"/>
      <c r="D521" s="21"/>
      <c r="E521" s="136"/>
      <c r="F521" s="136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</row>
    <row r="522">
      <c r="A522" s="21"/>
      <c r="B522" s="21"/>
      <c r="C522" s="21"/>
      <c r="D522" s="21"/>
      <c r="E522" s="136"/>
      <c r="F522" s="136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</row>
    <row r="523">
      <c r="A523" s="21"/>
      <c r="B523" s="21"/>
      <c r="C523" s="21"/>
      <c r="D523" s="21"/>
      <c r="E523" s="136"/>
      <c r="F523" s="136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</row>
    <row r="524">
      <c r="A524" s="21"/>
      <c r="B524" s="21"/>
      <c r="C524" s="21"/>
      <c r="D524" s="21"/>
      <c r="E524" s="136"/>
      <c r="F524" s="136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</row>
    <row r="525">
      <c r="A525" s="21"/>
      <c r="B525" s="21"/>
      <c r="C525" s="21"/>
      <c r="D525" s="21"/>
      <c r="E525" s="136"/>
      <c r="F525" s="136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</row>
    <row r="526">
      <c r="A526" s="21"/>
      <c r="B526" s="21"/>
      <c r="C526" s="21"/>
      <c r="D526" s="21"/>
      <c r="E526" s="136"/>
      <c r="F526" s="136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</row>
    <row r="527">
      <c r="A527" s="21"/>
      <c r="B527" s="21"/>
      <c r="C527" s="21"/>
      <c r="D527" s="21"/>
      <c r="E527" s="136"/>
      <c r="F527" s="136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</row>
    <row r="528">
      <c r="A528" s="21"/>
      <c r="B528" s="21"/>
      <c r="C528" s="21"/>
      <c r="D528" s="21"/>
      <c r="E528" s="136"/>
      <c r="F528" s="136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</row>
    <row r="529">
      <c r="A529" s="21"/>
      <c r="B529" s="21"/>
      <c r="C529" s="21"/>
      <c r="D529" s="21"/>
      <c r="E529" s="136"/>
      <c r="F529" s="136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</row>
    <row r="530">
      <c r="A530" s="21"/>
      <c r="B530" s="21"/>
      <c r="C530" s="21"/>
      <c r="D530" s="21"/>
      <c r="E530" s="136"/>
      <c r="F530" s="136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</row>
    <row r="531">
      <c r="A531" s="21"/>
      <c r="B531" s="21"/>
      <c r="C531" s="21"/>
      <c r="D531" s="21"/>
      <c r="E531" s="136"/>
      <c r="F531" s="136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</row>
    <row r="532">
      <c r="A532" s="21"/>
      <c r="B532" s="21"/>
      <c r="C532" s="21"/>
      <c r="D532" s="21"/>
      <c r="E532" s="136"/>
      <c r="F532" s="136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</row>
    <row r="533">
      <c r="A533" s="21"/>
      <c r="B533" s="21"/>
      <c r="C533" s="21"/>
      <c r="D533" s="21"/>
      <c r="E533" s="136"/>
      <c r="F533" s="136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</row>
    <row r="534">
      <c r="A534" s="21"/>
      <c r="B534" s="21"/>
      <c r="C534" s="21"/>
      <c r="D534" s="21"/>
      <c r="E534" s="136"/>
      <c r="F534" s="136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</row>
    <row r="535">
      <c r="A535" s="21"/>
      <c r="B535" s="21"/>
      <c r="C535" s="21"/>
      <c r="D535" s="21"/>
      <c r="E535" s="136"/>
      <c r="F535" s="136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</row>
    <row r="536">
      <c r="A536" s="21"/>
      <c r="B536" s="21"/>
      <c r="C536" s="21"/>
      <c r="D536" s="21"/>
      <c r="E536" s="136"/>
      <c r="F536" s="136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</row>
    <row r="537">
      <c r="A537" s="21"/>
      <c r="B537" s="21"/>
      <c r="C537" s="21"/>
      <c r="D537" s="21"/>
      <c r="E537" s="136"/>
      <c r="F537" s="136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</row>
    <row r="538">
      <c r="A538" s="21"/>
      <c r="B538" s="21"/>
      <c r="C538" s="21"/>
      <c r="D538" s="21"/>
      <c r="E538" s="136"/>
      <c r="F538" s="136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</row>
    <row r="539">
      <c r="A539" s="21"/>
      <c r="B539" s="21"/>
      <c r="C539" s="21"/>
      <c r="D539" s="21"/>
      <c r="E539" s="136"/>
      <c r="F539" s="136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</row>
    <row r="540">
      <c r="A540" s="21"/>
      <c r="B540" s="21"/>
      <c r="C540" s="21"/>
      <c r="D540" s="21"/>
      <c r="E540" s="136"/>
      <c r="F540" s="136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</row>
    <row r="541">
      <c r="A541" s="21"/>
      <c r="B541" s="21"/>
      <c r="C541" s="21"/>
      <c r="D541" s="21"/>
      <c r="E541" s="136"/>
      <c r="F541" s="136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</row>
    <row r="542">
      <c r="A542" s="21"/>
      <c r="B542" s="21"/>
      <c r="C542" s="21"/>
      <c r="D542" s="21"/>
      <c r="E542" s="136"/>
      <c r="F542" s="136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</row>
    <row r="543">
      <c r="A543" s="21"/>
      <c r="B543" s="21"/>
      <c r="C543" s="21"/>
      <c r="D543" s="21"/>
      <c r="E543" s="136"/>
      <c r="F543" s="136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</row>
    <row r="544">
      <c r="A544" s="21"/>
      <c r="B544" s="21"/>
      <c r="C544" s="21"/>
      <c r="D544" s="21"/>
      <c r="E544" s="136"/>
      <c r="F544" s="136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</row>
    <row r="545">
      <c r="A545" s="21"/>
      <c r="B545" s="21"/>
      <c r="C545" s="21"/>
      <c r="D545" s="21"/>
      <c r="E545" s="136"/>
      <c r="F545" s="136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</row>
    <row r="546">
      <c r="A546" s="21"/>
      <c r="B546" s="21"/>
      <c r="C546" s="21"/>
      <c r="D546" s="21"/>
      <c r="E546" s="136"/>
      <c r="F546" s="136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</row>
    <row r="547">
      <c r="A547" s="21"/>
      <c r="B547" s="21"/>
      <c r="C547" s="21"/>
      <c r="D547" s="21"/>
      <c r="E547" s="136"/>
      <c r="F547" s="136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</row>
    <row r="548">
      <c r="A548" s="21"/>
      <c r="B548" s="21"/>
      <c r="C548" s="21"/>
      <c r="D548" s="21"/>
      <c r="E548" s="136"/>
      <c r="F548" s="136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</row>
    <row r="549">
      <c r="A549" s="21"/>
      <c r="B549" s="21"/>
      <c r="C549" s="21"/>
      <c r="D549" s="21"/>
      <c r="E549" s="136"/>
      <c r="F549" s="136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</row>
    <row r="550">
      <c r="A550" s="21"/>
      <c r="B550" s="21"/>
      <c r="C550" s="21"/>
      <c r="D550" s="21"/>
      <c r="E550" s="136"/>
      <c r="F550" s="136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</row>
    <row r="551">
      <c r="A551" s="21"/>
      <c r="B551" s="21"/>
      <c r="C551" s="21"/>
      <c r="D551" s="21"/>
      <c r="E551" s="136"/>
      <c r="F551" s="136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</row>
    <row r="552">
      <c r="A552" s="21"/>
      <c r="B552" s="21"/>
      <c r="C552" s="21"/>
      <c r="D552" s="21"/>
      <c r="E552" s="136"/>
      <c r="F552" s="136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</row>
    <row r="553">
      <c r="A553" s="21"/>
      <c r="B553" s="21"/>
      <c r="C553" s="21"/>
      <c r="D553" s="21"/>
      <c r="E553" s="136"/>
      <c r="F553" s="136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</row>
    <row r="554">
      <c r="A554" s="21"/>
      <c r="B554" s="21"/>
      <c r="C554" s="21"/>
      <c r="D554" s="21"/>
      <c r="E554" s="136"/>
      <c r="F554" s="136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</row>
    <row r="555">
      <c r="A555" s="21"/>
      <c r="B555" s="21"/>
      <c r="C555" s="21"/>
      <c r="D555" s="21"/>
      <c r="E555" s="136"/>
      <c r="F555" s="136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</row>
    <row r="556">
      <c r="A556" s="21"/>
      <c r="B556" s="21"/>
      <c r="C556" s="21"/>
      <c r="D556" s="21"/>
      <c r="E556" s="136"/>
      <c r="F556" s="136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</row>
    <row r="557">
      <c r="A557" s="21"/>
      <c r="B557" s="21"/>
      <c r="C557" s="21"/>
      <c r="D557" s="21"/>
      <c r="E557" s="136"/>
      <c r="F557" s="136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</row>
    <row r="558">
      <c r="A558" s="21"/>
      <c r="B558" s="21"/>
      <c r="C558" s="21"/>
      <c r="D558" s="21"/>
      <c r="E558" s="136"/>
      <c r="F558" s="136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</row>
    <row r="559">
      <c r="A559" s="21"/>
      <c r="B559" s="21"/>
      <c r="C559" s="21"/>
      <c r="D559" s="21"/>
      <c r="E559" s="136"/>
      <c r="F559" s="136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</row>
    <row r="560">
      <c r="A560" s="21"/>
      <c r="B560" s="21"/>
      <c r="C560" s="21"/>
      <c r="D560" s="21"/>
      <c r="E560" s="136"/>
      <c r="F560" s="136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</row>
    <row r="561">
      <c r="A561" s="21"/>
      <c r="B561" s="21"/>
      <c r="C561" s="21"/>
      <c r="D561" s="21"/>
      <c r="E561" s="136"/>
      <c r="F561" s="136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</row>
    <row r="562">
      <c r="A562" s="21"/>
      <c r="B562" s="21"/>
      <c r="C562" s="21"/>
      <c r="D562" s="21"/>
      <c r="E562" s="136"/>
      <c r="F562" s="136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</row>
    <row r="563">
      <c r="A563" s="21"/>
      <c r="B563" s="21"/>
      <c r="C563" s="21"/>
      <c r="D563" s="21"/>
      <c r="E563" s="136"/>
      <c r="F563" s="136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</row>
    <row r="564">
      <c r="A564" s="21"/>
      <c r="B564" s="21"/>
      <c r="C564" s="21"/>
      <c r="D564" s="21"/>
      <c r="E564" s="136"/>
      <c r="F564" s="136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</row>
    <row r="565">
      <c r="A565" s="21"/>
      <c r="B565" s="21"/>
      <c r="C565" s="21"/>
      <c r="D565" s="21"/>
      <c r="E565" s="136"/>
      <c r="F565" s="136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</row>
    <row r="566">
      <c r="A566" s="21"/>
      <c r="B566" s="21"/>
      <c r="C566" s="21"/>
      <c r="D566" s="21"/>
      <c r="E566" s="136"/>
      <c r="F566" s="136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</row>
    <row r="567">
      <c r="A567" s="21"/>
      <c r="B567" s="21"/>
      <c r="C567" s="21"/>
      <c r="D567" s="21"/>
      <c r="E567" s="136"/>
      <c r="F567" s="136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</row>
    <row r="568">
      <c r="A568" s="21"/>
      <c r="B568" s="21"/>
      <c r="C568" s="21"/>
      <c r="D568" s="21"/>
      <c r="E568" s="136"/>
      <c r="F568" s="136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</row>
    <row r="569">
      <c r="A569" s="21"/>
      <c r="B569" s="21"/>
      <c r="C569" s="21"/>
      <c r="D569" s="21"/>
      <c r="E569" s="136"/>
      <c r="F569" s="136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</row>
    <row r="570">
      <c r="A570" s="21"/>
      <c r="B570" s="21"/>
      <c r="C570" s="21"/>
      <c r="D570" s="21"/>
      <c r="E570" s="136"/>
      <c r="F570" s="136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</row>
    <row r="571">
      <c r="A571" s="21"/>
      <c r="B571" s="21"/>
      <c r="C571" s="21"/>
      <c r="D571" s="21"/>
      <c r="E571" s="136"/>
      <c r="F571" s="136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</row>
    <row r="572">
      <c r="A572" s="21"/>
      <c r="B572" s="21"/>
      <c r="C572" s="21"/>
      <c r="D572" s="21"/>
      <c r="E572" s="136"/>
      <c r="F572" s="136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</row>
    <row r="573">
      <c r="A573" s="21"/>
      <c r="B573" s="21"/>
      <c r="C573" s="21"/>
      <c r="D573" s="21"/>
      <c r="E573" s="136"/>
      <c r="F573" s="136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</row>
    <row r="574">
      <c r="A574" s="21"/>
      <c r="B574" s="21"/>
      <c r="C574" s="21"/>
      <c r="D574" s="21"/>
      <c r="E574" s="136"/>
      <c r="F574" s="136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</row>
    <row r="575">
      <c r="A575" s="21"/>
      <c r="B575" s="21"/>
      <c r="C575" s="21"/>
      <c r="D575" s="21"/>
      <c r="E575" s="136"/>
      <c r="F575" s="136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</row>
    <row r="576">
      <c r="A576" s="21"/>
      <c r="B576" s="21"/>
      <c r="C576" s="21"/>
      <c r="D576" s="21"/>
      <c r="E576" s="136"/>
      <c r="F576" s="136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</row>
    <row r="577">
      <c r="A577" s="21"/>
      <c r="B577" s="21"/>
      <c r="C577" s="21"/>
      <c r="D577" s="21"/>
      <c r="E577" s="136"/>
      <c r="F577" s="136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</row>
    <row r="578">
      <c r="A578" s="21"/>
      <c r="B578" s="21"/>
      <c r="C578" s="21"/>
      <c r="D578" s="21"/>
      <c r="E578" s="136"/>
      <c r="F578" s="136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</row>
    <row r="579">
      <c r="A579" s="21"/>
      <c r="B579" s="21"/>
      <c r="C579" s="21"/>
      <c r="D579" s="21"/>
      <c r="E579" s="136"/>
      <c r="F579" s="136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</row>
    <row r="580">
      <c r="A580" s="21"/>
      <c r="B580" s="21"/>
      <c r="C580" s="21"/>
      <c r="D580" s="21"/>
      <c r="E580" s="136"/>
      <c r="F580" s="136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</row>
    <row r="581">
      <c r="A581" s="21"/>
      <c r="B581" s="21"/>
      <c r="C581" s="21"/>
      <c r="D581" s="21"/>
      <c r="E581" s="136"/>
      <c r="F581" s="136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</row>
    <row r="582">
      <c r="A582" s="21"/>
      <c r="B582" s="21"/>
      <c r="C582" s="21"/>
      <c r="D582" s="21"/>
      <c r="E582" s="136"/>
      <c r="F582" s="136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</row>
    <row r="583">
      <c r="A583" s="21"/>
      <c r="B583" s="21"/>
      <c r="C583" s="21"/>
      <c r="D583" s="21"/>
      <c r="E583" s="136"/>
      <c r="F583" s="136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</row>
    <row r="584">
      <c r="A584" s="21"/>
      <c r="B584" s="21"/>
      <c r="C584" s="21"/>
      <c r="D584" s="21"/>
      <c r="E584" s="136"/>
      <c r="F584" s="136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</row>
    <row r="585">
      <c r="A585" s="21"/>
      <c r="B585" s="21"/>
      <c r="C585" s="21"/>
      <c r="D585" s="21"/>
      <c r="E585" s="136"/>
      <c r="F585" s="136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</row>
    <row r="586">
      <c r="A586" s="21"/>
      <c r="B586" s="21"/>
      <c r="C586" s="21"/>
      <c r="D586" s="21"/>
      <c r="E586" s="136"/>
      <c r="F586" s="136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</row>
    <row r="587">
      <c r="A587" s="21"/>
      <c r="B587" s="21"/>
      <c r="C587" s="21"/>
      <c r="D587" s="21"/>
      <c r="E587" s="136"/>
      <c r="F587" s="136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</row>
    <row r="588">
      <c r="A588" s="21"/>
      <c r="B588" s="21"/>
      <c r="C588" s="21"/>
      <c r="D588" s="21"/>
      <c r="E588" s="136"/>
      <c r="F588" s="136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</row>
    <row r="589">
      <c r="A589" s="21"/>
      <c r="B589" s="21"/>
      <c r="C589" s="21"/>
      <c r="D589" s="21"/>
      <c r="E589" s="136"/>
      <c r="F589" s="136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</row>
    <row r="590">
      <c r="A590" s="21"/>
      <c r="B590" s="21"/>
      <c r="C590" s="21"/>
      <c r="D590" s="21"/>
      <c r="E590" s="136"/>
      <c r="F590" s="136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</row>
    <row r="591">
      <c r="A591" s="21"/>
      <c r="B591" s="21"/>
      <c r="C591" s="21"/>
      <c r="D591" s="21"/>
      <c r="E591" s="136"/>
      <c r="F591" s="136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</row>
    <row r="592">
      <c r="A592" s="21"/>
      <c r="B592" s="21"/>
      <c r="C592" s="21"/>
      <c r="D592" s="21"/>
      <c r="E592" s="136"/>
      <c r="F592" s="136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</row>
    <row r="593">
      <c r="A593" s="21"/>
      <c r="B593" s="21"/>
      <c r="C593" s="21"/>
      <c r="D593" s="21"/>
      <c r="E593" s="136"/>
      <c r="F593" s="136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</row>
    <row r="594">
      <c r="A594" s="21"/>
      <c r="B594" s="21"/>
      <c r="C594" s="21"/>
      <c r="D594" s="21"/>
      <c r="E594" s="136"/>
      <c r="F594" s="136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</row>
    <row r="595">
      <c r="A595" s="21"/>
      <c r="B595" s="21"/>
      <c r="C595" s="21"/>
      <c r="D595" s="21"/>
      <c r="E595" s="136"/>
      <c r="F595" s="136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</row>
    <row r="596">
      <c r="A596" s="21"/>
      <c r="B596" s="21"/>
      <c r="C596" s="21"/>
      <c r="D596" s="21"/>
      <c r="E596" s="136"/>
      <c r="F596" s="136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</row>
    <row r="597">
      <c r="A597" s="21"/>
      <c r="B597" s="21"/>
      <c r="C597" s="21"/>
      <c r="D597" s="21"/>
      <c r="E597" s="136"/>
      <c r="F597" s="136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</row>
    <row r="598">
      <c r="A598" s="21"/>
      <c r="B598" s="21"/>
      <c r="C598" s="21"/>
      <c r="D598" s="21"/>
      <c r="E598" s="136"/>
      <c r="F598" s="136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</row>
    <row r="599">
      <c r="A599" s="21"/>
      <c r="B599" s="21"/>
      <c r="C599" s="21"/>
      <c r="D599" s="21"/>
      <c r="E599" s="136"/>
      <c r="F599" s="136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</row>
    <row r="600">
      <c r="A600" s="21"/>
      <c r="B600" s="21"/>
      <c r="C600" s="21"/>
      <c r="D600" s="21"/>
      <c r="E600" s="136"/>
      <c r="F600" s="136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</row>
    <row r="601">
      <c r="A601" s="21"/>
      <c r="B601" s="21"/>
      <c r="C601" s="21"/>
      <c r="D601" s="21"/>
      <c r="E601" s="136"/>
      <c r="F601" s="136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</row>
    <row r="602">
      <c r="A602" s="21"/>
      <c r="B602" s="21"/>
      <c r="C602" s="21"/>
      <c r="D602" s="21"/>
      <c r="E602" s="136"/>
      <c r="F602" s="136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</row>
    <row r="603">
      <c r="A603" s="21"/>
      <c r="B603" s="21"/>
      <c r="C603" s="21"/>
      <c r="D603" s="21"/>
      <c r="E603" s="136"/>
      <c r="F603" s="136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</row>
    <row r="604">
      <c r="A604" s="21"/>
      <c r="B604" s="21"/>
      <c r="C604" s="21"/>
      <c r="D604" s="21"/>
      <c r="E604" s="136"/>
      <c r="F604" s="136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</row>
    <row r="605">
      <c r="A605" s="21"/>
      <c r="B605" s="21"/>
      <c r="C605" s="21"/>
      <c r="D605" s="21"/>
      <c r="E605" s="136"/>
      <c r="F605" s="136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</row>
    <row r="606">
      <c r="A606" s="21"/>
      <c r="B606" s="21"/>
      <c r="C606" s="21"/>
      <c r="D606" s="21"/>
      <c r="E606" s="136"/>
      <c r="F606" s="136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</row>
    <row r="607">
      <c r="A607" s="21"/>
      <c r="B607" s="21"/>
      <c r="C607" s="21"/>
      <c r="D607" s="21"/>
      <c r="E607" s="136"/>
      <c r="F607" s="136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</row>
    <row r="608">
      <c r="A608" s="21"/>
      <c r="B608" s="21"/>
      <c r="C608" s="21"/>
      <c r="D608" s="21"/>
      <c r="E608" s="136"/>
      <c r="F608" s="136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</row>
    <row r="609">
      <c r="A609" s="21"/>
      <c r="B609" s="21"/>
      <c r="C609" s="21"/>
      <c r="D609" s="21"/>
      <c r="E609" s="136"/>
      <c r="F609" s="136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</row>
    <row r="610">
      <c r="A610" s="21"/>
      <c r="B610" s="21"/>
      <c r="C610" s="21"/>
      <c r="D610" s="21"/>
      <c r="E610" s="136"/>
      <c r="F610" s="136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</row>
    <row r="611">
      <c r="A611" s="21"/>
      <c r="B611" s="21"/>
      <c r="C611" s="21"/>
      <c r="D611" s="21"/>
      <c r="E611" s="136"/>
      <c r="F611" s="136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</row>
    <row r="612">
      <c r="A612" s="21"/>
      <c r="B612" s="21"/>
      <c r="C612" s="21"/>
      <c r="D612" s="21"/>
      <c r="E612" s="136"/>
      <c r="F612" s="136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</row>
    <row r="613">
      <c r="A613" s="21"/>
      <c r="B613" s="21"/>
      <c r="C613" s="21"/>
      <c r="D613" s="21"/>
      <c r="E613" s="136"/>
      <c r="F613" s="136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</row>
    <row r="614">
      <c r="A614" s="21"/>
      <c r="B614" s="21"/>
      <c r="C614" s="21"/>
      <c r="D614" s="21"/>
      <c r="E614" s="136"/>
      <c r="F614" s="136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</row>
    <row r="615">
      <c r="A615" s="21"/>
      <c r="B615" s="21"/>
      <c r="C615" s="21"/>
      <c r="D615" s="21"/>
      <c r="E615" s="136"/>
      <c r="F615" s="136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</row>
    <row r="616">
      <c r="A616" s="21"/>
      <c r="B616" s="21"/>
      <c r="C616" s="21"/>
      <c r="D616" s="21"/>
      <c r="E616" s="136"/>
      <c r="F616" s="136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</row>
    <row r="617">
      <c r="A617" s="21"/>
      <c r="B617" s="21"/>
      <c r="C617" s="21"/>
      <c r="D617" s="21"/>
      <c r="E617" s="136"/>
      <c r="F617" s="136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</row>
    <row r="618">
      <c r="A618" s="21"/>
      <c r="B618" s="21"/>
      <c r="C618" s="21"/>
      <c r="D618" s="21"/>
      <c r="E618" s="136"/>
      <c r="F618" s="136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</row>
    <row r="619">
      <c r="A619" s="21"/>
      <c r="B619" s="21"/>
      <c r="C619" s="21"/>
      <c r="D619" s="21"/>
      <c r="E619" s="136"/>
      <c r="F619" s="136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</row>
    <row r="620">
      <c r="A620" s="21"/>
      <c r="B620" s="21"/>
      <c r="C620" s="21"/>
      <c r="D620" s="21"/>
      <c r="E620" s="136"/>
      <c r="F620" s="136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</row>
    <row r="621">
      <c r="A621" s="21"/>
      <c r="B621" s="21"/>
      <c r="C621" s="21"/>
      <c r="D621" s="21"/>
      <c r="E621" s="136"/>
      <c r="F621" s="136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</row>
    <row r="622">
      <c r="A622" s="21"/>
      <c r="B622" s="21"/>
      <c r="C622" s="21"/>
      <c r="D622" s="21"/>
      <c r="E622" s="136"/>
      <c r="F622" s="136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</row>
    <row r="623">
      <c r="A623" s="21"/>
      <c r="B623" s="21"/>
      <c r="C623" s="21"/>
      <c r="D623" s="21"/>
      <c r="E623" s="136"/>
      <c r="F623" s="136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</row>
    <row r="624">
      <c r="A624" s="21"/>
      <c r="B624" s="21"/>
      <c r="C624" s="21"/>
      <c r="D624" s="21"/>
      <c r="E624" s="136"/>
      <c r="F624" s="136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</row>
    <row r="625">
      <c r="A625" s="21"/>
      <c r="B625" s="21"/>
      <c r="C625" s="21"/>
      <c r="D625" s="21"/>
      <c r="E625" s="136"/>
      <c r="F625" s="136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</row>
    <row r="626">
      <c r="A626" s="21"/>
      <c r="B626" s="21"/>
      <c r="C626" s="21"/>
      <c r="D626" s="21"/>
      <c r="E626" s="136"/>
      <c r="F626" s="136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</row>
    <row r="627">
      <c r="A627" s="21"/>
      <c r="B627" s="21"/>
      <c r="C627" s="21"/>
      <c r="D627" s="21"/>
      <c r="E627" s="136"/>
      <c r="F627" s="136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</row>
    <row r="628">
      <c r="A628" s="21"/>
      <c r="B628" s="21"/>
      <c r="C628" s="21"/>
      <c r="D628" s="21"/>
      <c r="E628" s="136"/>
      <c r="F628" s="136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</row>
    <row r="629">
      <c r="A629" s="21"/>
      <c r="B629" s="21"/>
      <c r="C629" s="21"/>
      <c r="D629" s="21"/>
      <c r="E629" s="136"/>
      <c r="F629" s="136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</row>
    <row r="630">
      <c r="A630" s="21"/>
      <c r="B630" s="21"/>
      <c r="C630" s="21"/>
      <c r="D630" s="21"/>
      <c r="E630" s="136"/>
      <c r="F630" s="136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</row>
    <row r="631">
      <c r="A631" s="21"/>
      <c r="B631" s="21"/>
      <c r="C631" s="21"/>
      <c r="D631" s="21"/>
      <c r="E631" s="136"/>
      <c r="F631" s="136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</row>
    <row r="632">
      <c r="A632" s="21"/>
      <c r="B632" s="21"/>
      <c r="C632" s="21"/>
      <c r="D632" s="21"/>
      <c r="E632" s="136"/>
      <c r="F632" s="136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</row>
    <row r="633">
      <c r="A633" s="21"/>
      <c r="B633" s="21"/>
      <c r="C633" s="21"/>
      <c r="D633" s="21"/>
      <c r="E633" s="136"/>
      <c r="F633" s="136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</row>
    <row r="634">
      <c r="A634" s="21"/>
      <c r="B634" s="21"/>
      <c r="C634" s="21"/>
      <c r="D634" s="21"/>
      <c r="E634" s="136"/>
      <c r="F634" s="136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</row>
    <row r="635">
      <c r="A635" s="21"/>
      <c r="B635" s="21"/>
      <c r="C635" s="21"/>
      <c r="D635" s="21"/>
      <c r="E635" s="136"/>
      <c r="F635" s="136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</row>
    <row r="636">
      <c r="A636" s="21"/>
      <c r="B636" s="21"/>
      <c r="C636" s="21"/>
      <c r="D636" s="21"/>
      <c r="E636" s="136"/>
      <c r="F636" s="136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</row>
    <row r="637">
      <c r="A637" s="21"/>
      <c r="B637" s="21"/>
      <c r="C637" s="21"/>
      <c r="D637" s="21"/>
      <c r="E637" s="136"/>
      <c r="F637" s="136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</row>
    <row r="638">
      <c r="A638" s="21"/>
      <c r="B638" s="21"/>
      <c r="C638" s="21"/>
      <c r="D638" s="21"/>
      <c r="E638" s="136"/>
      <c r="F638" s="136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</row>
    <row r="639">
      <c r="A639" s="21"/>
      <c r="B639" s="21"/>
      <c r="C639" s="21"/>
      <c r="D639" s="21"/>
      <c r="E639" s="136"/>
      <c r="F639" s="136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</row>
    <row r="640">
      <c r="A640" s="21"/>
      <c r="B640" s="21"/>
      <c r="C640" s="21"/>
      <c r="D640" s="21"/>
      <c r="E640" s="136"/>
      <c r="F640" s="136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</row>
    <row r="641">
      <c r="A641" s="21"/>
      <c r="B641" s="21"/>
      <c r="C641" s="21"/>
      <c r="D641" s="21"/>
      <c r="E641" s="136"/>
      <c r="F641" s="136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</row>
    <row r="642">
      <c r="A642" s="21"/>
      <c r="B642" s="21"/>
      <c r="C642" s="21"/>
      <c r="D642" s="21"/>
      <c r="E642" s="136"/>
      <c r="F642" s="136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</row>
    <row r="643">
      <c r="A643" s="21"/>
      <c r="B643" s="21"/>
      <c r="C643" s="21"/>
      <c r="D643" s="21"/>
      <c r="E643" s="136"/>
      <c r="F643" s="136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</row>
    <row r="644">
      <c r="A644" s="21"/>
      <c r="B644" s="21"/>
      <c r="C644" s="21"/>
      <c r="D644" s="21"/>
      <c r="E644" s="136"/>
      <c r="F644" s="136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</row>
    <row r="645">
      <c r="A645" s="21"/>
      <c r="B645" s="21"/>
      <c r="C645" s="21"/>
      <c r="D645" s="21"/>
      <c r="E645" s="136"/>
      <c r="F645" s="136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</row>
    <row r="646">
      <c r="A646" s="21"/>
      <c r="B646" s="21"/>
      <c r="C646" s="21"/>
      <c r="D646" s="21"/>
      <c r="E646" s="136"/>
      <c r="F646" s="136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</row>
    <row r="647">
      <c r="A647" s="21"/>
      <c r="B647" s="21"/>
      <c r="C647" s="21"/>
      <c r="D647" s="21"/>
      <c r="E647" s="136"/>
      <c r="F647" s="136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</row>
    <row r="648">
      <c r="A648" s="21"/>
      <c r="B648" s="21"/>
      <c r="C648" s="21"/>
      <c r="D648" s="21"/>
      <c r="E648" s="136"/>
      <c r="F648" s="136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</row>
    <row r="649">
      <c r="A649" s="21"/>
      <c r="B649" s="21"/>
      <c r="C649" s="21"/>
      <c r="D649" s="21"/>
      <c r="E649" s="136"/>
      <c r="F649" s="136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</row>
    <row r="650">
      <c r="A650" s="21"/>
      <c r="B650" s="21"/>
      <c r="C650" s="21"/>
      <c r="D650" s="21"/>
      <c r="E650" s="136"/>
      <c r="F650" s="136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</row>
    <row r="651">
      <c r="A651" s="21"/>
      <c r="B651" s="21"/>
      <c r="C651" s="21"/>
      <c r="D651" s="21"/>
      <c r="E651" s="136"/>
      <c r="F651" s="136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</row>
    <row r="652">
      <c r="A652" s="21"/>
      <c r="B652" s="21"/>
      <c r="C652" s="21"/>
      <c r="D652" s="21"/>
      <c r="E652" s="136"/>
      <c r="F652" s="136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</row>
    <row r="653">
      <c r="A653" s="21"/>
      <c r="B653" s="21"/>
      <c r="C653" s="21"/>
      <c r="D653" s="21"/>
      <c r="E653" s="136"/>
      <c r="F653" s="136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</row>
    <row r="654">
      <c r="A654" s="21"/>
      <c r="B654" s="21"/>
      <c r="C654" s="21"/>
      <c r="D654" s="21"/>
      <c r="E654" s="136"/>
      <c r="F654" s="136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</row>
    <row r="655">
      <c r="A655" s="21"/>
      <c r="B655" s="21"/>
      <c r="C655" s="21"/>
      <c r="D655" s="21"/>
      <c r="E655" s="136"/>
      <c r="F655" s="136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</row>
    <row r="656">
      <c r="A656" s="21"/>
      <c r="B656" s="21"/>
      <c r="C656" s="21"/>
      <c r="D656" s="21"/>
      <c r="E656" s="136"/>
      <c r="F656" s="136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</row>
    <row r="657">
      <c r="A657" s="21"/>
      <c r="B657" s="21"/>
      <c r="C657" s="21"/>
      <c r="D657" s="21"/>
      <c r="E657" s="136"/>
      <c r="F657" s="136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</row>
    <row r="658">
      <c r="A658" s="21"/>
      <c r="B658" s="21"/>
      <c r="C658" s="21"/>
      <c r="D658" s="21"/>
      <c r="E658" s="136"/>
      <c r="F658" s="136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</row>
    <row r="659">
      <c r="A659" s="21"/>
      <c r="B659" s="21"/>
      <c r="C659" s="21"/>
      <c r="D659" s="21"/>
      <c r="E659" s="136"/>
      <c r="F659" s="136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</row>
    <row r="660">
      <c r="A660" s="21"/>
      <c r="B660" s="21"/>
      <c r="C660" s="21"/>
      <c r="D660" s="21"/>
      <c r="E660" s="136"/>
      <c r="F660" s="136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</row>
    <row r="661">
      <c r="A661" s="21"/>
      <c r="B661" s="21"/>
      <c r="C661" s="21"/>
      <c r="D661" s="21"/>
      <c r="E661" s="136"/>
      <c r="F661" s="136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</row>
    <row r="662">
      <c r="A662" s="21"/>
      <c r="B662" s="21"/>
      <c r="C662" s="21"/>
      <c r="D662" s="21"/>
      <c r="E662" s="136"/>
      <c r="F662" s="136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</row>
    <row r="663">
      <c r="A663" s="21"/>
      <c r="B663" s="21"/>
      <c r="C663" s="21"/>
      <c r="D663" s="21"/>
      <c r="E663" s="136"/>
      <c r="F663" s="136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</row>
    <row r="664">
      <c r="A664" s="21"/>
      <c r="B664" s="21"/>
      <c r="C664" s="21"/>
      <c r="D664" s="21"/>
      <c r="E664" s="136"/>
      <c r="F664" s="136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</row>
    <row r="665">
      <c r="A665" s="21"/>
      <c r="B665" s="21"/>
      <c r="C665" s="21"/>
      <c r="D665" s="21"/>
      <c r="E665" s="136"/>
      <c r="F665" s="136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</row>
    <row r="666">
      <c r="A666" s="21"/>
      <c r="B666" s="21"/>
      <c r="C666" s="21"/>
      <c r="D666" s="21"/>
      <c r="E666" s="136"/>
      <c r="F666" s="136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</row>
    <row r="667">
      <c r="A667" s="21"/>
      <c r="B667" s="21"/>
      <c r="C667" s="21"/>
      <c r="D667" s="21"/>
      <c r="E667" s="136"/>
      <c r="F667" s="136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</row>
    <row r="668">
      <c r="A668" s="21"/>
      <c r="B668" s="21"/>
      <c r="C668" s="21"/>
      <c r="D668" s="21"/>
      <c r="E668" s="136"/>
      <c r="F668" s="136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</row>
    <row r="669">
      <c r="A669" s="21"/>
      <c r="B669" s="21"/>
      <c r="C669" s="21"/>
      <c r="D669" s="21"/>
      <c r="E669" s="136"/>
      <c r="F669" s="136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</row>
    <row r="670">
      <c r="A670" s="21"/>
      <c r="B670" s="21"/>
      <c r="C670" s="21"/>
      <c r="D670" s="21"/>
      <c r="E670" s="136"/>
      <c r="F670" s="136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</row>
    <row r="671">
      <c r="A671" s="21"/>
      <c r="B671" s="21"/>
      <c r="C671" s="21"/>
      <c r="D671" s="21"/>
      <c r="E671" s="136"/>
      <c r="F671" s="136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</row>
    <row r="672">
      <c r="A672" s="21"/>
      <c r="B672" s="21"/>
      <c r="C672" s="21"/>
      <c r="D672" s="21"/>
      <c r="E672" s="136"/>
      <c r="F672" s="136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</row>
    <row r="673">
      <c r="A673" s="21"/>
      <c r="B673" s="21"/>
      <c r="C673" s="21"/>
      <c r="D673" s="21"/>
      <c r="E673" s="136"/>
      <c r="F673" s="136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</row>
    <row r="674">
      <c r="A674" s="21"/>
      <c r="B674" s="21"/>
      <c r="C674" s="21"/>
      <c r="D674" s="21"/>
      <c r="E674" s="136"/>
      <c r="F674" s="136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</row>
    <row r="675">
      <c r="A675" s="21"/>
      <c r="B675" s="21"/>
      <c r="C675" s="21"/>
      <c r="D675" s="21"/>
      <c r="E675" s="136"/>
      <c r="F675" s="136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</row>
    <row r="676">
      <c r="A676" s="21"/>
      <c r="B676" s="21"/>
      <c r="C676" s="21"/>
      <c r="D676" s="21"/>
      <c r="E676" s="136"/>
      <c r="F676" s="136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</row>
    <row r="677">
      <c r="A677" s="21"/>
      <c r="B677" s="21"/>
      <c r="C677" s="21"/>
      <c r="D677" s="21"/>
      <c r="E677" s="136"/>
      <c r="F677" s="136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</row>
    <row r="678">
      <c r="A678" s="21"/>
      <c r="B678" s="21"/>
      <c r="C678" s="21"/>
      <c r="D678" s="21"/>
      <c r="E678" s="136"/>
      <c r="F678" s="136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</row>
    <row r="679">
      <c r="A679" s="21"/>
      <c r="B679" s="21"/>
      <c r="C679" s="21"/>
      <c r="D679" s="21"/>
      <c r="E679" s="136"/>
      <c r="F679" s="136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</row>
    <row r="680">
      <c r="A680" s="21"/>
      <c r="B680" s="21"/>
      <c r="C680" s="21"/>
      <c r="D680" s="21"/>
      <c r="E680" s="136"/>
      <c r="F680" s="136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</row>
    <row r="681">
      <c r="A681" s="21"/>
      <c r="B681" s="21"/>
      <c r="C681" s="21"/>
      <c r="D681" s="21"/>
      <c r="E681" s="136"/>
      <c r="F681" s="136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</row>
    <row r="682">
      <c r="A682" s="21"/>
      <c r="B682" s="21"/>
      <c r="C682" s="21"/>
      <c r="D682" s="21"/>
      <c r="E682" s="136"/>
      <c r="F682" s="136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</row>
    <row r="683">
      <c r="A683" s="21"/>
      <c r="B683" s="21"/>
      <c r="C683" s="21"/>
      <c r="D683" s="21"/>
      <c r="E683" s="136"/>
      <c r="F683" s="136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</row>
    <row r="684">
      <c r="A684" s="21"/>
      <c r="B684" s="21"/>
      <c r="C684" s="21"/>
      <c r="D684" s="21"/>
      <c r="E684" s="136"/>
      <c r="F684" s="136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</row>
    <row r="685">
      <c r="A685" s="21"/>
      <c r="B685" s="21"/>
      <c r="C685" s="21"/>
      <c r="D685" s="21"/>
      <c r="E685" s="136"/>
      <c r="F685" s="136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</row>
    <row r="686">
      <c r="A686" s="21"/>
      <c r="B686" s="21"/>
      <c r="C686" s="21"/>
      <c r="D686" s="21"/>
      <c r="E686" s="136"/>
      <c r="F686" s="136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</row>
    <row r="687">
      <c r="A687" s="21"/>
      <c r="B687" s="21"/>
      <c r="C687" s="21"/>
      <c r="D687" s="21"/>
      <c r="E687" s="136"/>
      <c r="F687" s="136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</row>
    <row r="688">
      <c r="A688" s="21"/>
      <c r="B688" s="21"/>
      <c r="C688" s="21"/>
      <c r="D688" s="21"/>
      <c r="E688" s="136"/>
      <c r="F688" s="136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</row>
    <row r="689">
      <c r="A689" s="21"/>
      <c r="B689" s="21"/>
      <c r="C689" s="21"/>
      <c r="D689" s="21"/>
      <c r="E689" s="136"/>
      <c r="F689" s="136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</row>
    <row r="690">
      <c r="A690" s="21"/>
      <c r="B690" s="21"/>
      <c r="C690" s="21"/>
      <c r="D690" s="21"/>
      <c r="E690" s="136"/>
      <c r="F690" s="136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</row>
    <row r="691">
      <c r="A691" s="21"/>
      <c r="B691" s="21"/>
      <c r="C691" s="21"/>
      <c r="D691" s="21"/>
      <c r="E691" s="136"/>
      <c r="F691" s="136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</row>
    <row r="692">
      <c r="A692" s="21"/>
      <c r="B692" s="21"/>
      <c r="C692" s="21"/>
      <c r="D692" s="21"/>
      <c r="E692" s="136"/>
      <c r="F692" s="136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</row>
    <row r="693">
      <c r="A693" s="21"/>
      <c r="B693" s="21"/>
      <c r="C693" s="21"/>
      <c r="D693" s="21"/>
      <c r="E693" s="136"/>
      <c r="F693" s="136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</row>
    <row r="694">
      <c r="A694" s="21"/>
      <c r="B694" s="21"/>
      <c r="C694" s="21"/>
      <c r="D694" s="21"/>
      <c r="E694" s="136"/>
      <c r="F694" s="136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</row>
    <row r="695">
      <c r="A695" s="21"/>
      <c r="B695" s="21"/>
      <c r="C695" s="21"/>
      <c r="D695" s="21"/>
      <c r="E695" s="136"/>
      <c r="F695" s="136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</row>
    <row r="696">
      <c r="A696" s="21"/>
      <c r="B696" s="21"/>
      <c r="C696" s="21"/>
      <c r="D696" s="21"/>
      <c r="E696" s="136"/>
      <c r="F696" s="136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</row>
    <row r="697">
      <c r="A697" s="21"/>
      <c r="B697" s="21"/>
      <c r="C697" s="21"/>
      <c r="D697" s="21"/>
      <c r="E697" s="136"/>
      <c r="F697" s="136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</row>
    <row r="698">
      <c r="A698" s="21"/>
      <c r="B698" s="21"/>
      <c r="C698" s="21"/>
      <c r="D698" s="21"/>
      <c r="E698" s="136"/>
      <c r="F698" s="136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</row>
    <row r="699">
      <c r="A699" s="21"/>
      <c r="B699" s="21"/>
      <c r="C699" s="21"/>
      <c r="D699" s="21"/>
      <c r="E699" s="136"/>
      <c r="F699" s="136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</row>
    <row r="700">
      <c r="A700" s="21"/>
      <c r="B700" s="21"/>
      <c r="C700" s="21"/>
      <c r="D700" s="21"/>
      <c r="E700" s="136"/>
      <c r="F700" s="136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</row>
    <row r="701">
      <c r="A701" s="21"/>
      <c r="B701" s="21"/>
      <c r="C701" s="21"/>
      <c r="D701" s="21"/>
      <c r="E701" s="136"/>
      <c r="F701" s="136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</row>
    <row r="702">
      <c r="A702" s="21"/>
      <c r="B702" s="21"/>
      <c r="C702" s="21"/>
      <c r="D702" s="21"/>
      <c r="E702" s="136"/>
      <c r="F702" s="136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</row>
    <row r="703">
      <c r="A703" s="21"/>
      <c r="B703" s="21"/>
      <c r="C703" s="21"/>
      <c r="D703" s="21"/>
      <c r="E703" s="136"/>
      <c r="F703" s="136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</row>
    <row r="704">
      <c r="A704" s="21"/>
      <c r="B704" s="21"/>
      <c r="C704" s="21"/>
      <c r="D704" s="21"/>
      <c r="E704" s="136"/>
      <c r="F704" s="136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</row>
    <row r="705">
      <c r="A705" s="21"/>
      <c r="B705" s="21"/>
      <c r="C705" s="21"/>
      <c r="D705" s="21"/>
      <c r="E705" s="136"/>
      <c r="F705" s="136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</row>
    <row r="706">
      <c r="A706" s="21"/>
      <c r="B706" s="21"/>
      <c r="C706" s="21"/>
      <c r="D706" s="21"/>
      <c r="E706" s="136"/>
      <c r="F706" s="136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</row>
    <row r="707">
      <c r="A707" s="21"/>
      <c r="B707" s="21"/>
      <c r="C707" s="21"/>
      <c r="D707" s="21"/>
      <c r="E707" s="136"/>
      <c r="F707" s="136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</row>
    <row r="708">
      <c r="A708" s="21"/>
      <c r="B708" s="21"/>
      <c r="C708" s="21"/>
      <c r="D708" s="21"/>
      <c r="E708" s="136"/>
      <c r="F708" s="136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</row>
    <row r="709">
      <c r="A709" s="21"/>
      <c r="B709" s="21"/>
      <c r="C709" s="21"/>
      <c r="D709" s="21"/>
      <c r="E709" s="136"/>
      <c r="F709" s="136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</row>
    <row r="710">
      <c r="A710" s="21"/>
      <c r="B710" s="21"/>
      <c r="C710" s="21"/>
      <c r="D710" s="21"/>
      <c r="E710" s="136"/>
      <c r="F710" s="136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</row>
    <row r="711">
      <c r="A711" s="21"/>
      <c r="B711" s="21"/>
      <c r="C711" s="21"/>
      <c r="D711" s="21"/>
      <c r="E711" s="136"/>
      <c r="F711" s="136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</row>
    <row r="712">
      <c r="A712" s="21"/>
      <c r="B712" s="21"/>
      <c r="C712" s="21"/>
      <c r="D712" s="21"/>
      <c r="E712" s="136"/>
      <c r="F712" s="136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</row>
    <row r="713">
      <c r="A713" s="21"/>
      <c r="B713" s="21"/>
      <c r="C713" s="21"/>
      <c r="D713" s="21"/>
      <c r="E713" s="136"/>
      <c r="F713" s="136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</row>
    <row r="714">
      <c r="A714" s="21"/>
      <c r="B714" s="21"/>
      <c r="C714" s="21"/>
      <c r="D714" s="21"/>
      <c r="E714" s="136"/>
      <c r="F714" s="136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</row>
    <row r="715">
      <c r="A715" s="21"/>
      <c r="B715" s="21"/>
      <c r="C715" s="21"/>
      <c r="D715" s="21"/>
      <c r="E715" s="136"/>
      <c r="F715" s="136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</row>
    <row r="716">
      <c r="A716" s="21"/>
      <c r="B716" s="21"/>
      <c r="C716" s="21"/>
      <c r="D716" s="21"/>
      <c r="E716" s="136"/>
      <c r="F716" s="136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</row>
    <row r="717">
      <c r="A717" s="21"/>
      <c r="B717" s="21"/>
      <c r="C717" s="21"/>
      <c r="D717" s="21"/>
      <c r="E717" s="136"/>
      <c r="F717" s="136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</row>
    <row r="718">
      <c r="A718" s="21"/>
      <c r="B718" s="21"/>
      <c r="C718" s="21"/>
      <c r="D718" s="21"/>
      <c r="E718" s="136"/>
      <c r="F718" s="136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</row>
    <row r="719">
      <c r="A719" s="21"/>
      <c r="B719" s="21"/>
      <c r="C719" s="21"/>
      <c r="D719" s="21"/>
      <c r="E719" s="136"/>
      <c r="F719" s="136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</row>
    <row r="720">
      <c r="A720" s="21"/>
      <c r="B720" s="21"/>
      <c r="C720" s="21"/>
      <c r="D720" s="21"/>
      <c r="E720" s="136"/>
      <c r="F720" s="136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</row>
    <row r="721">
      <c r="A721" s="21"/>
      <c r="B721" s="21"/>
      <c r="C721" s="21"/>
      <c r="D721" s="21"/>
      <c r="E721" s="136"/>
      <c r="F721" s="136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</row>
    <row r="722">
      <c r="A722" s="21"/>
      <c r="B722" s="21"/>
      <c r="C722" s="21"/>
      <c r="D722" s="21"/>
      <c r="E722" s="136"/>
      <c r="F722" s="136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</row>
    <row r="723">
      <c r="A723" s="21"/>
      <c r="B723" s="21"/>
      <c r="C723" s="21"/>
      <c r="D723" s="21"/>
      <c r="E723" s="136"/>
      <c r="F723" s="136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</row>
    <row r="724">
      <c r="A724" s="21"/>
      <c r="B724" s="21"/>
      <c r="C724" s="21"/>
      <c r="D724" s="21"/>
      <c r="E724" s="136"/>
      <c r="F724" s="136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</row>
    <row r="725">
      <c r="A725" s="21"/>
      <c r="B725" s="21"/>
      <c r="C725" s="21"/>
      <c r="D725" s="21"/>
      <c r="E725" s="136"/>
      <c r="F725" s="136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</row>
    <row r="726">
      <c r="A726" s="21"/>
      <c r="B726" s="21"/>
      <c r="C726" s="21"/>
      <c r="D726" s="21"/>
      <c r="E726" s="136"/>
      <c r="F726" s="136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</row>
    <row r="727">
      <c r="A727" s="21"/>
      <c r="B727" s="21"/>
      <c r="C727" s="21"/>
      <c r="D727" s="21"/>
      <c r="E727" s="136"/>
      <c r="F727" s="136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</row>
    <row r="728">
      <c r="A728" s="21"/>
      <c r="B728" s="21"/>
      <c r="C728" s="21"/>
      <c r="D728" s="21"/>
      <c r="E728" s="136"/>
      <c r="F728" s="136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</row>
    <row r="729">
      <c r="A729" s="21"/>
      <c r="B729" s="21"/>
      <c r="C729" s="21"/>
      <c r="D729" s="21"/>
      <c r="E729" s="136"/>
      <c r="F729" s="136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</row>
    <row r="730">
      <c r="A730" s="21"/>
      <c r="B730" s="21"/>
      <c r="C730" s="21"/>
      <c r="D730" s="21"/>
      <c r="E730" s="136"/>
      <c r="F730" s="136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</row>
    <row r="731">
      <c r="A731" s="21"/>
      <c r="B731" s="21"/>
      <c r="C731" s="21"/>
      <c r="D731" s="21"/>
      <c r="E731" s="136"/>
      <c r="F731" s="136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</row>
    <row r="732">
      <c r="A732" s="21"/>
      <c r="B732" s="21"/>
      <c r="C732" s="21"/>
      <c r="D732" s="21"/>
      <c r="E732" s="136"/>
      <c r="F732" s="136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</row>
    <row r="733">
      <c r="A733" s="21"/>
      <c r="B733" s="21"/>
      <c r="C733" s="21"/>
      <c r="D733" s="21"/>
      <c r="E733" s="136"/>
      <c r="F733" s="136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</row>
    <row r="734">
      <c r="A734" s="21"/>
      <c r="B734" s="21"/>
      <c r="C734" s="21"/>
      <c r="D734" s="21"/>
      <c r="E734" s="136"/>
      <c r="F734" s="136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</row>
    <row r="735">
      <c r="A735" s="21"/>
      <c r="B735" s="21"/>
      <c r="C735" s="21"/>
      <c r="D735" s="21"/>
      <c r="E735" s="136"/>
      <c r="F735" s="136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</row>
    <row r="736">
      <c r="A736" s="21"/>
      <c r="B736" s="21"/>
      <c r="C736" s="21"/>
      <c r="D736" s="21"/>
      <c r="E736" s="136"/>
      <c r="F736" s="136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</row>
    <row r="737">
      <c r="A737" s="21"/>
      <c r="B737" s="21"/>
      <c r="C737" s="21"/>
      <c r="D737" s="21"/>
      <c r="E737" s="136"/>
      <c r="F737" s="136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</row>
    <row r="738">
      <c r="A738" s="21"/>
      <c r="B738" s="21"/>
      <c r="C738" s="21"/>
      <c r="D738" s="21"/>
      <c r="E738" s="136"/>
      <c r="F738" s="136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</row>
    <row r="739">
      <c r="A739" s="21"/>
      <c r="B739" s="21"/>
      <c r="C739" s="21"/>
      <c r="D739" s="21"/>
      <c r="E739" s="136"/>
      <c r="F739" s="136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</row>
    <row r="740">
      <c r="A740" s="21"/>
      <c r="B740" s="21"/>
      <c r="C740" s="21"/>
      <c r="D740" s="21"/>
      <c r="E740" s="136"/>
      <c r="F740" s="136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</row>
    <row r="741">
      <c r="A741" s="21"/>
      <c r="B741" s="21"/>
      <c r="C741" s="21"/>
      <c r="D741" s="21"/>
      <c r="E741" s="136"/>
      <c r="F741" s="136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</row>
    <row r="742">
      <c r="A742" s="21"/>
      <c r="B742" s="21"/>
      <c r="C742" s="21"/>
      <c r="D742" s="21"/>
      <c r="E742" s="136"/>
      <c r="F742" s="136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</row>
    <row r="743">
      <c r="A743" s="21"/>
      <c r="B743" s="21"/>
      <c r="C743" s="21"/>
      <c r="D743" s="21"/>
      <c r="E743" s="136"/>
      <c r="F743" s="136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</row>
    <row r="744">
      <c r="A744" s="21"/>
      <c r="B744" s="21"/>
      <c r="C744" s="21"/>
      <c r="D744" s="21"/>
      <c r="E744" s="136"/>
      <c r="F744" s="136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</row>
    <row r="745">
      <c r="A745" s="21"/>
      <c r="B745" s="21"/>
      <c r="C745" s="21"/>
      <c r="D745" s="21"/>
      <c r="E745" s="136"/>
      <c r="F745" s="136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</row>
    <row r="746">
      <c r="A746" s="21"/>
      <c r="B746" s="21"/>
      <c r="C746" s="21"/>
      <c r="D746" s="21"/>
      <c r="E746" s="136"/>
      <c r="F746" s="136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</row>
    <row r="747">
      <c r="A747" s="21"/>
      <c r="B747" s="21"/>
      <c r="C747" s="21"/>
      <c r="D747" s="21"/>
      <c r="E747" s="136"/>
      <c r="F747" s="136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</row>
    <row r="748">
      <c r="A748" s="21"/>
      <c r="B748" s="21"/>
      <c r="C748" s="21"/>
      <c r="D748" s="21"/>
      <c r="E748" s="136"/>
      <c r="F748" s="136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</row>
    <row r="749">
      <c r="A749" s="21"/>
      <c r="B749" s="21"/>
      <c r="C749" s="21"/>
      <c r="D749" s="21"/>
      <c r="E749" s="136"/>
      <c r="F749" s="136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</row>
    <row r="750">
      <c r="A750" s="21"/>
      <c r="B750" s="21"/>
      <c r="C750" s="21"/>
      <c r="D750" s="21"/>
      <c r="E750" s="136"/>
      <c r="F750" s="136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</row>
    <row r="751">
      <c r="A751" s="21"/>
      <c r="B751" s="21"/>
      <c r="C751" s="21"/>
      <c r="D751" s="21"/>
      <c r="E751" s="136"/>
      <c r="F751" s="136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</row>
    <row r="752">
      <c r="A752" s="21"/>
      <c r="B752" s="21"/>
      <c r="C752" s="21"/>
      <c r="D752" s="21"/>
      <c r="E752" s="136"/>
      <c r="F752" s="136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</row>
    <row r="753">
      <c r="A753" s="21"/>
      <c r="B753" s="21"/>
      <c r="C753" s="21"/>
      <c r="D753" s="21"/>
      <c r="E753" s="136"/>
      <c r="F753" s="136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</row>
    <row r="754">
      <c r="A754" s="21"/>
      <c r="B754" s="21"/>
      <c r="C754" s="21"/>
      <c r="D754" s="21"/>
      <c r="E754" s="136"/>
      <c r="F754" s="136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</row>
    <row r="755">
      <c r="A755" s="21"/>
      <c r="B755" s="21"/>
      <c r="C755" s="21"/>
      <c r="D755" s="21"/>
      <c r="E755" s="136"/>
      <c r="F755" s="136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</row>
    <row r="756">
      <c r="A756" s="21"/>
      <c r="B756" s="21"/>
      <c r="C756" s="21"/>
      <c r="D756" s="21"/>
      <c r="E756" s="136"/>
      <c r="F756" s="136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</row>
    <row r="757">
      <c r="A757" s="21"/>
      <c r="B757" s="21"/>
      <c r="C757" s="21"/>
      <c r="D757" s="21"/>
      <c r="E757" s="136"/>
      <c r="F757" s="136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</row>
    <row r="758">
      <c r="A758" s="21"/>
      <c r="B758" s="21"/>
      <c r="C758" s="21"/>
      <c r="D758" s="21"/>
      <c r="E758" s="136"/>
      <c r="F758" s="136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</row>
    <row r="759">
      <c r="A759" s="21"/>
      <c r="B759" s="21"/>
      <c r="C759" s="21"/>
      <c r="D759" s="21"/>
      <c r="E759" s="136"/>
      <c r="F759" s="136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</row>
    <row r="760">
      <c r="A760" s="21"/>
      <c r="B760" s="21"/>
      <c r="C760" s="21"/>
      <c r="D760" s="21"/>
      <c r="E760" s="136"/>
      <c r="F760" s="136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</row>
    <row r="761">
      <c r="A761" s="21"/>
      <c r="B761" s="21"/>
      <c r="C761" s="21"/>
      <c r="D761" s="21"/>
      <c r="E761" s="136"/>
      <c r="F761" s="136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</row>
    <row r="762">
      <c r="A762" s="21"/>
      <c r="B762" s="21"/>
      <c r="C762" s="21"/>
      <c r="D762" s="21"/>
      <c r="E762" s="136"/>
      <c r="F762" s="136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</row>
    <row r="763">
      <c r="A763" s="21"/>
      <c r="B763" s="21"/>
      <c r="C763" s="21"/>
      <c r="D763" s="21"/>
      <c r="E763" s="136"/>
      <c r="F763" s="136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</row>
    <row r="764">
      <c r="A764" s="21"/>
      <c r="B764" s="21"/>
      <c r="C764" s="21"/>
      <c r="D764" s="21"/>
      <c r="E764" s="136"/>
      <c r="F764" s="136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</row>
    <row r="765">
      <c r="A765" s="21"/>
      <c r="B765" s="21"/>
      <c r="C765" s="21"/>
      <c r="D765" s="21"/>
      <c r="E765" s="136"/>
      <c r="F765" s="136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</row>
    <row r="766">
      <c r="A766" s="21"/>
      <c r="B766" s="21"/>
      <c r="C766" s="21"/>
      <c r="D766" s="21"/>
      <c r="E766" s="136"/>
      <c r="F766" s="136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</row>
    <row r="767">
      <c r="A767" s="21"/>
      <c r="B767" s="21"/>
      <c r="C767" s="21"/>
      <c r="D767" s="21"/>
      <c r="E767" s="136"/>
      <c r="F767" s="136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</row>
    <row r="768">
      <c r="A768" s="21"/>
      <c r="B768" s="21"/>
      <c r="C768" s="21"/>
      <c r="D768" s="21"/>
      <c r="E768" s="136"/>
      <c r="F768" s="136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</row>
    <row r="769">
      <c r="A769" s="21"/>
      <c r="B769" s="21"/>
      <c r="C769" s="21"/>
      <c r="D769" s="21"/>
      <c r="E769" s="136"/>
      <c r="F769" s="136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</row>
    <row r="770">
      <c r="A770" s="21"/>
      <c r="B770" s="21"/>
      <c r="C770" s="21"/>
      <c r="D770" s="21"/>
      <c r="E770" s="136"/>
      <c r="F770" s="136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</row>
    <row r="771">
      <c r="A771" s="21"/>
      <c r="B771" s="21"/>
      <c r="C771" s="21"/>
      <c r="D771" s="21"/>
      <c r="E771" s="136"/>
      <c r="F771" s="136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</row>
    <row r="772">
      <c r="A772" s="21"/>
      <c r="B772" s="21"/>
      <c r="C772" s="21"/>
      <c r="D772" s="21"/>
      <c r="E772" s="136"/>
      <c r="F772" s="136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</row>
    <row r="773">
      <c r="A773" s="21"/>
      <c r="B773" s="21"/>
      <c r="C773" s="21"/>
      <c r="D773" s="21"/>
      <c r="E773" s="136"/>
      <c r="F773" s="136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</row>
    <row r="774">
      <c r="A774" s="21"/>
      <c r="B774" s="21"/>
      <c r="C774" s="21"/>
      <c r="D774" s="21"/>
      <c r="E774" s="136"/>
      <c r="F774" s="136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</row>
    <row r="775">
      <c r="A775" s="21"/>
      <c r="B775" s="21"/>
      <c r="C775" s="21"/>
      <c r="D775" s="21"/>
      <c r="E775" s="136"/>
      <c r="F775" s="136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</row>
    <row r="776">
      <c r="A776" s="21"/>
      <c r="B776" s="21"/>
      <c r="C776" s="21"/>
      <c r="D776" s="21"/>
      <c r="E776" s="136"/>
      <c r="F776" s="136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</row>
    <row r="777">
      <c r="A777" s="21"/>
      <c r="B777" s="21"/>
      <c r="C777" s="21"/>
      <c r="D777" s="21"/>
      <c r="E777" s="136"/>
      <c r="F777" s="136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</row>
    <row r="778">
      <c r="A778" s="21"/>
      <c r="B778" s="21"/>
      <c r="C778" s="21"/>
      <c r="D778" s="21"/>
      <c r="E778" s="136"/>
      <c r="F778" s="136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</row>
    <row r="779">
      <c r="A779" s="21"/>
      <c r="B779" s="21"/>
      <c r="C779" s="21"/>
      <c r="D779" s="21"/>
      <c r="E779" s="136"/>
      <c r="F779" s="136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</row>
    <row r="780">
      <c r="A780" s="21"/>
      <c r="B780" s="21"/>
      <c r="C780" s="21"/>
      <c r="D780" s="21"/>
      <c r="E780" s="136"/>
      <c r="F780" s="136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</row>
    <row r="781">
      <c r="A781" s="21"/>
      <c r="B781" s="21"/>
      <c r="C781" s="21"/>
      <c r="D781" s="21"/>
      <c r="E781" s="136"/>
      <c r="F781" s="136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</row>
    <row r="782">
      <c r="A782" s="21"/>
      <c r="B782" s="21"/>
      <c r="C782" s="21"/>
      <c r="D782" s="21"/>
      <c r="E782" s="136"/>
      <c r="F782" s="136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</row>
    <row r="783">
      <c r="A783" s="21"/>
      <c r="B783" s="21"/>
      <c r="C783" s="21"/>
      <c r="D783" s="21"/>
      <c r="E783" s="136"/>
      <c r="F783" s="136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</row>
    <row r="784">
      <c r="A784" s="21"/>
      <c r="B784" s="21"/>
      <c r="C784" s="21"/>
      <c r="D784" s="21"/>
      <c r="E784" s="136"/>
      <c r="F784" s="136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</row>
    <row r="785">
      <c r="A785" s="21"/>
      <c r="B785" s="21"/>
      <c r="C785" s="21"/>
      <c r="D785" s="21"/>
      <c r="E785" s="136"/>
      <c r="F785" s="136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</row>
    <row r="786">
      <c r="A786" s="21"/>
      <c r="B786" s="21"/>
      <c r="C786" s="21"/>
      <c r="D786" s="21"/>
      <c r="E786" s="136"/>
      <c r="F786" s="136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</row>
    <row r="787">
      <c r="A787" s="21"/>
      <c r="B787" s="21"/>
      <c r="C787" s="21"/>
      <c r="D787" s="21"/>
      <c r="E787" s="136"/>
      <c r="F787" s="136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</row>
    <row r="788">
      <c r="A788" s="21"/>
      <c r="B788" s="21"/>
      <c r="C788" s="21"/>
      <c r="D788" s="21"/>
      <c r="E788" s="136"/>
      <c r="F788" s="136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</row>
    <row r="789">
      <c r="A789" s="21"/>
      <c r="B789" s="21"/>
      <c r="C789" s="21"/>
      <c r="D789" s="21"/>
      <c r="E789" s="136"/>
      <c r="F789" s="136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</row>
    <row r="790">
      <c r="A790" s="21"/>
      <c r="B790" s="21"/>
      <c r="C790" s="21"/>
      <c r="D790" s="21"/>
      <c r="E790" s="136"/>
      <c r="F790" s="136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</row>
    <row r="791">
      <c r="A791" s="21"/>
      <c r="B791" s="21"/>
      <c r="C791" s="21"/>
      <c r="D791" s="21"/>
      <c r="E791" s="136"/>
      <c r="F791" s="136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</row>
    <row r="792">
      <c r="A792" s="21"/>
      <c r="B792" s="21"/>
      <c r="C792" s="21"/>
      <c r="D792" s="21"/>
      <c r="E792" s="136"/>
      <c r="F792" s="136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</row>
    <row r="793">
      <c r="A793" s="21"/>
      <c r="B793" s="21"/>
      <c r="C793" s="21"/>
      <c r="D793" s="21"/>
      <c r="E793" s="136"/>
      <c r="F793" s="136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</row>
    <row r="794">
      <c r="A794" s="21"/>
      <c r="B794" s="21"/>
      <c r="C794" s="21"/>
      <c r="D794" s="21"/>
      <c r="E794" s="136"/>
      <c r="F794" s="136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</row>
    <row r="795">
      <c r="A795" s="21"/>
      <c r="B795" s="21"/>
      <c r="C795" s="21"/>
      <c r="D795" s="21"/>
      <c r="E795" s="136"/>
      <c r="F795" s="136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</row>
    <row r="796">
      <c r="A796" s="21"/>
      <c r="B796" s="21"/>
      <c r="C796" s="21"/>
      <c r="D796" s="21"/>
      <c r="E796" s="136"/>
      <c r="F796" s="136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</row>
    <row r="797">
      <c r="A797" s="21"/>
      <c r="B797" s="21"/>
      <c r="C797" s="21"/>
      <c r="D797" s="21"/>
      <c r="E797" s="136"/>
      <c r="F797" s="136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</row>
    <row r="798">
      <c r="A798" s="21"/>
      <c r="B798" s="21"/>
      <c r="C798" s="21"/>
      <c r="D798" s="21"/>
      <c r="E798" s="136"/>
      <c r="F798" s="136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</row>
    <row r="799">
      <c r="A799" s="21"/>
      <c r="B799" s="21"/>
      <c r="C799" s="21"/>
      <c r="D799" s="21"/>
      <c r="E799" s="136"/>
      <c r="F799" s="136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</row>
    <row r="800">
      <c r="A800" s="21"/>
      <c r="B800" s="21"/>
      <c r="C800" s="21"/>
      <c r="D800" s="21"/>
      <c r="E800" s="136"/>
      <c r="F800" s="136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</row>
    <row r="801">
      <c r="A801" s="21"/>
      <c r="B801" s="21"/>
      <c r="C801" s="21"/>
      <c r="D801" s="21"/>
      <c r="E801" s="136"/>
      <c r="F801" s="136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</row>
    <row r="802">
      <c r="A802" s="21"/>
      <c r="B802" s="21"/>
      <c r="C802" s="21"/>
      <c r="D802" s="21"/>
      <c r="E802" s="136"/>
      <c r="F802" s="136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</row>
    <row r="803">
      <c r="A803" s="21"/>
      <c r="B803" s="21"/>
      <c r="C803" s="21"/>
      <c r="D803" s="21"/>
      <c r="E803" s="136"/>
      <c r="F803" s="136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</row>
    <row r="804">
      <c r="A804" s="21"/>
      <c r="B804" s="21"/>
      <c r="C804" s="21"/>
      <c r="D804" s="21"/>
      <c r="E804" s="136"/>
      <c r="F804" s="136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</row>
    <row r="805">
      <c r="A805" s="21"/>
      <c r="B805" s="21"/>
      <c r="C805" s="21"/>
      <c r="D805" s="21"/>
      <c r="E805" s="136"/>
      <c r="F805" s="136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</row>
    <row r="806">
      <c r="A806" s="21"/>
      <c r="B806" s="21"/>
      <c r="C806" s="21"/>
      <c r="D806" s="21"/>
      <c r="E806" s="136"/>
      <c r="F806" s="136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</row>
    <row r="807">
      <c r="A807" s="21"/>
      <c r="B807" s="21"/>
      <c r="C807" s="21"/>
      <c r="D807" s="21"/>
      <c r="E807" s="136"/>
      <c r="F807" s="136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</row>
    <row r="808">
      <c r="A808" s="21"/>
      <c r="B808" s="21"/>
      <c r="C808" s="21"/>
      <c r="D808" s="21"/>
      <c r="E808" s="136"/>
      <c r="F808" s="136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</row>
    <row r="809">
      <c r="A809" s="21"/>
      <c r="B809" s="21"/>
      <c r="C809" s="21"/>
      <c r="D809" s="21"/>
      <c r="E809" s="136"/>
      <c r="F809" s="136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</row>
    <row r="810">
      <c r="A810" s="21"/>
      <c r="B810" s="21"/>
      <c r="C810" s="21"/>
      <c r="D810" s="21"/>
      <c r="E810" s="136"/>
      <c r="F810" s="136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</row>
    <row r="811">
      <c r="A811" s="21"/>
      <c r="B811" s="21"/>
      <c r="C811" s="21"/>
      <c r="D811" s="21"/>
      <c r="E811" s="136"/>
      <c r="F811" s="136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</row>
    <row r="812">
      <c r="A812" s="21"/>
      <c r="B812" s="21"/>
      <c r="C812" s="21"/>
      <c r="D812" s="21"/>
      <c r="E812" s="136"/>
      <c r="F812" s="136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</row>
    <row r="813">
      <c r="A813" s="21"/>
      <c r="B813" s="21"/>
      <c r="C813" s="21"/>
      <c r="D813" s="21"/>
      <c r="E813" s="136"/>
      <c r="F813" s="136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</row>
    <row r="814">
      <c r="A814" s="21"/>
      <c r="B814" s="21"/>
      <c r="C814" s="21"/>
      <c r="D814" s="21"/>
      <c r="E814" s="136"/>
      <c r="F814" s="136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</row>
    <row r="815">
      <c r="A815" s="21"/>
      <c r="B815" s="21"/>
      <c r="C815" s="21"/>
      <c r="D815" s="21"/>
      <c r="E815" s="136"/>
      <c r="F815" s="136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</row>
    <row r="816">
      <c r="A816" s="21"/>
      <c r="B816" s="21"/>
      <c r="C816" s="21"/>
      <c r="D816" s="21"/>
      <c r="E816" s="136"/>
      <c r="F816" s="136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</row>
    <row r="817">
      <c r="A817" s="21"/>
      <c r="B817" s="21"/>
      <c r="C817" s="21"/>
      <c r="D817" s="21"/>
      <c r="E817" s="136"/>
      <c r="F817" s="136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</row>
    <row r="818">
      <c r="A818" s="21"/>
      <c r="B818" s="21"/>
      <c r="C818" s="21"/>
      <c r="D818" s="21"/>
      <c r="E818" s="136"/>
      <c r="F818" s="136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</row>
    <row r="819">
      <c r="A819" s="21"/>
      <c r="B819" s="21"/>
      <c r="C819" s="21"/>
      <c r="D819" s="21"/>
      <c r="E819" s="136"/>
      <c r="F819" s="136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</row>
    <row r="820">
      <c r="A820" s="21"/>
      <c r="B820" s="21"/>
      <c r="C820" s="21"/>
      <c r="D820" s="21"/>
      <c r="E820" s="136"/>
      <c r="F820" s="136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</row>
    <row r="821">
      <c r="A821" s="21"/>
      <c r="B821" s="21"/>
      <c r="C821" s="21"/>
      <c r="D821" s="21"/>
      <c r="E821" s="136"/>
      <c r="F821" s="136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</row>
    <row r="822">
      <c r="A822" s="21"/>
      <c r="B822" s="21"/>
      <c r="C822" s="21"/>
      <c r="D822" s="21"/>
      <c r="E822" s="136"/>
      <c r="F822" s="136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</row>
    <row r="823">
      <c r="A823" s="21"/>
      <c r="B823" s="21"/>
      <c r="C823" s="21"/>
      <c r="D823" s="21"/>
      <c r="E823" s="136"/>
      <c r="F823" s="136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</row>
    <row r="824">
      <c r="A824" s="21"/>
      <c r="B824" s="21"/>
      <c r="C824" s="21"/>
      <c r="D824" s="21"/>
      <c r="E824" s="136"/>
      <c r="F824" s="136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</row>
    <row r="825">
      <c r="A825" s="21"/>
      <c r="B825" s="21"/>
      <c r="C825" s="21"/>
      <c r="D825" s="21"/>
      <c r="E825" s="136"/>
      <c r="F825" s="136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</row>
    <row r="826">
      <c r="A826" s="21"/>
      <c r="B826" s="21"/>
      <c r="C826" s="21"/>
      <c r="D826" s="21"/>
      <c r="E826" s="136"/>
      <c r="F826" s="136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</row>
    <row r="827">
      <c r="A827" s="21"/>
      <c r="B827" s="21"/>
      <c r="C827" s="21"/>
      <c r="D827" s="21"/>
      <c r="E827" s="136"/>
      <c r="F827" s="136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</row>
    <row r="828">
      <c r="A828" s="21"/>
      <c r="B828" s="21"/>
      <c r="C828" s="21"/>
      <c r="D828" s="21"/>
      <c r="E828" s="136"/>
      <c r="F828" s="136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</row>
    <row r="829">
      <c r="A829" s="21"/>
      <c r="B829" s="21"/>
      <c r="C829" s="21"/>
      <c r="D829" s="21"/>
      <c r="E829" s="136"/>
      <c r="F829" s="136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</row>
    <row r="830">
      <c r="A830" s="21"/>
      <c r="B830" s="21"/>
      <c r="C830" s="21"/>
      <c r="D830" s="21"/>
      <c r="E830" s="136"/>
      <c r="F830" s="136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</row>
    <row r="831">
      <c r="A831" s="21"/>
      <c r="B831" s="21"/>
      <c r="C831" s="21"/>
      <c r="D831" s="21"/>
      <c r="E831" s="136"/>
      <c r="F831" s="136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</row>
    <row r="832">
      <c r="A832" s="21"/>
      <c r="B832" s="21"/>
      <c r="C832" s="21"/>
      <c r="D832" s="21"/>
      <c r="E832" s="136"/>
      <c r="F832" s="136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</row>
    <row r="833">
      <c r="A833" s="21"/>
      <c r="B833" s="21"/>
      <c r="C833" s="21"/>
      <c r="D833" s="21"/>
      <c r="E833" s="136"/>
      <c r="F833" s="136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</row>
    <row r="834">
      <c r="A834" s="21"/>
      <c r="B834" s="21"/>
      <c r="C834" s="21"/>
      <c r="D834" s="21"/>
      <c r="E834" s="136"/>
      <c r="F834" s="136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</row>
    <row r="835">
      <c r="A835" s="21"/>
      <c r="B835" s="21"/>
      <c r="C835" s="21"/>
      <c r="D835" s="21"/>
      <c r="E835" s="136"/>
      <c r="F835" s="136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</row>
    <row r="836">
      <c r="A836" s="21"/>
      <c r="B836" s="21"/>
      <c r="C836" s="21"/>
      <c r="D836" s="21"/>
      <c r="E836" s="136"/>
      <c r="F836" s="136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</row>
    <row r="837">
      <c r="A837" s="21"/>
      <c r="B837" s="21"/>
      <c r="C837" s="21"/>
      <c r="D837" s="21"/>
      <c r="E837" s="136"/>
      <c r="F837" s="136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</row>
    <row r="838">
      <c r="A838" s="21"/>
      <c r="B838" s="21"/>
      <c r="C838" s="21"/>
      <c r="D838" s="21"/>
      <c r="E838" s="136"/>
      <c r="F838" s="136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</row>
    <row r="839">
      <c r="A839" s="21"/>
      <c r="B839" s="21"/>
      <c r="C839" s="21"/>
      <c r="D839" s="21"/>
      <c r="E839" s="136"/>
      <c r="F839" s="136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</row>
    <row r="840">
      <c r="A840" s="21"/>
      <c r="B840" s="21"/>
      <c r="C840" s="21"/>
      <c r="D840" s="21"/>
      <c r="E840" s="136"/>
      <c r="F840" s="136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</row>
    <row r="841">
      <c r="A841" s="21"/>
      <c r="B841" s="21"/>
      <c r="C841" s="21"/>
      <c r="D841" s="21"/>
      <c r="E841" s="136"/>
      <c r="F841" s="136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</row>
    <row r="842">
      <c r="A842" s="21"/>
      <c r="B842" s="21"/>
      <c r="C842" s="21"/>
      <c r="D842" s="21"/>
      <c r="E842" s="136"/>
      <c r="F842" s="136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</row>
    <row r="843">
      <c r="A843" s="21"/>
      <c r="B843" s="21"/>
      <c r="C843" s="21"/>
      <c r="D843" s="21"/>
      <c r="E843" s="136"/>
      <c r="F843" s="136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</row>
    <row r="844">
      <c r="A844" s="21"/>
      <c r="B844" s="21"/>
      <c r="C844" s="21"/>
      <c r="D844" s="21"/>
      <c r="E844" s="136"/>
      <c r="F844" s="136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</row>
    <row r="845">
      <c r="A845" s="21"/>
      <c r="B845" s="21"/>
      <c r="C845" s="21"/>
      <c r="D845" s="21"/>
      <c r="E845" s="136"/>
      <c r="F845" s="136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</row>
    <row r="846">
      <c r="A846" s="21"/>
      <c r="B846" s="21"/>
      <c r="C846" s="21"/>
      <c r="D846" s="21"/>
      <c r="E846" s="136"/>
      <c r="F846" s="136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</row>
    <row r="847">
      <c r="A847" s="21"/>
      <c r="B847" s="21"/>
      <c r="C847" s="21"/>
      <c r="D847" s="21"/>
      <c r="E847" s="136"/>
      <c r="F847" s="136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</row>
    <row r="848">
      <c r="A848" s="21"/>
      <c r="B848" s="21"/>
      <c r="C848" s="21"/>
      <c r="D848" s="21"/>
      <c r="E848" s="136"/>
      <c r="F848" s="136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</row>
    <row r="849">
      <c r="A849" s="21"/>
      <c r="B849" s="21"/>
      <c r="C849" s="21"/>
      <c r="D849" s="21"/>
      <c r="E849" s="136"/>
      <c r="F849" s="136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</row>
    <row r="850">
      <c r="A850" s="21"/>
      <c r="B850" s="21"/>
      <c r="C850" s="21"/>
      <c r="D850" s="21"/>
      <c r="E850" s="136"/>
      <c r="F850" s="136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</row>
    <row r="851">
      <c r="A851" s="21"/>
      <c r="B851" s="21"/>
      <c r="C851" s="21"/>
      <c r="D851" s="21"/>
      <c r="E851" s="136"/>
      <c r="F851" s="136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</row>
    <row r="852">
      <c r="A852" s="21"/>
      <c r="B852" s="21"/>
      <c r="C852" s="21"/>
      <c r="D852" s="21"/>
      <c r="E852" s="136"/>
      <c r="F852" s="136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</row>
    <row r="853">
      <c r="A853" s="21"/>
      <c r="B853" s="21"/>
      <c r="C853" s="21"/>
      <c r="D853" s="21"/>
      <c r="E853" s="136"/>
      <c r="F853" s="136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</row>
    <row r="854">
      <c r="A854" s="21"/>
      <c r="B854" s="21"/>
      <c r="C854" s="21"/>
      <c r="D854" s="21"/>
      <c r="E854" s="136"/>
      <c r="F854" s="136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</row>
    <row r="855">
      <c r="A855" s="21"/>
      <c r="B855" s="21"/>
      <c r="C855" s="21"/>
      <c r="D855" s="21"/>
      <c r="E855" s="136"/>
      <c r="F855" s="136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</row>
    <row r="856">
      <c r="A856" s="21"/>
      <c r="B856" s="21"/>
      <c r="C856" s="21"/>
      <c r="D856" s="21"/>
      <c r="E856" s="136"/>
      <c r="F856" s="136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</row>
    <row r="857">
      <c r="A857" s="21"/>
      <c r="B857" s="21"/>
      <c r="C857" s="21"/>
      <c r="D857" s="21"/>
      <c r="E857" s="136"/>
      <c r="F857" s="136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</row>
    <row r="858">
      <c r="A858" s="21"/>
      <c r="B858" s="21"/>
      <c r="C858" s="21"/>
      <c r="D858" s="21"/>
      <c r="E858" s="136"/>
      <c r="F858" s="136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</row>
    <row r="859">
      <c r="A859" s="21"/>
      <c r="B859" s="21"/>
      <c r="C859" s="21"/>
      <c r="D859" s="21"/>
      <c r="E859" s="136"/>
      <c r="F859" s="136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</row>
    <row r="860">
      <c r="A860" s="21"/>
      <c r="B860" s="21"/>
      <c r="C860" s="21"/>
      <c r="D860" s="21"/>
      <c r="E860" s="136"/>
      <c r="F860" s="136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</row>
    <row r="861">
      <c r="A861" s="21"/>
      <c r="B861" s="21"/>
      <c r="C861" s="21"/>
      <c r="D861" s="21"/>
      <c r="E861" s="136"/>
      <c r="F861" s="136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</row>
    <row r="862">
      <c r="A862" s="21"/>
      <c r="B862" s="21"/>
      <c r="C862" s="21"/>
      <c r="D862" s="21"/>
      <c r="E862" s="136"/>
      <c r="F862" s="136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</row>
    <row r="863">
      <c r="A863" s="21"/>
      <c r="B863" s="21"/>
      <c r="C863" s="21"/>
      <c r="D863" s="21"/>
      <c r="E863" s="136"/>
      <c r="F863" s="136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</row>
    <row r="864">
      <c r="A864" s="21"/>
      <c r="B864" s="21"/>
      <c r="C864" s="21"/>
      <c r="D864" s="21"/>
      <c r="E864" s="136"/>
      <c r="F864" s="136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</row>
    <row r="865">
      <c r="A865" s="21"/>
      <c r="B865" s="21"/>
      <c r="C865" s="21"/>
      <c r="D865" s="21"/>
      <c r="E865" s="136"/>
      <c r="F865" s="136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</row>
    <row r="866">
      <c r="A866" s="21"/>
      <c r="B866" s="21"/>
      <c r="C866" s="21"/>
      <c r="D866" s="21"/>
      <c r="E866" s="136"/>
      <c r="F866" s="136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</row>
    <row r="867">
      <c r="A867" s="21"/>
      <c r="B867" s="21"/>
      <c r="C867" s="21"/>
      <c r="D867" s="21"/>
      <c r="E867" s="136"/>
      <c r="F867" s="136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</row>
    <row r="868">
      <c r="A868" s="21"/>
      <c r="B868" s="21"/>
      <c r="C868" s="21"/>
      <c r="D868" s="21"/>
      <c r="E868" s="136"/>
      <c r="F868" s="136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</row>
    <row r="869">
      <c r="A869" s="21"/>
      <c r="B869" s="21"/>
      <c r="C869" s="21"/>
      <c r="D869" s="21"/>
      <c r="E869" s="136"/>
      <c r="F869" s="136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</row>
    <row r="870">
      <c r="A870" s="21"/>
      <c r="B870" s="21"/>
      <c r="C870" s="21"/>
      <c r="D870" s="21"/>
      <c r="E870" s="136"/>
      <c r="F870" s="136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</row>
    <row r="871">
      <c r="A871" s="21"/>
      <c r="B871" s="21"/>
      <c r="C871" s="21"/>
      <c r="D871" s="21"/>
      <c r="E871" s="136"/>
      <c r="F871" s="136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</row>
    <row r="872">
      <c r="A872" s="21"/>
      <c r="B872" s="21"/>
      <c r="C872" s="21"/>
      <c r="D872" s="21"/>
      <c r="E872" s="136"/>
      <c r="F872" s="136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</row>
    <row r="873">
      <c r="A873" s="21"/>
      <c r="B873" s="21"/>
      <c r="C873" s="21"/>
      <c r="D873" s="21"/>
      <c r="E873" s="136"/>
      <c r="F873" s="136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</row>
    <row r="874">
      <c r="A874" s="21"/>
      <c r="B874" s="21"/>
      <c r="C874" s="21"/>
      <c r="D874" s="21"/>
      <c r="E874" s="136"/>
      <c r="F874" s="136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</row>
    <row r="875">
      <c r="A875" s="21"/>
      <c r="B875" s="21"/>
      <c r="C875" s="21"/>
      <c r="D875" s="21"/>
      <c r="E875" s="136"/>
      <c r="F875" s="136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</row>
    <row r="876">
      <c r="A876" s="21"/>
      <c r="B876" s="21"/>
      <c r="C876" s="21"/>
      <c r="D876" s="21"/>
      <c r="E876" s="136"/>
      <c r="F876" s="136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</row>
    <row r="877">
      <c r="A877" s="21"/>
      <c r="B877" s="21"/>
      <c r="C877" s="21"/>
      <c r="D877" s="21"/>
      <c r="E877" s="136"/>
      <c r="F877" s="136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</row>
    <row r="878">
      <c r="A878" s="21"/>
      <c r="B878" s="21"/>
      <c r="C878" s="21"/>
      <c r="D878" s="21"/>
      <c r="E878" s="136"/>
      <c r="F878" s="136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</row>
    <row r="879">
      <c r="A879" s="21"/>
      <c r="B879" s="21"/>
      <c r="C879" s="21"/>
      <c r="D879" s="21"/>
      <c r="E879" s="136"/>
      <c r="F879" s="136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</row>
    <row r="880">
      <c r="A880" s="21"/>
      <c r="B880" s="21"/>
      <c r="C880" s="21"/>
      <c r="D880" s="21"/>
      <c r="E880" s="136"/>
      <c r="F880" s="136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</row>
    <row r="881">
      <c r="A881" s="21"/>
      <c r="B881" s="21"/>
      <c r="C881" s="21"/>
      <c r="D881" s="21"/>
      <c r="E881" s="136"/>
      <c r="F881" s="136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</row>
    <row r="882">
      <c r="A882" s="21"/>
      <c r="B882" s="21"/>
      <c r="C882" s="21"/>
      <c r="D882" s="21"/>
      <c r="E882" s="136"/>
      <c r="F882" s="136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</row>
    <row r="883">
      <c r="A883" s="21"/>
      <c r="B883" s="21"/>
      <c r="C883" s="21"/>
      <c r="D883" s="21"/>
      <c r="E883" s="136"/>
      <c r="F883" s="136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</row>
    <row r="884">
      <c r="A884" s="21"/>
      <c r="B884" s="21"/>
      <c r="C884" s="21"/>
      <c r="D884" s="21"/>
      <c r="E884" s="136"/>
      <c r="F884" s="136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</row>
    <row r="885">
      <c r="A885" s="21"/>
      <c r="B885" s="21"/>
      <c r="C885" s="21"/>
      <c r="D885" s="21"/>
      <c r="E885" s="136"/>
      <c r="F885" s="136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</row>
    <row r="886">
      <c r="A886" s="21"/>
      <c r="B886" s="21"/>
      <c r="C886" s="21"/>
      <c r="D886" s="21"/>
      <c r="E886" s="136"/>
      <c r="F886" s="136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</row>
    <row r="887">
      <c r="A887" s="21"/>
      <c r="B887" s="21"/>
      <c r="C887" s="21"/>
      <c r="D887" s="21"/>
      <c r="E887" s="136"/>
      <c r="F887" s="136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</row>
    <row r="888">
      <c r="A888" s="21"/>
      <c r="B888" s="21"/>
      <c r="C888" s="21"/>
      <c r="D888" s="21"/>
      <c r="E888" s="136"/>
      <c r="F888" s="136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</row>
    <row r="889">
      <c r="A889" s="21"/>
      <c r="B889" s="21"/>
      <c r="C889" s="21"/>
      <c r="D889" s="21"/>
      <c r="E889" s="136"/>
      <c r="F889" s="136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</row>
    <row r="890">
      <c r="A890" s="21"/>
      <c r="B890" s="21"/>
      <c r="C890" s="21"/>
      <c r="D890" s="21"/>
      <c r="E890" s="136"/>
      <c r="F890" s="136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</row>
    <row r="891">
      <c r="A891" s="21"/>
      <c r="B891" s="21"/>
      <c r="C891" s="21"/>
      <c r="D891" s="21"/>
      <c r="E891" s="136"/>
      <c r="F891" s="136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</row>
    <row r="892">
      <c r="A892" s="21"/>
      <c r="B892" s="21"/>
      <c r="C892" s="21"/>
      <c r="D892" s="21"/>
      <c r="E892" s="136"/>
      <c r="F892" s="136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</row>
    <row r="893">
      <c r="A893" s="21"/>
      <c r="B893" s="21"/>
      <c r="C893" s="21"/>
      <c r="D893" s="21"/>
      <c r="E893" s="136"/>
      <c r="F893" s="136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</row>
    <row r="894">
      <c r="A894" s="21"/>
      <c r="B894" s="21"/>
      <c r="C894" s="21"/>
      <c r="D894" s="21"/>
      <c r="E894" s="136"/>
      <c r="F894" s="136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</row>
    <row r="895">
      <c r="A895" s="21"/>
      <c r="B895" s="21"/>
      <c r="C895" s="21"/>
      <c r="D895" s="21"/>
      <c r="E895" s="136"/>
      <c r="F895" s="136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</row>
    <row r="896">
      <c r="A896" s="21"/>
      <c r="B896" s="21"/>
      <c r="C896" s="21"/>
      <c r="D896" s="21"/>
      <c r="E896" s="136"/>
      <c r="F896" s="136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</row>
    <row r="897">
      <c r="A897" s="21"/>
      <c r="B897" s="21"/>
      <c r="C897" s="21"/>
      <c r="D897" s="21"/>
      <c r="E897" s="136"/>
      <c r="F897" s="136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</row>
    <row r="898">
      <c r="A898" s="21"/>
      <c r="B898" s="21"/>
      <c r="C898" s="21"/>
      <c r="D898" s="21"/>
      <c r="E898" s="136"/>
      <c r="F898" s="136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</row>
    <row r="899">
      <c r="A899" s="21"/>
      <c r="B899" s="21"/>
      <c r="C899" s="21"/>
      <c r="D899" s="21"/>
      <c r="E899" s="136"/>
      <c r="F899" s="136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</row>
    <row r="900">
      <c r="A900" s="21"/>
      <c r="B900" s="21"/>
      <c r="C900" s="21"/>
      <c r="D900" s="21"/>
      <c r="E900" s="136"/>
      <c r="F900" s="136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</row>
    <row r="901">
      <c r="A901" s="21"/>
      <c r="B901" s="21"/>
      <c r="C901" s="21"/>
      <c r="D901" s="21"/>
      <c r="E901" s="136"/>
      <c r="F901" s="136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</row>
    <row r="902">
      <c r="A902" s="21"/>
      <c r="B902" s="21"/>
      <c r="C902" s="21"/>
      <c r="D902" s="21"/>
      <c r="E902" s="136"/>
      <c r="F902" s="136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</row>
    <row r="903">
      <c r="A903" s="21"/>
      <c r="B903" s="21"/>
      <c r="C903" s="21"/>
      <c r="D903" s="21"/>
      <c r="E903" s="136"/>
      <c r="F903" s="136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</row>
    <row r="904">
      <c r="A904" s="21"/>
      <c r="B904" s="21"/>
      <c r="C904" s="21"/>
      <c r="D904" s="21"/>
      <c r="E904" s="136"/>
      <c r="F904" s="136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</row>
    <row r="905">
      <c r="A905" s="21"/>
      <c r="B905" s="21"/>
      <c r="C905" s="21"/>
      <c r="D905" s="21"/>
      <c r="E905" s="136"/>
      <c r="F905" s="136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</row>
    <row r="906">
      <c r="A906" s="21"/>
      <c r="B906" s="21"/>
      <c r="C906" s="21"/>
      <c r="D906" s="21"/>
      <c r="E906" s="136"/>
      <c r="F906" s="136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</row>
    <row r="907">
      <c r="A907" s="21"/>
      <c r="B907" s="21"/>
      <c r="C907" s="21"/>
      <c r="D907" s="21"/>
      <c r="E907" s="136"/>
      <c r="F907" s="136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</row>
    <row r="908">
      <c r="A908" s="21"/>
      <c r="B908" s="21"/>
      <c r="C908" s="21"/>
      <c r="D908" s="21"/>
      <c r="E908" s="136"/>
      <c r="F908" s="136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</row>
    <row r="909">
      <c r="A909" s="21"/>
      <c r="B909" s="21"/>
      <c r="C909" s="21"/>
      <c r="D909" s="21"/>
      <c r="E909" s="136"/>
      <c r="F909" s="136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</row>
    <row r="910">
      <c r="A910" s="21"/>
      <c r="B910" s="21"/>
      <c r="C910" s="21"/>
      <c r="D910" s="21"/>
      <c r="E910" s="136"/>
      <c r="F910" s="136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</row>
    <row r="911">
      <c r="A911" s="21"/>
      <c r="B911" s="21"/>
      <c r="C911" s="21"/>
      <c r="D911" s="21"/>
      <c r="E911" s="136"/>
      <c r="F911" s="136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</row>
    <row r="912">
      <c r="A912" s="21"/>
      <c r="B912" s="21"/>
      <c r="C912" s="21"/>
      <c r="D912" s="21"/>
      <c r="E912" s="136"/>
      <c r="F912" s="136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</row>
    <row r="913">
      <c r="A913" s="21"/>
      <c r="B913" s="21"/>
      <c r="C913" s="21"/>
      <c r="D913" s="21"/>
      <c r="E913" s="136"/>
      <c r="F913" s="136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</row>
    <row r="914">
      <c r="A914" s="21"/>
      <c r="B914" s="21"/>
      <c r="C914" s="21"/>
      <c r="D914" s="21"/>
      <c r="E914" s="136"/>
      <c r="F914" s="136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</row>
    <row r="915">
      <c r="A915" s="21"/>
      <c r="B915" s="21"/>
      <c r="C915" s="21"/>
      <c r="D915" s="21"/>
      <c r="E915" s="136"/>
      <c r="F915" s="136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</row>
    <row r="916">
      <c r="A916" s="21"/>
      <c r="B916" s="21"/>
      <c r="C916" s="21"/>
      <c r="D916" s="21"/>
      <c r="E916" s="136"/>
      <c r="F916" s="136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</row>
    <row r="917">
      <c r="A917" s="21"/>
      <c r="B917" s="21"/>
      <c r="C917" s="21"/>
      <c r="D917" s="21"/>
      <c r="E917" s="136"/>
      <c r="F917" s="136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</row>
    <row r="918">
      <c r="A918" s="21"/>
      <c r="B918" s="21"/>
      <c r="C918" s="21"/>
      <c r="D918" s="21"/>
      <c r="E918" s="136"/>
      <c r="F918" s="136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</row>
    <row r="919">
      <c r="A919" s="21"/>
      <c r="B919" s="21"/>
      <c r="C919" s="21"/>
      <c r="D919" s="21"/>
      <c r="E919" s="136"/>
      <c r="F919" s="136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</row>
    <row r="920">
      <c r="A920" s="21"/>
      <c r="B920" s="21"/>
      <c r="C920" s="21"/>
      <c r="D920" s="21"/>
      <c r="E920" s="136"/>
      <c r="F920" s="136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</row>
    <row r="921">
      <c r="A921" s="21"/>
      <c r="B921" s="21"/>
      <c r="C921" s="21"/>
      <c r="D921" s="21"/>
      <c r="E921" s="136"/>
      <c r="F921" s="136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</row>
    <row r="922">
      <c r="A922" s="21"/>
      <c r="B922" s="21"/>
      <c r="C922" s="21"/>
      <c r="D922" s="21"/>
      <c r="E922" s="136"/>
      <c r="F922" s="136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</row>
    <row r="923">
      <c r="A923" s="21"/>
      <c r="B923" s="21"/>
      <c r="C923" s="21"/>
      <c r="D923" s="21"/>
      <c r="E923" s="136"/>
      <c r="F923" s="136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</row>
    <row r="924">
      <c r="A924" s="21"/>
      <c r="B924" s="21"/>
      <c r="C924" s="21"/>
      <c r="D924" s="21"/>
      <c r="E924" s="136"/>
      <c r="F924" s="136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</row>
    <row r="925">
      <c r="A925" s="21"/>
      <c r="B925" s="21"/>
      <c r="C925" s="21"/>
      <c r="D925" s="21"/>
      <c r="E925" s="136"/>
      <c r="F925" s="136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</row>
    <row r="926">
      <c r="A926" s="21"/>
      <c r="B926" s="21"/>
      <c r="C926" s="21"/>
      <c r="D926" s="21"/>
      <c r="E926" s="136"/>
      <c r="F926" s="136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</row>
    <row r="927">
      <c r="A927" s="21"/>
      <c r="B927" s="21"/>
      <c r="C927" s="21"/>
      <c r="D927" s="21"/>
      <c r="E927" s="136"/>
      <c r="F927" s="136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</row>
    <row r="928">
      <c r="A928" s="21"/>
      <c r="B928" s="21"/>
      <c r="C928" s="21"/>
      <c r="D928" s="21"/>
      <c r="E928" s="136"/>
      <c r="F928" s="136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</row>
    <row r="929">
      <c r="A929" s="21"/>
      <c r="B929" s="21"/>
      <c r="C929" s="21"/>
      <c r="D929" s="21"/>
      <c r="E929" s="136"/>
      <c r="F929" s="136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</row>
    <row r="930">
      <c r="A930" s="21"/>
      <c r="B930" s="21"/>
      <c r="C930" s="21"/>
      <c r="D930" s="21"/>
      <c r="E930" s="136"/>
      <c r="F930" s="136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</row>
    <row r="931">
      <c r="A931" s="21"/>
      <c r="B931" s="21"/>
      <c r="C931" s="21"/>
      <c r="D931" s="21"/>
      <c r="E931" s="136"/>
      <c r="F931" s="136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</row>
    <row r="932">
      <c r="A932" s="21"/>
      <c r="B932" s="21"/>
      <c r="C932" s="21"/>
      <c r="D932" s="21"/>
      <c r="E932" s="136"/>
      <c r="F932" s="136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</row>
    <row r="933">
      <c r="A933" s="21"/>
      <c r="B933" s="21"/>
      <c r="C933" s="21"/>
      <c r="D933" s="21"/>
      <c r="E933" s="136"/>
      <c r="F933" s="136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</row>
    <row r="934">
      <c r="A934" s="21"/>
      <c r="B934" s="21"/>
      <c r="C934" s="21"/>
      <c r="D934" s="21"/>
      <c r="E934" s="136"/>
      <c r="F934" s="136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</row>
    <row r="935">
      <c r="A935" s="21"/>
      <c r="B935" s="21"/>
      <c r="C935" s="21"/>
      <c r="D935" s="21"/>
      <c r="E935" s="136"/>
      <c r="F935" s="136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</row>
    <row r="936">
      <c r="A936" s="21"/>
      <c r="B936" s="21"/>
      <c r="C936" s="21"/>
      <c r="D936" s="21"/>
      <c r="E936" s="136"/>
      <c r="F936" s="136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</row>
    <row r="937">
      <c r="A937" s="21"/>
      <c r="B937" s="21"/>
      <c r="C937" s="21"/>
      <c r="D937" s="21"/>
      <c r="E937" s="136"/>
      <c r="F937" s="136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</row>
    <row r="938">
      <c r="A938" s="21"/>
      <c r="B938" s="21"/>
      <c r="C938" s="21"/>
      <c r="D938" s="21"/>
      <c r="E938" s="136"/>
      <c r="F938" s="136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</row>
    <row r="939">
      <c r="A939" s="21"/>
      <c r="B939" s="21"/>
      <c r="C939" s="21"/>
      <c r="D939" s="21"/>
      <c r="E939" s="136"/>
      <c r="F939" s="136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</row>
    <row r="940">
      <c r="A940" s="21"/>
      <c r="B940" s="21"/>
      <c r="C940" s="21"/>
      <c r="D940" s="21"/>
      <c r="E940" s="136"/>
      <c r="F940" s="136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</row>
    <row r="941">
      <c r="A941" s="21"/>
      <c r="B941" s="21"/>
      <c r="C941" s="21"/>
      <c r="D941" s="21"/>
      <c r="E941" s="136"/>
      <c r="F941" s="136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</row>
    <row r="942">
      <c r="A942" s="21"/>
      <c r="B942" s="21"/>
      <c r="C942" s="21"/>
      <c r="D942" s="21"/>
      <c r="E942" s="136"/>
      <c r="F942" s="136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</row>
    <row r="943">
      <c r="A943" s="21"/>
      <c r="B943" s="21"/>
      <c r="C943" s="21"/>
      <c r="D943" s="21"/>
      <c r="E943" s="136"/>
      <c r="F943" s="136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</row>
    <row r="944">
      <c r="A944" s="21"/>
      <c r="B944" s="21"/>
      <c r="C944" s="21"/>
      <c r="D944" s="21"/>
      <c r="E944" s="136"/>
      <c r="F944" s="136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</row>
    <row r="945">
      <c r="A945" s="21"/>
      <c r="B945" s="21"/>
      <c r="C945" s="21"/>
      <c r="D945" s="21"/>
      <c r="E945" s="136"/>
      <c r="F945" s="136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</row>
    <row r="946">
      <c r="A946" s="21"/>
      <c r="B946" s="21"/>
      <c r="C946" s="21"/>
      <c r="D946" s="21"/>
      <c r="E946" s="136"/>
      <c r="F946" s="136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</row>
    <row r="947">
      <c r="A947" s="21"/>
      <c r="B947" s="21"/>
      <c r="C947" s="21"/>
      <c r="D947" s="21"/>
      <c r="E947" s="136"/>
      <c r="F947" s="136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</row>
    <row r="948">
      <c r="A948" s="21"/>
      <c r="B948" s="21"/>
      <c r="C948" s="21"/>
      <c r="D948" s="21"/>
      <c r="E948" s="136"/>
      <c r="F948" s="136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</row>
    <row r="949">
      <c r="A949" s="21"/>
      <c r="B949" s="21"/>
      <c r="C949" s="21"/>
      <c r="D949" s="21"/>
      <c r="E949" s="136"/>
      <c r="F949" s="136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</row>
    <row r="950">
      <c r="A950" s="21"/>
      <c r="B950" s="21"/>
      <c r="C950" s="21"/>
      <c r="D950" s="21"/>
      <c r="E950" s="136"/>
      <c r="F950" s="136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</row>
    <row r="951">
      <c r="A951" s="21"/>
      <c r="B951" s="21"/>
      <c r="C951" s="21"/>
      <c r="D951" s="21"/>
      <c r="E951" s="136"/>
      <c r="F951" s="136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</row>
    <row r="952">
      <c r="A952" s="21"/>
      <c r="B952" s="21"/>
      <c r="C952" s="21"/>
      <c r="D952" s="21"/>
      <c r="E952" s="136"/>
      <c r="F952" s="136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</row>
    <row r="953">
      <c r="A953" s="21"/>
      <c r="B953" s="21"/>
      <c r="C953" s="21"/>
      <c r="D953" s="21"/>
      <c r="E953" s="136"/>
      <c r="F953" s="136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</row>
    <row r="954">
      <c r="A954" s="21"/>
      <c r="B954" s="21"/>
      <c r="C954" s="21"/>
      <c r="D954" s="21"/>
      <c r="E954" s="136"/>
      <c r="F954" s="136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</row>
    <row r="955">
      <c r="A955" s="21"/>
      <c r="B955" s="21"/>
      <c r="C955" s="21"/>
      <c r="D955" s="21"/>
      <c r="E955" s="136"/>
      <c r="F955" s="136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</row>
    <row r="956">
      <c r="A956" s="21"/>
      <c r="B956" s="21"/>
      <c r="C956" s="21"/>
      <c r="D956" s="21"/>
      <c r="E956" s="136"/>
      <c r="F956" s="136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</row>
    <row r="957">
      <c r="A957" s="21"/>
      <c r="B957" s="21"/>
      <c r="C957" s="21"/>
      <c r="D957" s="21"/>
      <c r="E957" s="136"/>
      <c r="F957" s="136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</row>
    <row r="958">
      <c r="A958" s="21"/>
      <c r="B958" s="21"/>
      <c r="C958" s="21"/>
      <c r="D958" s="21"/>
      <c r="E958" s="136"/>
      <c r="F958" s="136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</row>
    <row r="959">
      <c r="A959" s="21"/>
      <c r="B959" s="21"/>
      <c r="C959" s="21"/>
      <c r="D959" s="21"/>
      <c r="E959" s="136"/>
      <c r="F959" s="136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</row>
    <row r="960">
      <c r="A960" s="21"/>
      <c r="B960" s="21"/>
      <c r="C960" s="21"/>
      <c r="D960" s="21"/>
      <c r="E960" s="136"/>
      <c r="F960" s="136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</row>
    <row r="961">
      <c r="A961" s="21"/>
      <c r="B961" s="21"/>
      <c r="C961" s="21"/>
      <c r="D961" s="21"/>
      <c r="E961" s="136"/>
      <c r="F961" s="136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</row>
    <row r="962">
      <c r="A962" s="21"/>
      <c r="B962" s="21"/>
      <c r="C962" s="21"/>
      <c r="D962" s="21"/>
      <c r="E962" s="136"/>
      <c r="F962" s="136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</row>
    <row r="963">
      <c r="A963" s="21"/>
      <c r="B963" s="21"/>
      <c r="C963" s="21"/>
      <c r="D963" s="21"/>
      <c r="E963" s="136"/>
      <c r="F963" s="136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</row>
    <row r="964">
      <c r="A964" s="21"/>
      <c r="B964" s="21"/>
      <c r="C964" s="21"/>
      <c r="D964" s="21"/>
      <c r="E964" s="136"/>
      <c r="F964" s="136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</row>
    <row r="965">
      <c r="A965" s="21"/>
      <c r="B965" s="21"/>
      <c r="C965" s="21"/>
      <c r="D965" s="21"/>
      <c r="E965" s="136"/>
      <c r="F965" s="136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</row>
    <row r="966">
      <c r="A966" s="21"/>
      <c r="B966" s="21"/>
      <c r="C966" s="21"/>
      <c r="D966" s="21"/>
      <c r="E966" s="136"/>
      <c r="F966" s="136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</row>
    <row r="967">
      <c r="A967" s="21"/>
      <c r="B967" s="21"/>
      <c r="C967" s="21"/>
      <c r="D967" s="21"/>
      <c r="E967" s="136"/>
      <c r="F967" s="136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</row>
    <row r="968">
      <c r="A968" s="21"/>
      <c r="B968" s="21"/>
      <c r="C968" s="21"/>
      <c r="D968" s="21"/>
      <c r="E968" s="136"/>
      <c r="F968" s="136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</row>
    <row r="969">
      <c r="A969" s="21"/>
      <c r="B969" s="21"/>
      <c r="C969" s="21"/>
      <c r="D969" s="21"/>
      <c r="E969" s="136"/>
      <c r="F969" s="136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</row>
    <row r="970">
      <c r="A970" s="21"/>
      <c r="B970" s="21"/>
      <c r="C970" s="21"/>
      <c r="D970" s="21"/>
      <c r="E970" s="136"/>
      <c r="F970" s="136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</row>
    <row r="971">
      <c r="A971" s="21"/>
      <c r="B971" s="21"/>
      <c r="C971" s="21"/>
      <c r="D971" s="21"/>
      <c r="E971" s="136"/>
      <c r="F971" s="136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</row>
    <row r="972">
      <c r="A972" s="21"/>
      <c r="B972" s="21"/>
      <c r="C972" s="21"/>
      <c r="D972" s="21"/>
      <c r="E972" s="136"/>
      <c r="F972" s="136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</row>
    <row r="973">
      <c r="A973" s="21"/>
      <c r="B973" s="21"/>
      <c r="C973" s="21"/>
      <c r="D973" s="21"/>
      <c r="E973" s="136"/>
      <c r="F973" s="136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</row>
    <row r="974">
      <c r="A974" s="21"/>
      <c r="B974" s="21"/>
      <c r="C974" s="21"/>
      <c r="D974" s="21"/>
      <c r="E974" s="136"/>
      <c r="F974" s="136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</row>
    <row r="975">
      <c r="A975" s="21"/>
      <c r="B975" s="21"/>
      <c r="C975" s="21"/>
      <c r="D975" s="21"/>
      <c r="E975" s="136"/>
      <c r="F975" s="136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</row>
    <row r="976">
      <c r="A976" s="21"/>
      <c r="B976" s="21"/>
      <c r="C976" s="21"/>
      <c r="D976" s="21"/>
      <c r="E976" s="136"/>
      <c r="F976" s="136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</row>
    <row r="977">
      <c r="A977" s="21"/>
      <c r="B977" s="21"/>
      <c r="C977" s="21"/>
      <c r="D977" s="21"/>
      <c r="E977" s="136"/>
      <c r="F977" s="136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</row>
    <row r="978">
      <c r="A978" s="21"/>
      <c r="B978" s="21"/>
      <c r="C978" s="21"/>
      <c r="D978" s="21"/>
      <c r="E978" s="136"/>
      <c r="F978" s="136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</row>
    <row r="979">
      <c r="A979" s="21"/>
      <c r="B979" s="21"/>
      <c r="C979" s="21"/>
      <c r="D979" s="21"/>
      <c r="E979" s="136"/>
      <c r="F979" s="136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</row>
    <row r="980">
      <c r="A980" s="21"/>
      <c r="B980" s="21"/>
      <c r="C980" s="21"/>
      <c r="D980" s="21"/>
      <c r="E980" s="136"/>
      <c r="F980" s="136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</row>
    <row r="981">
      <c r="A981" s="21"/>
      <c r="B981" s="21"/>
      <c r="C981" s="21"/>
      <c r="D981" s="21"/>
      <c r="E981" s="136"/>
      <c r="F981" s="136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</row>
    <row r="982">
      <c r="A982" s="21"/>
      <c r="B982" s="21"/>
      <c r="C982" s="21"/>
      <c r="D982" s="21"/>
      <c r="E982" s="136"/>
      <c r="F982" s="136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</row>
    <row r="983">
      <c r="A983" s="21"/>
      <c r="B983" s="21"/>
      <c r="C983" s="21"/>
      <c r="D983" s="21"/>
      <c r="E983" s="136"/>
      <c r="F983" s="136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</row>
    <row r="984">
      <c r="A984" s="21"/>
      <c r="B984" s="21"/>
      <c r="C984" s="21"/>
      <c r="D984" s="21"/>
      <c r="E984" s="136"/>
      <c r="F984" s="136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</row>
    <row r="985">
      <c r="A985" s="21"/>
      <c r="B985" s="21"/>
      <c r="C985" s="21"/>
      <c r="D985" s="21"/>
      <c r="E985" s="136"/>
      <c r="F985" s="136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</row>
    <row r="986">
      <c r="A986" s="21"/>
      <c r="B986" s="21"/>
      <c r="C986" s="21"/>
      <c r="D986" s="21"/>
      <c r="E986" s="136"/>
      <c r="F986" s="136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</row>
    <row r="987">
      <c r="A987" s="21"/>
      <c r="B987" s="21"/>
      <c r="C987" s="21"/>
      <c r="D987" s="21"/>
      <c r="E987" s="136"/>
      <c r="F987" s="136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</row>
    <row r="988">
      <c r="A988" s="21"/>
      <c r="B988" s="21"/>
      <c r="C988" s="21"/>
      <c r="D988" s="21"/>
      <c r="E988" s="136"/>
      <c r="F988" s="136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</row>
    <row r="989">
      <c r="A989" s="21"/>
      <c r="B989" s="21"/>
      <c r="C989" s="21"/>
      <c r="D989" s="21"/>
      <c r="E989" s="136"/>
      <c r="F989" s="136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</row>
    <row r="990">
      <c r="A990" s="21"/>
      <c r="B990" s="21"/>
      <c r="C990" s="21"/>
      <c r="D990" s="21"/>
      <c r="E990" s="136"/>
      <c r="F990" s="136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</row>
    <row r="991">
      <c r="A991" s="21"/>
      <c r="B991" s="21"/>
      <c r="C991" s="21"/>
      <c r="D991" s="21"/>
      <c r="E991" s="136"/>
      <c r="F991" s="136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</row>
    <row r="992">
      <c r="A992" s="21"/>
      <c r="B992" s="21"/>
      <c r="C992" s="21"/>
      <c r="D992" s="21"/>
      <c r="E992" s="136"/>
      <c r="F992" s="136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</row>
    <row r="993">
      <c r="A993" s="21"/>
      <c r="B993" s="21"/>
      <c r="C993" s="21"/>
      <c r="D993" s="21"/>
      <c r="E993" s="136"/>
      <c r="F993" s="136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</row>
    <row r="994">
      <c r="A994" s="21"/>
      <c r="B994" s="21"/>
      <c r="C994" s="21"/>
      <c r="D994" s="21"/>
      <c r="E994" s="136"/>
      <c r="F994" s="136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</row>
    <row r="995">
      <c r="A995" s="21"/>
      <c r="B995" s="21"/>
      <c r="C995" s="21"/>
      <c r="D995" s="21"/>
      <c r="E995" s="136"/>
      <c r="F995" s="136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</row>
    <row r="996">
      <c r="A996" s="21"/>
      <c r="B996" s="21"/>
      <c r="C996" s="21"/>
      <c r="D996" s="21"/>
      <c r="E996" s="136"/>
      <c r="F996" s="136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</row>
    <row r="997">
      <c r="A997" s="21"/>
      <c r="B997" s="21"/>
      <c r="C997" s="21"/>
      <c r="D997" s="21"/>
      <c r="E997" s="136"/>
      <c r="F997" s="136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</row>
    <row r="998">
      <c r="A998" s="21"/>
      <c r="B998" s="21"/>
      <c r="C998" s="21"/>
      <c r="D998" s="21"/>
      <c r="E998" s="136"/>
      <c r="F998" s="136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</row>
    <row r="999">
      <c r="A999" s="21"/>
      <c r="B999" s="21"/>
      <c r="C999" s="21"/>
      <c r="D999" s="21"/>
      <c r="E999" s="136"/>
      <c r="F999" s="136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</row>
    <row r="1000">
      <c r="A1000" s="21"/>
      <c r="B1000" s="21"/>
      <c r="C1000" s="21"/>
      <c r="D1000" s="21"/>
      <c r="E1000" s="136"/>
      <c r="F1000" s="136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</row>
    <row r="1001">
      <c r="A1001" s="21"/>
      <c r="B1001" s="21"/>
      <c r="C1001" s="21"/>
      <c r="D1001" s="21"/>
      <c r="E1001" s="136"/>
      <c r="F1001" s="136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</row>
    <row r="1002">
      <c r="A1002" s="21"/>
      <c r="B1002" s="21"/>
      <c r="C1002" s="21"/>
      <c r="D1002" s="21"/>
      <c r="E1002" s="136"/>
      <c r="F1002" s="136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</row>
    <row r="1003">
      <c r="A1003" s="21"/>
      <c r="B1003" s="21"/>
      <c r="C1003" s="21"/>
      <c r="D1003" s="21"/>
      <c r="E1003" s="136"/>
      <c r="F1003" s="136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</row>
  </sheetData>
  <mergeCells count="5">
    <mergeCell ref="A1:B1"/>
    <mergeCell ref="E1:I1"/>
    <mergeCell ref="K1:L1"/>
    <mergeCell ref="M1:N1"/>
    <mergeCell ref="K14:L14"/>
  </mergeCells>
  <dataValidations>
    <dataValidation type="list" allowBlank="1" showErrorMessage="1" sqref="A1">
      <formula1>"Jan,Feb,Mar,Apr,May,Jun,Jul,Aug,Sep,Oct,Nov,Dec"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88"/>
    <col customWidth="1" min="2" max="2" width="15.0"/>
    <col customWidth="1" min="3" max="3" width="13.63"/>
    <col customWidth="1" min="4" max="4" width="10.88"/>
    <col customWidth="1" min="5" max="5" width="21.5"/>
    <col customWidth="1" min="7" max="7" width="9.0"/>
    <col customWidth="1" min="8" max="8" width="8.5"/>
    <col customWidth="1" min="9" max="9" width="10.5"/>
    <col customWidth="1" min="10" max="10" width="2.13"/>
    <col customWidth="1" min="11" max="11" width="16.25"/>
    <col customWidth="1" min="12" max="12" width="9.63"/>
    <col customWidth="1" min="13" max="13" width="11.75"/>
    <col customWidth="1" min="14" max="14" width="10.63"/>
    <col customWidth="1" min="15" max="15" width="4.63"/>
    <col customWidth="1" min="16" max="16" width="13.63"/>
    <col customWidth="1" min="18" max="18" width="14.75"/>
    <col customWidth="1" min="19" max="19" width="14.88"/>
  </cols>
  <sheetData>
    <row r="1">
      <c r="A1" s="4" t="s">
        <v>58</v>
      </c>
      <c r="C1" s="7"/>
      <c r="D1" s="9"/>
      <c r="E1" s="13" t="s">
        <v>5</v>
      </c>
      <c r="F1" s="16"/>
      <c r="G1" s="16"/>
      <c r="H1" s="16"/>
      <c r="I1" s="19"/>
      <c r="J1" s="21"/>
      <c r="K1" s="22" t="s">
        <v>9</v>
      </c>
      <c r="M1" s="22" t="s">
        <v>10</v>
      </c>
      <c r="O1" s="7"/>
      <c r="P1" s="7" t="s">
        <v>11</v>
      </c>
      <c r="Q1" s="7" t="s">
        <v>12</v>
      </c>
      <c r="R1" s="7" t="s">
        <v>13</v>
      </c>
      <c r="S1" s="7" t="s">
        <v>14</v>
      </c>
      <c r="T1" s="21"/>
      <c r="U1" s="7"/>
      <c r="V1" s="21"/>
    </row>
    <row r="2">
      <c r="A2" s="4" t="s">
        <v>0</v>
      </c>
      <c r="B2" s="4" t="s">
        <v>17</v>
      </c>
      <c r="C2" s="4" t="s">
        <v>18</v>
      </c>
      <c r="D2" s="7"/>
      <c r="E2" s="26" t="s">
        <v>20</v>
      </c>
      <c r="F2" s="28" t="s">
        <v>22</v>
      </c>
      <c r="G2" s="30" t="s">
        <v>23</v>
      </c>
      <c r="H2" s="7" t="s">
        <v>24</v>
      </c>
      <c r="I2" s="31" t="s">
        <v>25</v>
      </c>
      <c r="J2" s="21"/>
      <c r="K2" s="28" t="s">
        <v>20</v>
      </c>
      <c r="L2" s="28" t="s">
        <v>27</v>
      </c>
      <c r="M2" s="7" t="s">
        <v>28</v>
      </c>
      <c r="N2" s="7">
        <v>13.99</v>
      </c>
      <c r="O2" s="4"/>
      <c r="P2" s="156">
        <v>9.2</v>
      </c>
      <c r="Q2" s="28">
        <v>59.9</v>
      </c>
      <c r="R2" s="7">
        <v>21.73</v>
      </c>
      <c r="S2" s="7">
        <v>124.82</v>
      </c>
      <c r="T2" s="21"/>
      <c r="U2" s="7"/>
      <c r="V2" s="21"/>
    </row>
    <row r="3">
      <c r="A3" s="4">
        <v>2025.0</v>
      </c>
      <c r="B3" s="7">
        <f>-2047.08-52.7</f>
        <v>-2099.78</v>
      </c>
      <c r="C3" s="7"/>
      <c r="D3" s="7"/>
      <c r="E3" s="26" t="s">
        <v>30</v>
      </c>
      <c r="F3" s="39">
        <f t="shared" ref="F3:F24" si="1">G3+I3+H3</f>
        <v>550.93</v>
      </c>
      <c r="G3" s="30"/>
      <c r="H3" s="7"/>
      <c r="I3" s="31">
        <v>550.93</v>
      </c>
      <c r="J3" s="4"/>
      <c r="K3" s="28" t="s">
        <v>31</v>
      </c>
      <c r="L3" s="30">
        <v>29.87</v>
      </c>
      <c r="M3" s="7" t="s">
        <v>33</v>
      </c>
      <c r="N3" s="21">
        <f>IF($A$1="Sep",49.99,0)</f>
        <v>0</v>
      </c>
      <c r="O3" s="21"/>
      <c r="P3" s="156">
        <v>5.0</v>
      </c>
      <c r="Q3" s="28">
        <v>79.0</v>
      </c>
      <c r="R3" s="7">
        <v>30.0</v>
      </c>
      <c r="S3" s="7">
        <v>246.04</v>
      </c>
      <c r="T3" s="21"/>
      <c r="U3" s="7"/>
      <c r="V3" s="21"/>
    </row>
    <row r="4">
      <c r="A4" s="7" t="s">
        <v>34</v>
      </c>
      <c r="B4" s="7">
        <v>-133.47</v>
      </c>
      <c r="C4" s="21">
        <f>1360.14+50+19.99+202.5</f>
        <v>1632.63</v>
      </c>
      <c r="D4" s="21"/>
      <c r="E4" s="26" t="s">
        <v>38</v>
      </c>
      <c r="F4" s="39">
        <f t="shared" si="1"/>
        <v>242</v>
      </c>
      <c r="G4" s="30"/>
      <c r="H4" s="30"/>
      <c r="I4" s="31">
        <f>IF(OR($A$1="Jul",$A$1="Aug",$A$1="Sep"),0,IF($A$1="Oct",484,242))</f>
        <v>242</v>
      </c>
      <c r="J4" s="7"/>
      <c r="K4" s="5" t="s">
        <v>40</v>
      </c>
      <c r="L4" s="30">
        <v>246.04</v>
      </c>
      <c r="M4" s="7" t="s">
        <v>41</v>
      </c>
      <c r="N4" s="7">
        <v>10.99</v>
      </c>
      <c r="O4" s="21"/>
      <c r="P4" s="156">
        <v>47.51</v>
      </c>
      <c r="Q4" s="7">
        <v>1.79</v>
      </c>
      <c r="R4" s="7">
        <v>29.87</v>
      </c>
      <c r="S4" s="7"/>
      <c r="T4" s="21"/>
      <c r="U4" s="7"/>
      <c r="V4" s="21"/>
    </row>
    <row r="5">
      <c r="A5" s="7" t="s">
        <v>42</v>
      </c>
      <c r="B5" s="7">
        <v>280.2</v>
      </c>
      <c r="C5" s="7"/>
      <c r="D5" s="21"/>
      <c r="E5" s="26" t="s">
        <v>43</v>
      </c>
      <c r="F5" s="39">
        <f t="shared" si="1"/>
        <v>150.93</v>
      </c>
      <c r="G5" s="30"/>
      <c r="H5" s="7"/>
      <c r="I5" s="31">
        <f>IF(OR($A$1="Jun",$A$1="Jul",$A$1="Aug"),0,150.93)</f>
        <v>150.93</v>
      </c>
      <c r="J5" s="4"/>
      <c r="K5" s="22" t="s">
        <v>44</v>
      </c>
      <c r="L5" s="39">
        <v>124.82</v>
      </c>
      <c r="M5" s="7" t="s">
        <v>46</v>
      </c>
      <c r="N5" s="7">
        <v>7.99</v>
      </c>
      <c r="O5" s="21"/>
      <c r="P5" s="156">
        <v>7.54</v>
      </c>
      <c r="Q5" s="7">
        <v>238.4</v>
      </c>
      <c r="R5" s="7"/>
      <c r="S5" s="7"/>
      <c r="T5" s="21"/>
      <c r="U5" s="7"/>
      <c r="V5" s="21"/>
    </row>
    <row r="6">
      <c r="A6" s="4" t="s">
        <v>47</v>
      </c>
      <c r="B6" s="7">
        <v>-573.43</v>
      </c>
      <c r="C6" s="7">
        <v>100.0</v>
      </c>
      <c r="D6" s="21"/>
      <c r="E6" s="26" t="s">
        <v>48</v>
      </c>
      <c r="F6" s="39">
        <f t="shared" si="1"/>
        <v>0</v>
      </c>
      <c r="G6" s="30">
        <f>IF(OR($A$1="May",$A$1="Jun",$A$1="Jul",$A$1="Aug"),0,40)</f>
        <v>0</v>
      </c>
      <c r="H6" s="7"/>
      <c r="I6" s="31"/>
      <c r="J6" s="7"/>
      <c r="K6" s="22" t="s">
        <v>49</v>
      </c>
      <c r="L6" s="39">
        <f>238.4</f>
        <v>238.4</v>
      </c>
      <c r="M6" s="7" t="s">
        <v>50</v>
      </c>
      <c r="N6" s="7">
        <v>16.99</v>
      </c>
      <c r="O6" s="21"/>
      <c r="P6" s="30">
        <v>11.99</v>
      </c>
      <c r="Q6" s="7">
        <v>150.93</v>
      </c>
      <c r="R6" s="7"/>
      <c r="S6" s="21"/>
      <c r="T6" s="21"/>
      <c r="U6" s="7"/>
      <c r="V6" s="21"/>
    </row>
    <row r="7">
      <c r="A7" s="7" t="s">
        <v>51</v>
      </c>
      <c r="B7" s="7">
        <v>-779.65</v>
      </c>
      <c r="C7" s="7">
        <f>50+724.6</f>
        <v>774.6</v>
      </c>
      <c r="D7" s="21"/>
      <c r="E7" s="26" t="s">
        <v>52</v>
      </c>
      <c r="F7" s="39">
        <f t="shared" si="1"/>
        <v>30</v>
      </c>
      <c r="G7" s="30">
        <f>IF(OR($A$1="Jul",$A$1="Aug"),0,30)</f>
        <v>30</v>
      </c>
      <c r="H7" s="7"/>
      <c r="I7" s="31"/>
      <c r="J7" s="7"/>
      <c r="K7" s="28" t="s">
        <v>53</v>
      </c>
      <c r="L7" s="28">
        <v>308.96</v>
      </c>
      <c r="M7" s="7" t="s">
        <v>54</v>
      </c>
      <c r="N7" s="7">
        <v>1.79</v>
      </c>
      <c r="O7" s="21"/>
      <c r="P7" s="156">
        <v>173.14</v>
      </c>
      <c r="Q7" s="7">
        <v>112.97</v>
      </c>
      <c r="R7" s="7" t="s">
        <v>56</v>
      </c>
      <c r="S7" s="7" t="s">
        <v>57</v>
      </c>
      <c r="T7" s="21"/>
      <c r="U7" s="7"/>
      <c r="V7" s="21"/>
    </row>
    <row r="8">
      <c r="A8" s="7" t="s">
        <v>58</v>
      </c>
      <c r="B8" s="7">
        <v>-125.92</v>
      </c>
      <c r="C8" s="7"/>
      <c r="D8" s="21"/>
      <c r="E8" s="26" t="s">
        <v>60</v>
      </c>
      <c r="F8" s="39">
        <f t="shared" si="1"/>
        <v>120</v>
      </c>
      <c r="G8" s="30"/>
      <c r="H8" s="21"/>
      <c r="I8" s="31">
        <f>IF(OR($A$1="Jul",$A$1="Aug",$A$1="Sep"),150,IF(OR($A$1="May",$A$1="Jun",$A$1="Oct",$A$1="Nov"),120,100))</f>
        <v>120</v>
      </c>
      <c r="J8" s="60"/>
      <c r="K8" s="5" t="s">
        <v>141</v>
      </c>
      <c r="L8" s="30">
        <f>IF(OR($A$1="Jan",$A$1="Feb",$A$1="Mar",$A$1="Apr",$A$1="May",$A$1="Jun"),112.97,0)</f>
        <v>112.97</v>
      </c>
      <c r="M8" s="21"/>
      <c r="N8" s="21"/>
      <c r="O8" s="21"/>
      <c r="P8" s="156">
        <v>30.95</v>
      </c>
      <c r="Q8" s="7">
        <v>308.96</v>
      </c>
      <c r="R8" s="7"/>
      <c r="S8" s="7"/>
      <c r="T8" s="21"/>
      <c r="U8" s="7"/>
      <c r="V8" s="21"/>
    </row>
    <row r="9">
      <c r="A9" s="7" t="s">
        <v>64</v>
      </c>
      <c r="B9" s="21"/>
      <c r="C9" s="21"/>
      <c r="D9" s="21"/>
      <c r="E9" s="26" t="s">
        <v>65</v>
      </c>
      <c r="F9" s="39">
        <f t="shared" si="1"/>
        <v>0</v>
      </c>
      <c r="G9" s="30"/>
      <c r="H9" s="21"/>
      <c r="I9" s="31">
        <f>IF(OR($A$1="Jun",$A$1="Aug",$A$1="Oct"),90,IF(OR($A$1="Apr",$A$1="Dec"),130,IF($A$1="Feb",200,0)))</f>
        <v>0</v>
      </c>
      <c r="J9" s="60"/>
      <c r="K9" s="64" t="s">
        <v>67</v>
      </c>
      <c r="L9" s="68">
        <f>SUM(L3:L8)</f>
        <v>1061.06</v>
      </c>
      <c r="M9" s="69" t="s">
        <v>68</v>
      </c>
      <c r="N9" s="70">
        <f>SUM(N2:N7)</f>
        <v>51.75</v>
      </c>
      <c r="O9" s="21"/>
      <c r="P9" s="156">
        <v>35.41</v>
      </c>
      <c r="Q9" s="7">
        <v>16.99</v>
      </c>
      <c r="R9" s="21"/>
      <c r="S9" s="21"/>
      <c r="T9" s="21"/>
      <c r="U9" s="7"/>
      <c r="V9" s="21"/>
    </row>
    <row r="10">
      <c r="A10" s="7" t="s">
        <v>70</v>
      </c>
      <c r="B10" s="21"/>
      <c r="C10" s="21"/>
      <c r="D10" s="21"/>
      <c r="E10" s="72" t="s">
        <v>71</v>
      </c>
      <c r="F10" s="39">
        <f t="shared" si="1"/>
        <v>89</v>
      </c>
      <c r="G10" s="39"/>
      <c r="H10" s="21"/>
      <c r="I10" s="73">
        <f>79+10</f>
        <v>89</v>
      </c>
      <c r="J10" s="75"/>
      <c r="K10" s="5" t="s">
        <v>30</v>
      </c>
      <c r="L10" s="76">
        <f>F3</f>
        <v>550.93</v>
      </c>
      <c r="O10" s="21"/>
      <c r="P10" s="156">
        <v>1.67</v>
      </c>
      <c r="Q10" s="7">
        <v>13.99</v>
      </c>
      <c r="R10" s="21"/>
      <c r="S10" s="21"/>
      <c r="T10" s="21"/>
      <c r="U10" s="7"/>
      <c r="V10" s="21"/>
    </row>
    <row r="11">
      <c r="A11" s="7" t="s">
        <v>2</v>
      </c>
      <c r="B11" s="21"/>
      <c r="C11" s="21"/>
      <c r="D11" s="7"/>
      <c r="E11" s="26" t="s">
        <v>72</v>
      </c>
      <c r="F11" s="39">
        <f t="shared" si="1"/>
        <v>1061.06</v>
      </c>
      <c r="G11" s="30">
        <f>L3</f>
        <v>29.87</v>
      </c>
      <c r="H11" s="21">
        <f>L4+L5</f>
        <v>370.86</v>
      </c>
      <c r="I11" s="31">
        <f>SUM(L6:L8)</f>
        <v>660.33</v>
      </c>
      <c r="J11" s="28"/>
      <c r="K11" s="64" t="s">
        <v>68</v>
      </c>
      <c r="L11" s="68">
        <f>L9+L10</f>
        <v>1611.99</v>
      </c>
      <c r="O11" s="21"/>
      <c r="P11" s="156">
        <v>3.8</v>
      </c>
      <c r="Q11" s="7">
        <v>60.0</v>
      </c>
      <c r="R11" s="21"/>
      <c r="S11" s="21"/>
      <c r="T11" s="21"/>
      <c r="U11" s="7"/>
      <c r="V11" s="21"/>
    </row>
    <row r="12">
      <c r="A12" s="7" t="s">
        <v>3</v>
      </c>
      <c r="B12" s="21"/>
      <c r="C12" s="21"/>
      <c r="D12" s="21"/>
      <c r="E12" s="72" t="s">
        <v>75</v>
      </c>
      <c r="F12" s="39">
        <f t="shared" si="1"/>
        <v>50</v>
      </c>
      <c r="G12" s="30"/>
      <c r="H12" s="21"/>
      <c r="I12" s="73">
        <f>IF(OR($A$1="Jan",$A$1="Mar",$A$1="May",$A$1="Jul",$A$1="Sep",$A$1="Nov",),50,0)</f>
        <v>50</v>
      </c>
      <c r="J12" s="75"/>
      <c r="K12" s="81"/>
      <c r="L12" s="82"/>
      <c r="O12" s="21"/>
      <c r="P12" s="156">
        <v>2.4</v>
      </c>
      <c r="Q12" s="7">
        <v>42.64</v>
      </c>
      <c r="R12" s="21"/>
      <c r="S12" s="21"/>
      <c r="T12" s="21"/>
      <c r="U12" s="7"/>
      <c r="V12" s="21"/>
    </row>
    <row r="13">
      <c r="A13" s="7" t="s">
        <v>76</v>
      </c>
      <c r="B13" s="7"/>
      <c r="C13" s="21"/>
      <c r="D13" s="21"/>
      <c r="E13" s="72" t="s">
        <v>10</v>
      </c>
      <c r="F13" s="39">
        <f t="shared" si="1"/>
        <v>51.75</v>
      </c>
      <c r="G13" s="30"/>
      <c r="H13" s="7"/>
      <c r="I13" s="73">
        <f>SUM(N2:N7)</f>
        <v>51.75</v>
      </c>
      <c r="J13" s="28"/>
      <c r="O13" s="21"/>
      <c r="P13" s="156">
        <v>231.74</v>
      </c>
      <c r="Q13" s="7">
        <v>87.0</v>
      </c>
      <c r="R13" s="21"/>
      <c r="S13" s="21"/>
      <c r="T13" s="21"/>
      <c r="U13" s="7"/>
      <c r="V13" s="21"/>
    </row>
    <row r="14">
      <c r="A14" s="4" t="s">
        <v>79</v>
      </c>
      <c r="B14" s="21"/>
      <c r="C14" s="21"/>
      <c r="D14" s="7"/>
      <c r="E14" s="87" t="s">
        <v>81</v>
      </c>
      <c r="F14" s="39">
        <f t="shared" si="1"/>
        <v>60</v>
      </c>
      <c r="G14" s="21"/>
      <c r="H14" s="21"/>
      <c r="I14" s="89">
        <v>60.0</v>
      </c>
      <c r="J14" s="28"/>
      <c r="K14" s="5" t="s">
        <v>82</v>
      </c>
      <c r="M14" s="5"/>
      <c r="N14" s="5"/>
      <c r="O14" s="21"/>
      <c r="P14" s="7">
        <v>47.2</v>
      </c>
      <c r="Q14" s="7">
        <v>600.0</v>
      </c>
      <c r="R14" s="21"/>
      <c r="S14" s="21"/>
      <c r="T14" s="21"/>
      <c r="U14" s="21"/>
      <c r="V14" s="21"/>
    </row>
    <row r="15">
      <c r="A15" s="7" t="s">
        <v>83</v>
      </c>
      <c r="B15" s="21"/>
      <c r="C15" s="21"/>
      <c r="D15" s="21"/>
      <c r="E15" s="26" t="s">
        <v>84</v>
      </c>
      <c r="F15" s="39">
        <f t="shared" si="1"/>
        <v>0</v>
      </c>
      <c r="G15" s="30"/>
      <c r="H15" s="7"/>
      <c r="I15" s="31">
        <f>L20+L19</f>
        <v>0</v>
      </c>
      <c r="J15" s="4"/>
      <c r="K15" s="5" t="s">
        <v>86</v>
      </c>
      <c r="L15" s="21">
        <f>IF(OR($A$1="Feb",$A$1="May",$A$1="Aug",$A$1="Nov"),98.1,0)</f>
        <v>98.1</v>
      </c>
      <c r="M15" s="5"/>
      <c r="N15" s="5"/>
      <c r="O15" s="21"/>
      <c r="P15" s="7">
        <v>20.49</v>
      </c>
      <c r="Q15" s="7">
        <v>220.0</v>
      </c>
      <c r="R15" s="21"/>
      <c r="S15" s="21"/>
      <c r="T15" s="21"/>
      <c r="U15" s="21"/>
      <c r="V15" s="21"/>
    </row>
    <row r="16">
      <c r="A16" s="7" t="s">
        <v>68</v>
      </c>
      <c r="B16" s="7">
        <f>SUM(B3:B15)+C16</f>
        <v>-924.82</v>
      </c>
      <c r="C16" s="7">
        <f>SUM(C3:C15)</f>
        <v>2507.23</v>
      </c>
      <c r="D16" s="7"/>
      <c r="E16" s="72" t="s">
        <v>89</v>
      </c>
      <c r="F16" s="39">
        <f t="shared" si="1"/>
        <v>146.9</v>
      </c>
      <c r="G16" s="30"/>
      <c r="H16" s="7"/>
      <c r="I16" s="73">
        <f>IF($A$1="Feb",60.97,59.9) + 87</f>
        <v>146.9</v>
      </c>
      <c r="J16" s="4"/>
      <c r="K16" s="5" t="s">
        <v>63</v>
      </c>
      <c r="L16" s="21">
        <f>IF(OR($A$1="Feb",$A$1="May",$A$1="Aug",$A$1="Nov"),(39.15+82.31),0)</f>
        <v>121.46</v>
      </c>
      <c r="M16" s="5"/>
      <c r="N16" s="5"/>
      <c r="O16" s="21"/>
      <c r="P16" s="7">
        <v>17.99</v>
      </c>
      <c r="Q16" s="7">
        <v>98.11</v>
      </c>
      <c r="R16" s="21"/>
      <c r="S16" s="21"/>
      <c r="T16" s="21"/>
      <c r="U16" s="21"/>
      <c r="V16" s="21"/>
    </row>
    <row r="17">
      <c r="A17" s="21"/>
      <c r="B17" s="97"/>
      <c r="C17" s="97"/>
      <c r="D17" s="7"/>
      <c r="E17" s="87" t="s">
        <v>86</v>
      </c>
      <c r="F17" s="39">
        <f t="shared" si="1"/>
        <v>98.1</v>
      </c>
      <c r="G17" s="76"/>
      <c r="H17" s="7"/>
      <c r="I17" s="31">
        <f t="shared" ref="I17:I20" si="2">L15</f>
        <v>98.1</v>
      </c>
      <c r="J17" s="28"/>
      <c r="K17" s="5" t="s">
        <v>92</v>
      </c>
      <c r="L17" s="7">
        <f>IF($A$1="May",155.05,0)</f>
        <v>155.05</v>
      </c>
      <c r="M17" s="5"/>
      <c r="N17" s="98"/>
      <c r="O17" s="21"/>
      <c r="P17" s="7">
        <v>51.29</v>
      </c>
      <c r="Q17" s="7">
        <v>7.99</v>
      </c>
      <c r="R17" s="21"/>
      <c r="S17" s="21"/>
      <c r="T17" s="21"/>
      <c r="U17" s="21"/>
      <c r="V17" s="21"/>
    </row>
    <row r="18">
      <c r="A18" s="21"/>
      <c r="B18" s="21"/>
      <c r="C18" s="21"/>
      <c r="D18" s="7"/>
      <c r="E18" s="87" t="s">
        <v>63</v>
      </c>
      <c r="F18" s="39">
        <f t="shared" si="1"/>
        <v>121.46</v>
      </c>
      <c r="G18" s="7"/>
      <c r="H18" s="30"/>
      <c r="I18" s="31">
        <f t="shared" si="2"/>
        <v>121.46</v>
      </c>
      <c r="J18" s="4"/>
      <c r="K18" s="5" t="s">
        <v>93</v>
      </c>
      <c r="L18" s="7">
        <f>IF($A$1="May",80,0)</f>
        <v>80</v>
      </c>
      <c r="M18" s="5"/>
      <c r="N18" s="98"/>
      <c r="O18" s="21"/>
      <c r="P18" s="156">
        <v>12.13</v>
      </c>
      <c r="Q18" s="7">
        <v>155.05</v>
      </c>
      <c r="R18" s="21"/>
      <c r="S18" s="21"/>
      <c r="T18" s="21"/>
      <c r="U18" s="21"/>
      <c r="V18" s="21"/>
    </row>
    <row r="19">
      <c r="A19" s="21"/>
      <c r="B19" s="21"/>
      <c r="C19" s="21"/>
      <c r="D19" s="21"/>
      <c r="E19" s="87" t="s">
        <v>92</v>
      </c>
      <c r="F19" s="39">
        <f t="shared" si="1"/>
        <v>155.05</v>
      </c>
      <c r="G19" s="7"/>
      <c r="H19" s="21"/>
      <c r="I19" s="101">
        <f t="shared" si="2"/>
        <v>155.05</v>
      </c>
      <c r="J19" s="28"/>
      <c r="K19" s="5" t="s">
        <v>95</v>
      </c>
      <c r="L19" s="7">
        <f>IF($A$1="Sep",449.58,0)</f>
        <v>0</v>
      </c>
      <c r="M19" s="5"/>
      <c r="N19" s="5"/>
      <c r="O19" s="21"/>
      <c r="P19" s="156">
        <v>20.0</v>
      </c>
      <c r="Q19" s="7">
        <v>82.56</v>
      </c>
      <c r="R19" s="21"/>
      <c r="S19" s="21"/>
      <c r="T19" s="21"/>
      <c r="U19" s="21"/>
      <c r="V19" s="21"/>
    </row>
    <row r="20">
      <c r="A20" s="21"/>
      <c r="B20" s="21"/>
      <c r="C20" s="21"/>
      <c r="D20" s="21"/>
      <c r="E20" s="87" t="s">
        <v>96</v>
      </c>
      <c r="F20" s="39">
        <f t="shared" si="1"/>
        <v>80</v>
      </c>
      <c r="G20" s="76"/>
      <c r="H20" s="76"/>
      <c r="I20" s="31">
        <f t="shared" si="2"/>
        <v>80</v>
      </c>
      <c r="J20" s="4"/>
      <c r="K20" s="5" t="s">
        <v>97</v>
      </c>
      <c r="L20" s="7">
        <f>IF($A$1="Jan",126.66,IF(OR($A$1="Feb",$A$1="Apr"),121.82,0))</f>
        <v>0</v>
      </c>
      <c r="O20" s="21"/>
      <c r="P20" s="156">
        <v>7.1</v>
      </c>
      <c r="Q20" s="7">
        <v>39.35</v>
      </c>
      <c r="R20" s="21"/>
      <c r="S20" s="21"/>
      <c r="T20" s="21"/>
      <c r="U20" s="21"/>
      <c r="V20" s="21"/>
    </row>
    <row r="21">
      <c r="A21" s="4"/>
      <c r="B21" s="21"/>
      <c r="C21" s="7"/>
      <c r="D21" s="21"/>
      <c r="E21" s="87" t="s">
        <v>99</v>
      </c>
      <c r="F21" s="39">
        <f t="shared" si="1"/>
        <v>0</v>
      </c>
      <c r="G21" s="30"/>
      <c r="H21" s="30"/>
      <c r="I21" s="89">
        <f>IF($A$1="May",0,0)</f>
        <v>0</v>
      </c>
      <c r="J21" s="97"/>
      <c r="K21" s="97"/>
      <c r="L21" s="97"/>
      <c r="M21" s="97"/>
      <c r="N21" s="97"/>
      <c r="O21" s="21"/>
      <c r="P21" s="156">
        <v>35.0</v>
      </c>
      <c r="Q21" s="7">
        <v>21.2</v>
      </c>
      <c r="R21" s="21"/>
      <c r="S21" s="21"/>
      <c r="T21" s="21"/>
      <c r="U21" s="21"/>
      <c r="V21" s="21"/>
    </row>
    <row r="22">
      <c r="A22" s="21"/>
      <c r="B22" s="7"/>
      <c r="C22" s="7"/>
      <c r="D22" s="21"/>
      <c r="E22" s="87" t="s">
        <v>101</v>
      </c>
      <c r="F22" s="39">
        <f t="shared" si="1"/>
        <v>21.73</v>
      </c>
      <c r="G22" s="7">
        <v>21.73</v>
      </c>
      <c r="H22" s="7"/>
      <c r="I22" s="89">
        <f>IF($A$1="Jun",330,0)</f>
        <v>0</v>
      </c>
      <c r="J22" s="60"/>
      <c r="K22" s="97"/>
      <c r="L22" s="97"/>
      <c r="M22" s="97"/>
      <c r="N22" s="97"/>
      <c r="O22" s="21"/>
      <c r="P22" s="7">
        <v>22.38</v>
      </c>
      <c r="Q22" s="7">
        <v>36.12</v>
      </c>
      <c r="R22" s="21"/>
      <c r="S22" s="21"/>
      <c r="T22" s="21"/>
      <c r="U22" s="21"/>
      <c r="V22" s="21"/>
    </row>
    <row r="23">
      <c r="A23" s="21"/>
      <c r="B23" s="7"/>
      <c r="C23" s="7"/>
      <c r="D23" s="21"/>
      <c r="E23" s="87" t="s">
        <v>102</v>
      </c>
      <c r="F23" s="39">
        <f t="shared" si="1"/>
        <v>600</v>
      </c>
      <c r="G23" s="7"/>
      <c r="H23" s="7"/>
      <c r="I23" s="89">
        <f>IF(OR($A$1="May",$A$1="Jul"),600,0)</f>
        <v>600</v>
      </c>
      <c r="J23" s="60"/>
      <c r="K23" s="97"/>
      <c r="L23" s="97"/>
      <c r="M23" s="97"/>
      <c r="N23" s="97"/>
      <c r="O23" s="21"/>
      <c r="P23" s="7">
        <v>77.95</v>
      </c>
      <c r="Q23" s="7">
        <v>98.12</v>
      </c>
      <c r="R23" s="21"/>
      <c r="S23" s="21"/>
      <c r="T23" s="21"/>
      <c r="U23" s="21"/>
      <c r="V23" s="21"/>
    </row>
    <row r="24">
      <c r="A24" s="21"/>
      <c r="B24" s="7"/>
      <c r="C24" s="21"/>
      <c r="D24" s="21"/>
      <c r="E24" s="108" t="s">
        <v>103</v>
      </c>
      <c r="F24" s="109">
        <f t="shared" si="1"/>
        <v>100</v>
      </c>
      <c r="G24" s="110"/>
      <c r="H24" s="110"/>
      <c r="I24" s="112">
        <f>IF(OR($A$1="Jan",$A$1="Mar",$A$1="May",$A$1="Jul",$A$1="Sep",$A$1="Nov"),100,IF(OR($A$1="Apr",$A$1="Jun",$A$1="Aug",$A$1="Oct",$A$1="Dec"),200,IF(OR($A$1="Feb"),300,0)))</f>
        <v>100</v>
      </c>
      <c r="J24" s="4"/>
      <c r="K24" s="5" t="s">
        <v>104</v>
      </c>
      <c r="L24" s="97"/>
      <c r="M24" s="97"/>
      <c r="N24" s="97"/>
      <c r="O24" s="97"/>
      <c r="P24" s="7">
        <v>140.45</v>
      </c>
      <c r="Q24" s="7">
        <v>10.01</v>
      </c>
      <c r="R24" s="21"/>
      <c r="S24" s="21"/>
      <c r="T24" s="21"/>
      <c r="U24" s="21"/>
      <c r="V24" s="21"/>
    </row>
    <row r="25">
      <c r="A25" s="113"/>
      <c r="B25" s="7"/>
      <c r="C25" s="21"/>
      <c r="D25" s="21"/>
      <c r="E25" s="114" t="s">
        <v>105</v>
      </c>
      <c r="F25" s="115">
        <f t="shared" ref="F25:I25" si="3">SUM(F3:F24)</f>
        <v>3728.91</v>
      </c>
      <c r="G25" s="115">
        <f t="shared" si="3"/>
        <v>81.6</v>
      </c>
      <c r="H25" s="115">
        <f t="shared" si="3"/>
        <v>370.86</v>
      </c>
      <c r="I25" s="116">
        <f t="shared" si="3"/>
        <v>3276.45</v>
      </c>
      <c r="J25" s="4"/>
      <c r="K25" s="118"/>
      <c r="L25" s="119"/>
      <c r="M25" s="118"/>
      <c r="N25" s="120"/>
      <c r="O25" s="97"/>
      <c r="P25" s="7">
        <v>13.9</v>
      </c>
      <c r="Q25" s="7">
        <v>550.93</v>
      </c>
      <c r="R25" s="21"/>
      <c r="S25" s="21"/>
      <c r="T25" s="21"/>
      <c r="U25" s="21"/>
      <c r="V25" s="21"/>
    </row>
    <row r="26">
      <c r="A26" s="113"/>
      <c r="B26" s="21"/>
      <c r="C26" s="21"/>
      <c r="D26" s="21"/>
      <c r="E26" s="121" t="s">
        <v>11</v>
      </c>
      <c r="F26" s="122">
        <f>G26+I26+H26</f>
        <v>1334.57</v>
      </c>
      <c r="G26" s="123">
        <v>0.4</v>
      </c>
      <c r="H26" s="123">
        <v>0.64</v>
      </c>
      <c r="I26" s="124">
        <f>1479.57-141.92-4.12</f>
        <v>1333.53</v>
      </c>
      <c r="J26" s="21"/>
      <c r="K26" s="21"/>
      <c r="L26" s="21"/>
      <c r="M26" s="97"/>
      <c r="N26" s="97"/>
      <c r="O26" s="97"/>
      <c r="P26" s="30">
        <v>13.5</v>
      </c>
      <c r="Q26" s="21"/>
      <c r="R26" s="21"/>
      <c r="S26" s="21"/>
      <c r="T26" s="21"/>
      <c r="U26" s="21"/>
      <c r="V26" s="21"/>
    </row>
    <row r="27">
      <c r="A27" s="21"/>
      <c r="B27" s="21"/>
      <c r="C27" s="21"/>
      <c r="D27" s="21"/>
      <c r="E27" s="125" t="s">
        <v>68</v>
      </c>
      <c r="F27" s="126">
        <f t="shared" ref="F27:I27" si="4">SUM(F25:F26)</f>
        <v>5063.48</v>
      </c>
      <c r="G27" s="126">
        <f t="shared" si="4"/>
        <v>82</v>
      </c>
      <c r="H27" s="126">
        <f t="shared" si="4"/>
        <v>371.5</v>
      </c>
      <c r="I27" s="127">
        <f t="shared" si="4"/>
        <v>4609.98</v>
      </c>
      <c r="J27" s="97"/>
      <c r="K27" s="97"/>
      <c r="L27" s="21"/>
      <c r="M27" s="97"/>
      <c r="N27" s="97"/>
      <c r="O27" s="97"/>
      <c r="P27" s="7">
        <v>8.0</v>
      </c>
      <c r="Q27" s="21"/>
      <c r="R27" s="21"/>
      <c r="S27" s="21"/>
      <c r="T27" s="21"/>
      <c r="U27" s="21"/>
      <c r="V27" s="21"/>
    </row>
    <row r="28">
      <c r="A28" s="21"/>
      <c r="B28" s="21"/>
      <c r="C28" s="21"/>
      <c r="D28" s="21"/>
      <c r="E28" s="114" t="s">
        <v>106</v>
      </c>
      <c r="F28" s="115">
        <f t="shared" ref="F28:F29" si="6">G28+H28+I28</f>
        <v>3544.47</v>
      </c>
      <c r="G28" s="115">
        <f t="shared" ref="G28:H28" si="5">SUM(R2:R6)</f>
        <v>81.6</v>
      </c>
      <c r="H28" s="115">
        <f t="shared" si="5"/>
        <v>370.86</v>
      </c>
      <c r="I28" s="116">
        <f>SUM(Q2:Q31)</f>
        <v>3092.01</v>
      </c>
      <c r="J28" s="97"/>
      <c r="K28" s="4"/>
      <c r="L28" s="21"/>
      <c r="M28" s="4"/>
      <c r="N28" s="4"/>
      <c r="O28" s="4"/>
      <c r="P28" s="7">
        <v>2.0</v>
      </c>
      <c r="Q28" s="21"/>
      <c r="R28" s="21"/>
      <c r="S28" s="21"/>
      <c r="T28" s="21"/>
      <c r="U28" s="21"/>
      <c r="V28" s="21"/>
    </row>
    <row r="29">
      <c r="A29" s="97"/>
      <c r="B29" s="21"/>
      <c r="C29" s="21"/>
      <c r="D29" s="21"/>
      <c r="E29" s="129" t="s">
        <v>107</v>
      </c>
      <c r="F29" s="130">
        <f t="shared" si="6"/>
        <v>1644.93</v>
      </c>
      <c r="G29" s="131">
        <f t="shared" ref="G29:H29" si="7">SUM(R8:R20)</f>
        <v>0</v>
      </c>
      <c r="H29" s="131">
        <f t="shared" si="7"/>
        <v>0</v>
      </c>
      <c r="I29" s="132">
        <f>SUM(P2:P51)</f>
        <v>1644.93</v>
      </c>
      <c r="J29" s="97"/>
      <c r="K29" s="4"/>
      <c r="L29" s="21"/>
      <c r="M29" s="4"/>
      <c r="N29" s="4"/>
      <c r="O29" s="4"/>
      <c r="P29" s="7">
        <v>9.53</v>
      </c>
      <c r="Q29" s="21"/>
      <c r="R29" s="21"/>
      <c r="S29" s="21"/>
      <c r="T29" s="21"/>
      <c r="U29" s="21"/>
      <c r="V29" s="21"/>
    </row>
    <row r="30">
      <c r="A30" s="97"/>
      <c r="B30" s="7"/>
      <c r="C30" s="21"/>
      <c r="D30" s="21"/>
      <c r="E30" s="133" t="s">
        <v>108</v>
      </c>
      <c r="F30" s="134">
        <f t="shared" ref="F30:I30" si="8">SUM(F28:F29)</f>
        <v>5189.4</v>
      </c>
      <c r="G30" s="134">
        <f t="shared" si="8"/>
        <v>81.6</v>
      </c>
      <c r="H30" s="134">
        <f t="shared" si="8"/>
        <v>370.86</v>
      </c>
      <c r="I30" s="135">
        <f t="shared" si="8"/>
        <v>4736.94</v>
      </c>
      <c r="J30" s="97"/>
      <c r="K30" s="4"/>
      <c r="L30" s="7"/>
      <c r="M30" s="4"/>
      <c r="N30" s="4"/>
      <c r="O30" s="4"/>
      <c r="P30" s="7">
        <v>2.0</v>
      </c>
      <c r="Q30" s="21"/>
      <c r="R30" s="21"/>
      <c r="S30" s="21"/>
      <c r="T30" s="21"/>
      <c r="U30" s="21"/>
      <c r="V30" s="21"/>
    </row>
    <row r="31">
      <c r="A31" s="21"/>
      <c r="B31" s="21"/>
      <c r="C31" s="21"/>
      <c r="D31" s="7"/>
      <c r="E31" s="114" t="s">
        <v>111</v>
      </c>
      <c r="F31" s="115">
        <f t="shared" ref="F31:F32" si="10">G31+H31+I31</f>
        <v>184.44</v>
      </c>
      <c r="G31" s="115">
        <f t="shared" ref="G31:I31" si="9">G25-G28</f>
        <v>0</v>
      </c>
      <c r="H31" s="115">
        <f t="shared" si="9"/>
        <v>0</v>
      </c>
      <c r="I31" s="116">
        <f t="shared" si="9"/>
        <v>184.44</v>
      </c>
      <c r="J31" s="97"/>
      <c r="K31" s="4"/>
      <c r="L31" s="7"/>
      <c r="M31" s="4"/>
      <c r="N31" s="107"/>
      <c r="O31" s="107"/>
      <c r="P31" s="7">
        <v>40.0</v>
      </c>
      <c r="Q31" s="21"/>
      <c r="R31" s="21"/>
      <c r="S31" s="21"/>
      <c r="T31" s="21"/>
      <c r="U31" s="21"/>
      <c r="V31" s="21"/>
    </row>
    <row r="32">
      <c r="A32" s="21"/>
      <c r="B32" s="137"/>
      <c r="C32" s="137"/>
      <c r="D32" s="97"/>
      <c r="E32" s="129" t="s">
        <v>112</v>
      </c>
      <c r="F32" s="130">
        <f t="shared" si="10"/>
        <v>-310.36</v>
      </c>
      <c r="G32" s="131">
        <f t="shared" ref="G32:I32" si="11">G26-G29</f>
        <v>0.4</v>
      </c>
      <c r="H32" s="131">
        <f t="shared" si="11"/>
        <v>0.64</v>
      </c>
      <c r="I32" s="132">
        <f t="shared" si="11"/>
        <v>-311.4</v>
      </c>
      <c r="J32" s="97"/>
      <c r="K32" s="4"/>
      <c r="L32" s="7"/>
      <c r="M32" s="4"/>
      <c r="N32" s="107"/>
      <c r="O32" s="107"/>
      <c r="P32" s="7">
        <v>9.5</v>
      </c>
      <c r="Q32" s="21"/>
      <c r="R32" s="21"/>
      <c r="S32" s="21"/>
      <c r="T32" s="21"/>
      <c r="U32" s="21"/>
      <c r="V32" s="21"/>
    </row>
    <row r="33">
      <c r="A33" s="21"/>
      <c r="B33" s="21"/>
      <c r="C33" s="21"/>
      <c r="D33" s="97"/>
      <c r="E33" s="133" t="s">
        <v>68</v>
      </c>
      <c r="F33" s="134">
        <f t="shared" ref="F33:I33" si="12">SUM(F31:F32)</f>
        <v>-125.92</v>
      </c>
      <c r="G33" s="134">
        <f t="shared" si="12"/>
        <v>0.4</v>
      </c>
      <c r="H33" s="134">
        <f t="shared" si="12"/>
        <v>0.64</v>
      </c>
      <c r="I33" s="135">
        <f t="shared" si="12"/>
        <v>-126.96</v>
      </c>
      <c r="J33" s="97"/>
      <c r="K33" s="4"/>
      <c r="L33" s="7"/>
      <c r="M33" s="4"/>
      <c r="N33" s="4"/>
      <c r="O33" s="4"/>
      <c r="P33" s="7">
        <v>34.03</v>
      </c>
      <c r="Q33" s="21"/>
      <c r="R33" s="21"/>
      <c r="S33" s="21"/>
      <c r="T33" s="21"/>
      <c r="U33" s="21"/>
      <c r="V33" s="21"/>
    </row>
    <row r="34">
      <c r="A34" s="21"/>
      <c r="B34" s="21"/>
      <c r="C34" s="21"/>
      <c r="D34" s="21"/>
      <c r="E34" s="4" t="s">
        <v>115</v>
      </c>
      <c r="F34" s="21">
        <f>G34+I34+H34</f>
        <v>4264.58</v>
      </c>
      <c r="G34" s="7">
        <v>82.13</v>
      </c>
      <c r="H34" s="7">
        <v>133.6</v>
      </c>
      <c r="I34" s="7">
        <v>4048.85</v>
      </c>
      <c r="J34" s="97"/>
      <c r="K34" s="97"/>
      <c r="L34" s="21"/>
      <c r="M34" s="97"/>
      <c r="N34" s="97"/>
      <c r="O34" s="21"/>
      <c r="P34" s="7">
        <v>47.28</v>
      </c>
      <c r="Q34" s="21"/>
      <c r="R34" s="21"/>
      <c r="S34" s="21"/>
      <c r="T34" s="21"/>
      <c r="U34" s="21"/>
      <c r="V34" s="21"/>
    </row>
    <row r="35">
      <c r="A35" s="21"/>
      <c r="B35" s="21"/>
      <c r="C35" s="21"/>
      <c r="D35" s="21"/>
      <c r="E35" s="4" t="s">
        <v>116</v>
      </c>
      <c r="F35" s="21">
        <f t="shared" ref="F35:I35" si="13">F34-F27</f>
        <v>-798.9</v>
      </c>
      <c r="G35" s="7">
        <f t="shared" si="13"/>
        <v>0.13</v>
      </c>
      <c r="H35" s="7">
        <f t="shared" si="13"/>
        <v>-237.9</v>
      </c>
      <c r="I35" s="7">
        <f t="shared" si="13"/>
        <v>-561.13</v>
      </c>
      <c r="J35" s="97"/>
      <c r="K35" s="97"/>
      <c r="L35" s="21"/>
      <c r="M35" s="7"/>
      <c r="N35" s="21"/>
      <c r="O35" s="21"/>
      <c r="P35" s="7">
        <v>53.54</v>
      </c>
      <c r="Q35" s="21"/>
      <c r="R35" s="21"/>
      <c r="S35" s="21"/>
      <c r="T35" s="21"/>
      <c r="U35" s="21"/>
      <c r="V35" s="21"/>
    </row>
    <row r="36">
      <c r="A36" s="21"/>
      <c r="B36" s="21"/>
      <c r="C36" s="21"/>
      <c r="D36" s="21"/>
      <c r="E36" s="4" t="s">
        <v>117</v>
      </c>
      <c r="F36" s="21">
        <f t="shared" ref="F36:I36" si="14">F34-F30</f>
        <v>-924.82</v>
      </c>
      <c r="G36" s="21">
        <f t="shared" si="14"/>
        <v>0.53</v>
      </c>
      <c r="H36" s="21">
        <f t="shared" si="14"/>
        <v>-237.26</v>
      </c>
      <c r="I36" s="21">
        <f t="shared" si="14"/>
        <v>-688.09</v>
      </c>
      <c r="J36" s="97"/>
      <c r="K36" s="97"/>
      <c r="L36" s="21"/>
      <c r="M36" s="21"/>
      <c r="N36" s="21"/>
      <c r="O36" s="21"/>
      <c r="P36" s="7">
        <v>2.65</v>
      </c>
      <c r="Q36" s="21"/>
      <c r="R36" s="21"/>
      <c r="S36" s="21"/>
      <c r="T36" s="21"/>
      <c r="U36" s="21"/>
      <c r="V36" s="21"/>
    </row>
    <row r="37">
      <c r="A37" s="21"/>
      <c r="B37" s="21"/>
      <c r="C37" s="21"/>
      <c r="D37" s="21"/>
      <c r="E37" s="97"/>
      <c r="F37" s="97"/>
      <c r="G37" s="97"/>
      <c r="H37" s="60"/>
      <c r="I37" s="97"/>
      <c r="J37" s="97"/>
      <c r="K37" s="97"/>
      <c r="L37" s="21"/>
      <c r="M37" s="21"/>
      <c r="N37" s="21"/>
      <c r="O37" s="21"/>
      <c r="P37" s="7">
        <v>45.73</v>
      </c>
      <c r="Q37" s="21"/>
      <c r="R37" s="21"/>
      <c r="S37" s="21"/>
      <c r="T37" s="21"/>
      <c r="U37" s="21"/>
      <c r="V37" s="21"/>
    </row>
    <row r="38">
      <c r="A38" s="21"/>
      <c r="B38" s="21"/>
      <c r="C38" s="21"/>
      <c r="D38" s="21"/>
      <c r="E38" s="97"/>
      <c r="F38" s="97"/>
      <c r="G38" s="97"/>
      <c r="H38" s="7"/>
      <c r="I38" s="97"/>
      <c r="J38" s="21"/>
      <c r="K38" s="21"/>
      <c r="L38" s="21"/>
      <c r="M38" s="21"/>
      <c r="N38" s="21"/>
      <c r="O38" s="21"/>
      <c r="P38" s="7">
        <v>6.93</v>
      </c>
      <c r="Q38" s="21"/>
      <c r="R38" s="21"/>
      <c r="S38" s="21"/>
      <c r="T38" s="21"/>
      <c r="U38" s="21"/>
      <c r="V38" s="21"/>
    </row>
    <row r="39">
      <c r="A39" s="21"/>
      <c r="B39" s="21"/>
      <c r="C39" s="21"/>
      <c r="D39" s="21"/>
      <c r="E39" s="97"/>
      <c r="F39" s="97"/>
      <c r="G39" s="97"/>
      <c r="H39" s="21"/>
      <c r="I39" s="97"/>
      <c r="J39" s="21"/>
      <c r="K39" s="21"/>
      <c r="L39" s="21"/>
      <c r="M39" s="21"/>
      <c r="N39" s="21"/>
      <c r="O39" s="21"/>
      <c r="P39" s="7">
        <v>36.33</v>
      </c>
      <c r="Q39" s="21"/>
      <c r="R39" s="21"/>
      <c r="S39" s="21"/>
      <c r="T39" s="21"/>
      <c r="U39" s="21"/>
      <c r="V39" s="21"/>
    </row>
    <row r="40">
      <c r="A40" s="21"/>
      <c r="B40" s="21"/>
      <c r="C40" s="21"/>
      <c r="D40" s="21"/>
      <c r="E40" s="97"/>
      <c r="F40" s="97"/>
      <c r="G40" s="97"/>
      <c r="H40" s="21"/>
      <c r="I40" s="97"/>
      <c r="J40" s="21"/>
      <c r="K40" s="21"/>
      <c r="L40" s="21"/>
      <c r="M40" s="21"/>
      <c r="N40" s="21"/>
      <c r="O40" s="21"/>
      <c r="P40" s="7">
        <v>2.0</v>
      </c>
      <c r="Q40" s="21"/>
      <c r="R40" s="21"/>
      <c r="S40" s="21"/>
      <c r="T40" s="21"/>
      <c r="U40" s="21"/>
      <c r="V40" s="21"/>
    </row>
    <row r="41">
      <c r="A41" s="21"/>
      <c r="B41" s="21"/>
      <c r="C41" s="21"/>
      <c r="D41" s="21"/>
      <c r="E41" s="97"/>
      <c r="F41" s="97"/>
      <c r="G41" s="97"/>
      <c r="H41" s="21"/>
      <c r="I41" s="97"/>
      <c r="J41" s="21"/>
      <c r="K41" s="21"/>
      <c r="L41" s="21"/>
      <c r="M41" s="21"/>
      <c r="N41" s="21"/>
      <c r="O41" s="21"/>
      <c r="P41" s="7">
        <v>10.99</v>
      </c>
      <c r="Q41" s="97"/>
      <c r="R41" s="21"/>
      <c r="S41" s="21"/>
      <c r="T41" s="21"/>
      <c r="U41" s="21"/>
      <c r="V41" s="21"/>
    </row>
    <row r="42">
      <c r="A42" s="21"/>
      <c r="B42" s="21"/>
      <c r="C42" s="21"/>
      <c r="D42" s="21"/>
      <c r="E42" s="136"/>
      <c r="F42" s="136"/>
      <c r="G42" s="21"/>
      <c r="H42" s="21"/>
      <c r="I42" s="21"/>
      <c r="J42" s="21"/>
      <c r="K42" s="21"/>
      <c r="L42" s="21"/>
      <c r="M42" s="21"/>
      <c r="N42" s="21"/>
      <c r="O42" s="21"/>
      <c r="P42" s="7">
        <v>129.96</v>
      </c>
      <c r="Q42" s="97"/>
      <c r="R42" s="21"/>
      <c r="S42" s="21"/>
      <c r="T42" s="21"/>
      <c r="U42" s="21"/>
      <c r="V42" s="21"/>
    </row>
    <row r="43">
      <c r="A43" s="21"/>
      <c r="B43" s="21"/>
      <c r="C43" s="21"/>
      <c r="D43" s="21"/>
      <c r="E43" s="136"/>
      <c r="F43" s="136"/>
      <c r="G43" s="21"/>
      <c r="H43" s="21"/>
      <c r="I43" s="21"/>
      <c r="J43" s="21"/>
      <c r="K43" s="21"/>
      <c r="L43" s="21"/>
      <c r="M43" s="21"/>
      <c r="N43" s="21"/>
      <c r="O43" s="21"/>
      <c r="P43" s="7">
        <v>50.0</v>
      </c>
      <c r="Q43" s="97"/>
      <c r="R43" s="21"/>
      <c r="S43" s="21"/>
      <c r="T43" s="21"/>
      <c r="U43" s="21"/>
      <c r="V43" s="21"/>
    </row>
    <row r="44">
      <c r="A44" s="21"/>
      <c r="B44" s="21"/>
      <c r="C44" s="21"/>
      <c r="D44" s="21"/>
      <c r="E44" s="136"/>
      <c r="F44" s="136"/>
      <c r="G44" s="21"/>
      <c r="H44" s="21"/>
      <c r="I44" s="21"/>
      <c r="J44" s="21"/>
      <c r="K44" s="21"/>
      <c r="L44" s="21"/>
      <c r="M44" s="21"/>
      <c r="N44" s="21"/>
      <c r="O44" s="21"/>
      <c r="P44" s="7">
        <v>0.45</v>
      </c>
      <c r="Q44" s="97"/>
      <c r="R44" s="21"/>
      <c r="S44" s="21"/>
      <c r="T44" s="21"/>
      <c r="U44" s="21"/>
      <c r="V44" s="21"/>
    </row>
    <row r="45">
      <c r="A45" s="21"/>
      <c r="B45" s="21"/>
      <c r="C45" s="21"/>
      <c r="D45" s="21"/>
      <c r="E45" s="136"/>
      <c r="F45" s="136"/>
      <c r="G45" s="21"/>
      <c r="H45" s="21"/>
      <c r="I45" s="21"/>
      <c r="J45" s="21"/>
      <c r="K45" s="21"/>
      <c r="L45" s="21"/>
      <c r="M45" s="21"/>
      <c r="N45" s="21"/>
      <c r="O45" s="21"/>
      <c r="P45" s="7">
        <v>12.0</v>
      </c>
      <c r="Q45" s="97"/>
      <c r="R45" s="21"/>
      <c r="S45" s="21"/>
      <c r="T45" s="21"/>
      <c r="U45" s="21"/>
      <c r="V45" s="21"/>
    </row>
    <row r="46">
      <c r="A46" s="21"/>
      <c r="B46" s="21"/>
      <c r="C46" s="21"/>
      <c r="D46" s="21"/>
      <c r="E46" s="136"/>
      <c r="F46" s="136"/>
      <c r="G46" s="21"/>
      <c r="H46" s="21"/>
      <c r="I46" s="21"/>
      <c r="J46" s="21"/>
      <c r="K46" s="21"/>
      <c r="L46" s="21"/>
      <c r="M46" s="21"/>
      <c r="N46" s="21"/>
      <c r="O46" s="21"/>
      <c r="P46" s="7">
        <v>37.29</v>
      </c>
      <c r="Q46" s="97"/>
      <c r="R46" s="21"/>
      <c r="S46" s="21"/>
      <c r="T46" s="21"/>
      <c r="U46" s="21"/>
      <c r="V46" s="21"/>
    </row>
    <row r="47">
      <c r="A47" s="21"/>
      <c r="B47" s="21"/>
      <c r="C47" s="21"/>
      <c r="D47" s="21"/>
      <c r="E47" s="136"/>
      <c r="F47" s="136"/>
      <c r="G47" s="21"/>
      <c r="H47" s="21"/>
      <c r="I47" s="21"/>
      <c r="J47" s="21"/>
      <c r="K47" s="21"/>
      <c r="L47" s="21"/>
      <c r="M47" s="21"/>
      <c r="N47" s="21"/>
      <c r="O47" s="21"/>
      <c r="P47" s="7">
        <v>16.84</v>
      </c>
      <c r="Q47" s="97"/>
      <c r="R47" s="21"/>
      <c r="S47" s="21"/>
      <c r="T47" s="21"/>
      <c r="U47" s="21"/>
      <c r="V47" s="21"/>
    </row>
    <row r="48">
      <c r="A48" s="21"/>
      <c r="B48" s="21"/>
      <c r="C48" s="21"/>
      <c r="D48" s="21"/>
      <c r="E48" s="136"/>
      <c r="F48" s="136"/>
      <c r="G48" s="21"/>
      <c r="H48" s="21"/>
      <c r="I48" s="21"/>
      <c r="J48" s="21"/>
      <c r="K48" s="21"/>
      <c r="L48" s="21"/>
      <c r="M48" s="21"/>
      <c r="N48" s="21"/>
      <c r="O48" s="21"/>
      <c r="P48" s="7">
        <v>12.0</v>
      </c>
      <c r="Q48" s="97"/>
      <c r="R48" s="21"/>
      <c r="S48" s="21"/>
      <c r="T48" s="21"/>
      <c r="U48" s="21"/>
      <c r="V48" s="21"/>
    </row>
    <row r="49">
      <c r="A49" s="21"/>
      <c r="B49" s="21"/>
      <c r="C49" s="21"/>
      <c r="D49" s="21"/>
      <c r="E49" s="136"/>
      <c r="F49" s="136"/>
      <c r="G49" s="21"/>
      <c r="H49" s="21"/>
      <c r="I49" s="21"/>
      <c r="J49" s="21"/>
      <c r="K49" s="21"/>
      <c r="L49" s="21"/>
      <c r="M49" s="21"/>
      <c r="N49" s="21"/>
      <c r="O49" s="21"/>
      <c r="P49" s="7">
        <v>36.15</v>
      </c>
      <c r="Q49" s="97"/>
      <c r="R49" s="21"/>
      <c r="S49" s="21"/>
      <c r="T49" s="21"/>
      <c r="U49" s="21"/>
      <c r="V49" s="21"/>
    </row>
    <row r="50">
      <c r="A50" s="21"/>
      <c r="B50" s="21"/>
      <c r="C50" s="21"/>
      <c r="D50" s="21"/>
      <c r="E50" s="136"/>
      <c r="F50" s="136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</row>
    <row r="51">
      <c r="A51" s="21"/>
      <c r="B51" s="21"/>
      <c r="C51" s="21"/>
      <c r="D51" s="21"/>
      <c r="E51" s="136"/>
      <c r="F51" s="136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</row>
    <row r="52">
      <c r="A52" s="21"/>
      <c r="B52" s="21"/>
      <c r="C52" s="21"/>
      <c r="D52" s="21"/>
      <c r="E52" s="136"/>
      <c r="F52" s="136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</row>
    <row r="53">
      <c r="A53" s="21"/>
      <c r="B53" s="21"/>
      <c r="C53" s="21"/>
      <c r="D53" s="21"/>
      <c r="E53" s="136"/>
      <c r="F53" s="136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</row>
    <row r="54">
      <c r="A54" s="21"/>
      <c r="B54" s="21"/>
      <c r="C54" s="21"/>
      <c r="D54" s="21"/>
      <c r="E54" s="136"/>
      <c r="F54" s="136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</row>
    <row r="55">
      <c r="A55" s="21"/>
      <c r="B55" s="21"/>
      <c r="C55" s="21"/>
      <c r="D55" s="21"/>
      <c r="E55" s="136"/>
      <c r="F55" s="136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</row>
    <row r="56">
      <c r="A56" s="21"/>
      <c r="B56" s="21"/>
      <c r="C56" s="21"/>
      <c r="D56" s="21"/>
      <c r="E56" s="136"/>
      <c r="F56" s="136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</row>
    <row r="57">
      <c r="A57" s="21"/>
      <c r="B57" s="21"/>
      <c r="C57" s="21"/>
      <c r="D57" s="21"/>
      <c r="E57" s="136"/>
      <c r="F57" s="136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</row>
    <row r="58">
      <c r="A58" s="21"/>
      <c r="B58" s="21"/>
      <c r="C58" s="21"/>
      <c r="D58" s="21"/>
      <c r="E58" s="136"/>
      <c r="F58" s="136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</row>
    <row r="59">
      <c r="A59" s="21"/>
      <c r="B59" s="21"/>
      <c r="C59" s="21"/>
      <c r="D59" s="21"/>
      <c r="E59" s="136"/>
      <c r="F59" s="136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</row>
    <row r="60">
      <c r="A60" s="21"/>
      <c r="B60" s="21"/>
      <c r="C60" s="21"/>
      <c r="D60" s="21"/>
      <c r="E60" s="136"/>
      <c r="F60" s="136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</row>
    <row r="61">
      <c r="A61" s="21"/>
      <c r="B61" s="21"/>
      <c r="C61" s="21"/>
      <c r="D61" s="21"/>
      <c r="E61" s="136"/>
      <c r="F61" s="136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</row>
    <row r="62">
      <c r="A62" s="21"/>
      <c r="B62" s="21"/>
      <c r="C62" s="21"/>
      <c r="D62" s="21"/>
      <c r="E62" s="136"/>
      <c r="F62" s="136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</row>
    <row r="63">
      <c r="A63" s="21"/>
      <c r="B63" s="21"/>
      <c r="C63" s="21"/>
      <c r="D63" s="21"/>
      <c r="E63" s="136"/>
      <c r="F63" s="136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</row>
    <row r="64">
      <c r="A64" s="21"/>
      <c r="B64" s="21"/>
      <c r="C64" s="21"/>
      <c r="D64" s="21"/>
      <c r="E64" s="136"/>
      <c r="F64" s="136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</row>
    <row r="65">
      <c r="A65" s="21"/>
      <c r="B65" s="21"/>
      <c r="C65" s="21"/>
      <c r="D65" s="21"/>
      <c r="E65" s="136"/>
      <c r="F65" s="136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</row>
    <row r="66">
      <c r="A66" s="21"/>
      <c r="B66" s="21"/>
      <c r="C66" s="21"/>
      <c r="D66" s="21"/>
      <c r="E66" s="136"/>
      <c r="F66" s="136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</row>
    <row r="67">
      <c r="A67" s="21"/>
      <c r="B67" s="21"/>
      <c r="C67" s="21"/>
      <c r="D67" s="21"/>
      <c r="E67" s="136"/>
      <c r="F67" s="136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</row>
    <row r="68">
      <c r="A68" s="21"/>
      <c r="B68" s="21"/>
      <c r="C68" s="21"/>
      <c r="D68" s="21"/>
      <c r="E68" s="136"/>
      <c r="F68" s="136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</row>
    <row r="69">
      <c r="A69" s="21"/>
      <c r="B69" s="21"/>
      <c r="C69" s="21"/>
      <c r="D69" s="21"/>
      <c r="E69" s="136"/>
      <c r="F69" s="136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</row>
    <row r="70">
      <c r="A70" s="21"/>
      <c r="B70" s="21"/>
      <c r="C70" s="21"/>
      <c r="D70" s="21"/>
      <c r="E70" s="136"/>
      <c r="F70" s="136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</row>
    <row r="71">
      <c r="A71" s="21"/>
      <c r="B71" s="21"/>
      <c r="C71" s="21"/>
      <c r="D71" s="21"/>
      <c r="E71" s="136"/>
      <c r="F71" s="136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</row>
    <row r="72">
      <c r="A72" s="21"/>
      <c r="B72" s="21"/>
      <c r="C72" s="21"/>
      <c r="D72" s="21"/>
      <c r="E72" s="136"/>
      <c r="F72" s="136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</row>
    <row r="73">
      <c r="A73" s="21"/>
      <c r="B73" s="21"/>
      <c r="C73" s="21"/>
      <c r="D73" s="21"/>
      <c r="E73" s="136"/>
      <c r="F73" s="136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</row>
    <row r="74">
      <c r="A74" s="21"/>
      <c r="B74" s="21"/>
      <c r="C74" s="21"/>
      <c r="D74" s="21"/>
      <c r="E74" s="136"/>
      <c r="F74" s="136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</row>
    <row r="75">
      <c r="A75" s="21"/>
      <c r="B75" s="21"/>
      <c r="C75" s="21"/>
      <c r="D75" s="21"/>
      <c r="E75" s="136"/>
      <c r="F75" s="136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</row>
    <row r="76">
      <c r="A76" s="21"/>
      <c r="B76" s="21"/>
      <c r="C76" s="21"/>
      <c r="D76" s="21"/>
      <c r="E76" s="136"/>
      <c r="F76" s="136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</row>
    <row r="77">
      <c r="A77" s="21"/>
      <c r="B77" s="21"/>
      <c r="C77" s="21"/>
      <c r="D77" s="21"/>
      <c r="E77" s="136"/>
      <c r="F77" s="136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</row>
    <row r="78">
      <c r="A78" s="21"/>
      <c r="B78" s="21"/>
      <c r="C78" s="21"/>
      <c r="D78" s="21"/>
      <c r="E78" s="136"/>
      <c r="F78" s="136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</row>
    <row r="79">
      <c r="A79" s="21"/>
      <c r="B79" s="21"/>
      <c r="C79" s="21"/>
      <c r="D79" s="21"/>
      <c r="E79" s="136"/>
      <c r="F79" s="136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</row>
    <row r="80">
      <c r="A80" s="21"/>
      <c r="B80" s="21"/>
      <c r="C80" s="21"/>
      <c r="D80" s="21"/>
      <c r="E80" s="136"/>
      <c r="F80" s="136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</row>
    <row r="81">
      <c r="A81" s="21"/>
      <c r="B81" s="21"/>
      <c r="C81" s="21"/>
      <c r="D81" s="21"/>
      <c r="E81" s="136"/>
      <c r="F81" s="136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</row>
    <row r="82">
      <c r="A82" s="21"/>
      <c r="B82" s="21"/>
      <c r="C82" s="21"/>
      <c r="D82" s="21"/>
      <c r="E82" s="136"/>
      <c r="F82" s="136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</row>
    <row r="83">
      <c r="A83" s="21"/>
      <c r="B83" s="21"/>
      <c r="C83" s="21"/>
      <c r="D83" s="21"/>
      <c r="E83" s="136"/>
      <c r="F83" s="136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</row>
    <row r="84">
      <c r="A84" s="21"/>
      <c r="B84" s="21"/>
      <c r="C84" s="21"/>
      <c r="D84" s="21"/>
      <c r="E84" s="136"/>
      <c r="F84" s="136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</row>
    <row r="85">
      <c r="A85" s="21"/>
      <c r="B85" s="21"/>
      <c r="C85" s="21"/>
      <c r="D85" s="21"/>
      <c r="E85" s="136"/>
      <c r="F85" s="136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</row>
    <row r="86">
      <c r="A86" s="21"/>
      <c r="B86" s="21"/>
      <c r="C86" s="21"/>
      <c r="D86" s="21"/>
      <c r="E86" s="136"/>
      <c r="F86" s="136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</row>
    <row r="87">
      <c r="A87" s="21"/>
      <c r="B87" s="21"/>
      <c r="C87" s="21"/>
      <c r="D87" s="21"/>
      <c r="E87" s="136"/>
      <c r="F87" s="136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</row>
    <row r="88">
      <c r="A88" s="21"/>
      <c r="B88" s="21"/>
      <c r="C88" s="21"/>
      <c r="D88" s="21"/>
      <c r="E88" s="136"/>
      <c r="F88" s="136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</row>
    <row r="89">
      <c r="A89" s="21"/>
      <c r="B89" s="21"/>
      <c r="C89" s="21"/>
      <c r="D89" s="21"/>
      <c r="E89" s="136"/>
      <c r="F89" s="136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</row>
    <row r="90">
      <c r="A90" s="21"/>
      <c r="B90" s="21"/>
      <c r="C90" s="21"/>
      <c r="D90" s="21"/>
      <c r="E90" s="136"/>
      <c r="F90" s="136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>
      <c r="A91" s="21"/>
      <c r="B91" s="21"/>
      <c r="C91" s="21"/>
      <c r="D91" s="21"/>
      <c r="E91" s="136"/>
      <c r="F91" s="136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</row>
    <row r="92">
      <c r="A92" s="21"/>
      <c r="B92" s="21"/>
      <c r="C92" s="21"/>
      <c r="D92" s="21"/>
      <c r="E92" s="136"/>
      <c r="F92" s="136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</row>
    <row r="93">
      <c r="A93" s="21"/>
      <c r="B93" s="21"/>
      <c r="C93" s="21"/>
      <c r="D93" s="21"/>
      <c r="E93" s="136"/>
      <c r="F93" s="136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</row>
    <row r="94">
      <c r="A94" s="21"/>
      <c r="B94" s="21"/>
      <c r="C94" s="21"/>
      <c r="D94" s="21"/>
      <c r="E94" s="136"/>
      <c r="F94" s="136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>
      <c r="A95" s="21"/>
      <c r="B95" s="21"/>
      <c r="C95" s="21"/>
      <c r="D95" s="21"/>
      <c r="E95" s="136"/>
      <c r="F95" s="136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>
      <c r="A96" s="21"/>
      <c r="B96" s="21"/>
      <c r="C96" s="21"/>
      <c r="D96" s="21"/>
      <c r="E96" s="136"/>
      <c r="F96" s="136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>
      <c r="A97" s="21"/>
      <c r="B97" s="21"/>
      <c r="C97" s="21"/>
      <c r="D97" s="21"/>
      <c r="E97" s="136"/>
      <c r="F97" s="136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>
      <c r="A98" s="21"/>
      <c r="B98" s="21"/>
      <c r="C98" s="21"/>
      <c r="D98" s="21"/>
      <c r="E98" s="136"/>
      <c r="F98" s="136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>
      <c r="A99" s="21"/>
      <c r="B99" s="21"/>
      <c r="C99" s="21"/>
      <c r="D99" s="21"/>
      <c r="E99" s="136"/>
      <c r="F99" s="136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>
      <c r="A100" s="21"/>
      <c r="B100" s="21"/>
      <c r="C100" s="21"/>
      <c r="D100" s="21"/>
      <c r="E100" s="136"/>
      <c r="F100" s="136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>
      <c r="A101" s="21"/>
      <c r="B101" s="21"/>
      <c r="C101" s="21"/>
      <c r="D101" s="21"/>
      <c r="E101" s="136"/>
      <c r="F101" s="136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>
      <c r="A102" s="21"/>
      <c r="B102" s="21"/>
      <c r="C102" s="21"/>
      <c r="D102" s="21"/>
      <c r="E102" s="136"/>
      <c r="F102" s="136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  <row r="103">
      <c r="A103" s="21"/>
      <c r="B103" s="21"/>
      <c r="C103" s="21"/>
      <c r="D103" s="21"/>
      <c r="E103" s="136"/>
      <c r="F103" s="136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</row>
    <row r="104">
      <c r="A104" s="21"/>
      <c r="B104" s="21"/>
      <c r="C104" s="21"/>
      <c r="D104" s="21"/>
      <c r="E104" s="136"/>
      <c r="F104" s="136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</row>
    <row r="105">
      <c r="A105" s="21"/>
      <c r="B105" s="21"/>
      <c r="C105" s="21"/>
      <c r="D105" s="21"/>
      <c r="E105" s="136"/>
      <c r="F105" s="136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</row>
    <row r="106">
      <c r="A106" s="21"/>
      <c r="B106" s="21"/>
      <c r="C106" s="21"/>
      <c r="D106" s="21"/>
      <c r="E106" s="136"/>
      <c r="F106" s="136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</row>
    <row r="107">
      <c r="A107" s="21"/>
      <c r="B107" s="21"/>
      <c r="C107" s="21"/>
      <c r="D107" s="21"/>
      <c r="E107" s="136"/>
      <c r="F107" s="136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</row>
    <row r="108">
      <c r="A108" s="21"/>
      <c r="B108" s="21"/>
      <c r="C108" s="21"/>
      <c r="D108" s="21"/>
      <c r="E108" s="136"/>
      <c r="F108" s="136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</row>
    <row r="109">
      <c r="A109" s="21"/>
      <c r="B109" s="21"/>
      <c r="C109" s="21"/>
      <c r="D109" s="21"/>
      <c r="E109" s="136"/>
      <c r="F109" s="136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</row>
    <row r="110">
      <c r="A110" s="21"/>
      <c r="B110" s="21"/>
      <c r="C110" s="21"/>
      <c r="D110" s="21"/>
      <c r="E110" s="136"/>
      <c r="F110" s="136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</row>
    <row r="111">
      <c r="A111" s="21"/>
      <c r="B111" s="21"/>
      <c r="C111" s="21"/>
      <c r="D111" s="21"/>
      <c r="E111" s="136"/>
      <c r="F111" s="136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</row>
    <row r="112">
      <c r="A112" s="21"/>
      <c r="B112" s="21"/>
      <c r="C112" s="21"/>
      <c r="D112" s="21"/>
      <c r="E112" s="136"/>
      <c r="F112" s="136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</row>
    <row r="113">
      <c r="A113" s="21"/>
      <c r="B113" s="21"/>
      <c r="C113" s="21"/>
      <c r="D113" s="21"/>
      <c r="E113" s="136"/>
      <c r="F113" s="136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</row>
    <row r="114">
      <c r="A114" s="21"/>
      <c r="B114" s="21"/>
      <c r="C114" s="21"/>
      <c r="D114" s="21"/>
      <c r="E114" s="136"/>
      <c r="F114" s="136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</row>
    <row r="115">
      <c r="A115" s="21"/>
      <c r="B115" s="21"/>
      <c r="C115" s="21"/>
      <c r="D115" s="21"/>
      <c r="E115" s="136"/>
      <c r="F115" s="136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</row>
    <row r="116">
      <c r="A116" s="21"/>
      <c r="B116" s="21"/>
      <c r="C116" s="21"/>
      <c r="D116" s="21"/>
      <c r="E116" s="136"/>
      <c r="F116" s="136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</row>
    <row r="117">
      <c r="A117" s="21"/>
      <c r="B117" s="21"/>
      <c r="C117" s="21"/>
      <c r="D117" s="21"/>
      <c r="E117" s="136"/>
      <c r="F117" s="136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</row>
    <row r="118">
      <c r="A118" s="21"/>
      <c r="B118" s="21"/>
      <c r="C118" s="21"/>
      <c r="D118" s="21"/>
      <c r="E118" s="136"/>
      <c r="F118" s="136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</row>
    <row r="119">
      <c r="A119" s="21"/>
      <c r="B119" s="21"/>
      <c r="C119" s="21"/>
      <c r="D119" s="21"/>
      <c r="E119" s="136"/>
      <c r="F119" s="136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</row>
    <row r="120">
      <c r="A120" s="21"/>
      <c r="B120" s="21"/>
      <c r="C120" s="21"/>
      <c r="D120" s="21"/>
      <c r="E120" s="136"/>
      <c r="F120" s="136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</row>
    <row r="121">
      <c r="A121" s="21"/>
      <c r="B121" s="21"/>
      <c r="C121" s="21"/>
      <c r="D121" s="21"/>
      <c r="E121" s="136"/>
      <c r="F121" s="136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</row>
    <row r="122">
      <c r="A122" s="21"/>
      <c r="B122" s="21"/>
      <c r="C122" s="21"/>
      <c r="D122" s="21"/>
      <c r="E122" s="136"/>
      <c r="F122" s="136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</row>
    <row r="123">
      <c r="A123" s="21"/>
      <c r="B123" s="21"/>
      <c r="C123" s="21"/>
      <c r="D123" s="21"/>
      <c r="E123" s="136"/>
      <c r="F123" s="136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</row>
    <row r="124">
      <c r="A124" s="21"/>
      <c r="B124" s="21"/>
      <c r="C124" s="21"/>
      <c r="D124" s="21"/>
      <c r="E124" s="136"/>
      <c r="F124" s="136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</row>
    <row r="125">
      <c r="A125" s="21"/>
      <c r="B125" s="21"/>
      <c r="C125" s="21"/>
      <c r="D125" s="21"/>
      <c r="E125" s="136"/>
      <c r="F125" s="136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</row>
    <row r="126">
      <c r="A126" s="21"/>
      <c r="B126" s="21"/>
      <c r="C126" s="21"/>
      <c r="D126" s="21"/>
      <c r="E126" s="136"/>
      <c r="F126" s="136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</row>
    <row r="127">
      <c r="A127" s="21"/>
      <c r="B127" s="21"/>
      <c r="C127" s="21"/>
      <c r="D127" s="21"/>
      <c r="E127" s="136"/>
      <c r="F127" s="136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</row>
    <row r="128">
      <c r="A128" s="21"/>
      <c r="B128" s="21"/>
      <c r="C128" s="21"/>
      <c r="D128" s="21"/>
      <c r="E128" s="136"/>
      <c r="F128" s="136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</row>
    <row r="129">
      <c r="A129" s="21"/>
      <c r="B129" s="21"/>
      <c r="C129" s="21"/>
      <c r="D129" s="21"/>
      <c r="E129" s="136"/>
      <c r="F129" s="136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</row>
    <row r="130">
      <c r="A130" s="21"/>
      <c r="B130" s="21"/>
      <c r="C130" s="21"/>
      <c r="D130" s="21"/>
      <c r="E130" s="136"/>
      <c r="F130" s="136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</row>
    <row r="131">
      <c r="A131" s="21"/>
      <c r="B131" s="21"/>
      <c r="C131" s="21"/>
      <c r="D131" s="21"/>
      <c r="E131" s="136"/>
      <c r="F131" s="136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</row>
    <row r="132">
      <c r="A132" s="21"/>
      <c r="B132" s="21"/>
      <c r="C132" s="21"/>
      <c r="D132" s="21"/>
      <c r="E132" s="136"/>
      <c r="F132" s="136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</row>
    <row r="133">
      <c r="A133" s="21"/>
      <c r="B133" s="21"/>
      <c r="C133" s="21"/>
      <c r="D133" s="21"/>
      <c r="E133" s="136"/>
      <c r="F133" s="136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</row>
    <row r="134">
      <c r="A134" s="21"/>
      <c r="B134" s="21"/>
      <c r="C134" s="21"/>
      <c r="D134" s="21"/>
      <c r="E134" s="136"/>
      <c r="F134" s="136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</row>
    <row r="135">
      <c r="A135" s="21"/>
      <c r="B135" s="21"/>
      <c r="C135" s="21"/>
      <c r="D135" s="21"/>
      <c r="E135" s="136"/>
      <c r="F135" s="136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</row>
    <row r="136">
      <c r="A136" s="21"/>
      <c r="B136" s="21"/>
      <c r="C136" s="21"/>
      <c r="D136" s="21"/>
      <c r="E136" s="136"/>
      <c r="F136" s="136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</row>
    <row r="137">
      <c r="A137" s="21"/>
      <c r="B137" s="21"/>
      <c r="C137" s="21"/>
      <c r="D137" s="21"/>
      <c r="E137" s="136"/>
      <c r="F137" s="136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</row>
    <row r="138">
      <c r="A138" s="21"/>
      <c r="B138" s="21"/>
      <c r="C138" s="21"/>
      <c r="D138" s="21"/>
      <c r="E138" s="136"/>
      <c r="F138" s="136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</row>
    <row r="139">
      <c r="A139" s="21"/>
      <c r="B139" s="21"/>
      <c r="C139" s="21"/>
      <c r="D139" s="21"/>
      <c r="E139" s="136"/>
      <c r="F139" s="136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</row>
    <row r="140">
      <c r="A140" s="21"/>
      <c r="B140" s="21"/>
      <c r="C140" s="21"/>
      <c r="D140" s="21"/>
      <c r="E140" s="136"/>
      <c r="F140" s="136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</row>
    <row r="141">
      <c r="A141" s="21"/>
      <c r="B141" s="21"/>
      <c r="C141" s="21"/>
      <c r="D141" s="21"/>
      <c r="E141" s="136"/>
      <c r="F141" s="136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</row>
    <row r="142">
      <c r="A142" s="21"/>
      <c r="B142" s="21"/>
      <c r="C142" s="21"/>
      <c r="D142" s="21"/>
      <c r="E142" s="136"/>
      <c r="F142" s="136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</row>
    <row r="143">
      <c r="A143" s="21"/>
      <c r="B143" s="21"/>
      <c r="C143" s="21"/>
      <c r="D143" s="21"/>
      <c r="E143" s="136"/>
      <c r="F143" s="136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</row>
    <row r="144">
      <c r="A144" s="21"/>
      <c r="B144" s="21"/>
      <c r="C144" s="21"/>
      <c r="D144" s="21"/>
      <c r="E144" s="136"/>
      <c r="F144" s="136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</row>
    <row r="145">
      <c r="A145" s="21"/>
      <c r="B145" s="21"/>
      <c r="C145" s="21"/>
      <c r="D145" s="21"/>
      <c r="E145" s="136"/>
      <c r="F145" s="136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</row>
    <row r="146">
      <c r="A146" s="21"/>
      <c r="B146" s="21"/>
      <c r="C146" s="21"/>
      <c r="D146" s="21"/>
      <c r="E146" s="136"/>
      <c r="F146" s="136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</row>
    <row r="147">
      <c r="A147" s="21"/>
      <c r="B147" s="21"/>
      <c r="C147" s="21"/>
      <c r="D147" s="21"/>
      <c r="E147" s="136"/>
      <c r="F147" s="136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</row>
    <row r="148">
      <c r="A148" s="21"/>
      <c r="B148" s="21"/>
      <c r="C148" s="21"/>
      <c r="D148" s="21"/>
      <c r="E148" s="136"/>
      <c r="F148" s="136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</row>
    <row r="149">
      <c r="A149" s="21"/>
      <c r="B149" s="21"/>
      <c r="C149" s="21"/>
      <c r="D149" s="21"/>
      <c r="E149" s="136"/>
      <c r="F149" s="136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</row>
    <row r="150">
      <c r="A150" s="21"/>
      <c r="B150" s="21"/>
      <c r="C150" s="21"/>
      <c r="D150" s="21"/>
      <c r="E150" s="136"/>
      <c r="F150" s="136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</row>
    <row r="151">
      <c r="A151" s="21"/>
      <c r="B151" s="21"/>
      <c r="C151" s="21"/>
      <c r="D151" s="21"/>
      <c r="E151" s="136"/>
      <c r="F151" s="136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</row>
    <row r="152">
      <c r="A152" s="21"/>
      <c r="B152" s="21"/>
      <c r="C152" s="21"/>
      <c r="D152" s="21"/>
      <c r="E152" s="136"/>
      <c r="F152" s="136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</row>
    <row r="153">
      <c r="A153" s="21"/>
      <c r="B153" s="21"/>
      <c r="C153" s="21"/>
      <c r="D153" s="21"/>
      <c r="E153" s="136"/>
      <c r="F153" s="136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</row>
    <row r="154">
      <c r="A154" s="21"/>
      <c r="B154" s="21"/>
      <c r="C154" s="21"/>
      <c r="D154" s="21"/>
      <c r="E154" s="136"/>
      <c r="F154" s="136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</row>
    <row r="155">
      <c r="A155" s="21"/>
      <c r="B155" s="21"/>
      <c r="C155" s="21"/>
      <c r="D155" s="21"/>
      <c r="E155" s="136"/>
      <c r="F155" s="136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</row>
    <row r="156">
      <c r="A156" s="21"/>
      <c r="B156" s="21"/>
      <c r="C156" s="21"/>
      <c r="D156" s="21"/>
      <c r="E156" s="136"/>
      <c r="F156" s="136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</row>
    <row r="157">
      <c r="A157" s="21"/>
      <c r="B157" s="21"/>
      <c r="C157" s="21"/>
      <c r="D157" s="21"/>
      <c r="E157" s="136"/>
      <c r="F157" s="136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</row>
    <row r="158">
      <c r="A158" s="21"/>
      <c r="B158" s="21"/>
      <c r="C158" s="21"/>
      <c r="D158" s="21"/>
      <c r="E158" s="136"/>
      <c r="F158" s="136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</row>
    <row r="159">
      <c r="A159" s="21"/>
      <c r="B159" s="21"/>
      <c r="C159" s="21"/>
      <c r="D159" s="21"/>
      <c r="E159" s="136"/>
      <c r="F159" s="136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</row>
    <row r="160">
      <c r="A160" s="21"/>
      <c r="B160" s="21"/>
      <c r="C160" s="21"/>
      <c r="D160" s="21"/>
      <c r="E160" s="136"/>
      <c r="F160" s="136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</row>
    <row r="161">
      <c r="A161" s="21"/>
      <c r="B161" s="21"/>
      <c r="C161" s="21"/>
      <c r="D161" s="21"/>
      <c r="E161" s="136"/>
      <c r="F161" s="136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</row>
    <row r="162">
      <c r="A162" s="21"/>
      <c r="B162" s="21"/>
      <c r="C162" s="21"/>
      <c r="D162" s="21"/>
      <c r="E162" s="136"/>
      <c r="F162" s="136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</row>
    <row r="163">
      <c r="A163" s="21"/>
      <c r="B163" s="21"/>
      <c r="C163" s="21"/>
      <c r="D163" s="21"/>
      <c r="E163" s="136"/>
      <c r="F163" s="136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</row>
    <row r="164">
      <c r="A164" s="21"/>
      <c r="B164" s="21"/>
      <c r="C164" s="21"/>
      <c r="D164" s="21"/>
      <c r="E164" s="136"/>
      <c r="F164" s="136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</row>
    <row r="165">
      <c r="A165" s="21"/>
      <c r="B165" s="21"/>
      <c r="C165" s="21"/>
      <c r="D165" s="21"/>
      <c r="E165" s="136"/>
      <c r="F165" s="136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</row>
    <row r="166">
      <c r="A166" s="21"/>
      <c r="B166" s="21"/>
      <c r="C166" s="21"/>
      <c r="D166" s="21"/>
      <c r="E166" s="136"/>
      <c r="F166" s="136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</row>
    <row r="167">
      <c r="A167" s="21"/>
      <c r="B167" s="21"/>
      <c r="C167" s="21"/>
      <c r="D167" s="21"/>
      <c r="E167" s="136"/>
      <c r="F167" s="136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</row>
    <row r="168">
      <c r="A168" s="21"/>
      <c r="B168" s="21"/>
      <c r="C168" s="21"/>
      <c r="D168" s="21"/>
      <c r="E168" s="136"/>
      <c r="F168" s="136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</row>
    <row r="169">
      <c r="A169" s="21"/>
      <c r="B169" s="21"/>
      <c r="C169" s="21"/>
      <c r="D169" s="21"/>
      <c r="E169" s="136"/>
      <c r="F169" s="136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</row>
    <row r="170">
      <c r="A170" s="21"/>
      <c r="B170" s="21"/>
      <c r="C170" s="21"/>
      <c r="D170" s="21"/>
      <c r="E170" s="136"/>
      <c r="F170" s="136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</row>
    <row r="171">
      <c r="A171" s="21"/>
      <c r="B171" s="21"/>
      <c r="C171" s="21"/>
      <c r="D171" s="21"/>
      <c r="E171" s="136"/>
      <c r="F171" s="136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</row>
    <row r="172">
      <c r="A172" s="21"/>
      <c r="B172" s="21"/>
      <c r="C172" s="21"/>
      <c r="D172" s="21"/>
      <c r="E172" s="136"/>
      <c r="F172" s="136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</row>
    <row r="173">
      <c r="A173" s="21"/>
      <c r="B173" s="21"/>
      <c r="C173" s="21"/>
      <c r="D173" s="21"/>
      <c r="E173" s="136"/>
      <c r="F173" s="136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</row>
    <row r="174">
      <c r="A174" s="21"/>
      <c r="B174" s="21"/>
      <c r="C174" s="21"/>
      <c r="D174" s="21"/>
      <c r="E174" s="136"/>
      <c r="F174" s="136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</row>
    <row r="175">
      <c r="A175" s="21"/>
      <c r="B175" s="21"/>
      <c r="C175" s="21"/>
      <c r="D175" s="21"/>
      <c r="E175" s="136"/>
      <c r="F175" s="136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</row>
    <row r="176">
      <c r="A176" s="21"/>
      <c r="B176" s="21"/>
      <c r="C176" s="21"/>
      <c r="D176" s="21"/>
      <c r="E176" s="136"/>
      <c r="F176" s="136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</row>
    <row r="177">
      <c r="A177" s="21"/>
      <c r="B177" s="21"/>
      <c r="C177" s="21"/>
      <c r="D177" s="21"/>
      <c r="E177" s="136"/>
      <c r="F177" s="136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</row>
    <row r="178">
      <c r="A178" s="21"/>
      <c r="B178" s="21"/>
      <c r="C178" s="21"/>
      <c r="D178" s="21"/>
      <c r="E178" s="136"/>
      <c r="F178" s="136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</row>
    <row r="179">
      <c r="A179" s="21"/>
      <c r="B179" s="21"/>
      <c r="C179" s="21"/>
      <c r="D179" s="21"/>
      <c r="E179" s="136"/>
      <c r="F179" s="136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</row>
    <row r="180">
      <c r="A180" s="21"/>
      <c r="B180" s="21"/>
      <c r="C180" s="21"/>
      <c r="D180" s="21"/>
      <c r="E180" s="136"/>
      <c r="F180" s="136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</row>
    <row r="181">
      <c r="A181" s="21"/>
      <c r="B181" s="21"/>
      <c r="C181" s="21"/>
      <c r="D181" s="21"/>
      <c r="E181" s="136"/>
      <c r="F181" s="136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</row>
    <row r="182">
      <c r="A182" s="21"/>
      <c r="B182" s="21"/>
      <c r="C182" s="21"/>
      <c r="D182" s="21"/>
      <c r="E182" s="136"/>
      <c r="F182" s="136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</row>
    <row r="183">
      <c r="A183" s="21"/>
      <c r="B183" s="21"/>
      <c r="C183" s="21"/>
      <c r="D183" s="21"/>
      <c r="E183" s="136"/>
      <c r="F183" s="136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</row>
    <row r="184">
      <c r="A184" s="21"/>
      <c r="B184" s="21"/>
      <c r="C184" s="21"/>
      <c r="D184" s="21"/>
      <c r="E184" s="136"/>
      <c r="F184" s="136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</row>
    <row r="185">
      <c r="A185" s="21"/>
      <c r="B185" s="21"/>
      <c r="C185" s="21"/>
      <c r="D185" s="21"/>
      <c r="E185" s="136"/>
      <c r="F185" s="136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</row>
    <row r="186">
      <c r="A186" s="21"/>
      <c r="B186" s="21"/>
      <c r="C186" s="21"/>
      <c r="D186" s="21"/>
      <c r="E186" s="136"/>
      <c r="F186" s="136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</row>
    <row r="187">
      <c r="A187" s="21"/>
      <c r="B187" s="21"/>
      <c r="C187" s="21"/>
      <c r="D187" s="21"/>
      <c r="E187" s="136"/>
      <c r="F187" s="136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</row>
    <row r="188">
      <c r="A188" s="21"/>
      <c r="B188" s="21"/>
      <c r="C188" s="21"/>
      <c r="D188" s="21"/>
      <c r="E188" s="136"/>
      <c r="F188" s="136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</row>
    <row r="189">
      <c r="A189" s="21"/>
      <c r="B189" s="21"/>
      <c r="C189" s="21"/>
      <c r="D189" s="21"/>
      <c r="E189" s="136"/>
      <c r="F189" s="136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</row>
    <row r="190">
      <c r="A190" s="21"/>
      <c r="B190" s="21"/>
      <c r="C190" s="21"/>
      <c r="D190" s="21"/>
      <c r="E190" s="136"/>
      <c r="F190" s="136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</row>
    <row r="191">
      <c r="A191" s="21"/>
      <c r="B191" s="21"/>
      <c r="C191" s="21"/>
      <c r="D191" s="21"/>
      <c r="E191" s="136"/>
      <c r="F191" s="136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</row>
    <row r="192">
      <c r="A192" s="21"/>
      <c r="B192" s="21"/>
      <c r="C192" s="21"/>
      <c r="D192" s="21"/>
      <c r="E192" s="136"/>
      <c r="F192" s="136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</row>
    <row r="193">
      <c r="A193" s="21"/>
      <c r="B193" s="21"/>
      <c r="C193" s="21"/>
      <c r="D193" s="21"/>
      <c r="E193" s="136"/>
      <c r="F193" s="136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</row>
    <row r="194">
      <c r="A194" s="21"/>
      <c r="B194" s="21"/>
      <c r="C194" s="21"/>
      <c r="D194" s="21"/>
      <c r="E194" s="136"/>
      <c r="F194" s="136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</row>
    <row r="195">
      <c r="A195" s="21"/>
      <c r="B195" s="21"/>
      <c r="C195" s="21"/>
      <c r="D195" s="21"/>
      <c r="E195" s="136"/>
      <c r="F195" s="136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</row>
    <row r="196">
      <c r="A196" s="21"/>
      <c r="B196" s="21"/>
      <c r="C196" s="21"/>
      <c r="D196" s="21"/>
      <c r="E196" s="136"/>
      <c r="F196" s="136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</row>
    <row r="197">
      <c r="A197" s="21"/>
      <c r="B197" s="21"/>
      <c r="C197" s="21"/>
      <c r="D197" s="21"/>
      <c r="E197" s="136"/>
      <c r="F197" s="136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</row>
    <row r="198">
      <c r="A198" s="21"/>
      <c r="B198" s="21"/>
      <c r="C198" s="21"/>
      <c r="D198" s="21"/>
      <c r="E198" s="136"/>
      <c r="F198" s="136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</row>
    <row r="199">
      <c r="A199" s="21"/>
      <c r="B199" s="21"/>
      <c r="C199" s="21"/>
      <c r="D199" s="21"/>
      <c r="E199" s="136"/>
      <c r="F199" s="136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</row>
    <row r="200">
      <c r="A200" s="21"/>
      <c r="B200" s="21"/>
      <c r="C200" s="21"/>
      <c r="D200" s="21"/>
      <c r="E200" s="136"/>
      <c r="F200" s="136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</row>
    <row r="201">
      <c r="A201" s="21"/>
      <c r="B201" s="21"/>
      <c r="C201" s="21"/>
      <c r="D201" s="21"/>
      <c r="E201" s="136"/>
      <c r="F201" s="136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</row>
    <row r="202">
      <c r="A202" s="21"/>
      <c r="B202" s="21"/>
      <c r="C202" s="21"/>
      <c r="D202" s="21"/>
      <c r="E202" s="136"/>
      <c r="F202" s="136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</row>
    <row r="203">
      <c r="A203" s="21"/>
      <c r="B203" s="21"/>
      <c r="C203" s="21"/>
      <c r="D203" s="21"/>
      <c r="E203" s="136"/>
      <c r="F203" s="136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</row>
    <row r="204">
      <c r="A204" s="21"/>
      <c r="B204" s="21"/>
      <c r="C204" s="21"/>
      <c r="D204" s="21"/>
      <c r="E204" s="136"/>
      <c r="F204" s="136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</row>
    <row r="205">
      <c r="A205" s="21"/>
      <c r="B205" s="21"/>
      <c r="C205" s="21"/>
      <c r="D205" s="21"/>
      <c r="E205" s="136"/>
      <c r="F205" s="136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</row>
    <row r="206">
      <c r="A206" s="21"/>
      <c r="B206" s="21"/>
      <c r="C206" s="21"/>
      <c r="D206" s="21"/>
      <c r="E206" s="136"/>
      <c r="F206" s="136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</row>
    <row r="207">
      <c r="A207" s="21"/>
      <c r="B207" s="21"/>
      <c r="C207" s="21"/>
      <c r="D207" s="21"/>
      <c r="E207" s="136"/>
      <c r="F207" s="136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</row>
    <row r="208">
      <c r="A208" s="21"/>
      <c r="B208" s="21"/>
      <c r="C208" s="21"/>
      <c r="D208" s="21"/>
      <c r="E208" s="136"/>
      <c r="F208" s="136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</row>
    <row r="209">
      <c r="A209" s="21"/>
      <c r="B209" s="21"/>
      <c r="C209" s="21"/>
      <c r="D209" s="21"/>
      <c r="E209" s="136"/>
      <c r="F209" s="136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</row>
    <row r="210">
      <c r="A210" s="21"/>
      <c r="B210" s="21"/>
      <c r="C210" s="21"/>
      <c r="D210" s="21"/>
      <c r="E210" s="136"/>
      <c r="F210" s="136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</row>
    <row r="211">
      <c r="A211" s="21"/>
      <c r="B211" s="21"/>
      <c r="C211" s="21"/>
      <c r="D211" s="21"/>
      <c r="E211" s="136"/>
      <c r="F211" s="136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</row>
    <row r="212">
      <c r="A212" s="21"/>
      <c r="B212" s="21"/>
      <c r="C212" s="21"/>
      <c r="D212" s="21"/>
      <c r="E212" s="136"/>
      <c r="F212" s="136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</row>
    <row r="213">
      <c r="A213" s="21"/>
      <c r="B213" s="21"/>
      <c r="C213" s="21"/>
      <c r="D213" s="21"/>
      <c r="E213" s="136"/>
      <c r="F213" s="136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</row>
    <row r="214">
      <c r="A214" s="21"/>
      <c r="B214" s="21"/>
      <c r="C214" s="21"/>
      <c r="D214" s="21"/>
      <c r="E214" s="136"/>
      <c r="F214" s="136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</row>
    <row r="215">
      <c r="A215" s="21"/>
      <c r="B215" s="21"/>
      <c r="C215" s="21"/>
      <c r="D215" s="21"/>
      <c r="E215" s="136"/>
      <c r="F215" s="136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</row>
    <row r="216">
      <c r="A216" s="21"/>
      <c r="B216" s="21"/>
      <c r="C216" s="21"/>
      <c r="D216" s="21"/>
      <c r="E216" s="136"/>
      <c r="F216" s="136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</row>
    <row r="217">
      <c r="A217" s="21"/>
      <c r="B217" s="21"/>
      <c r="C217" s="21"/>
      <c r="D217" s="21"/>
      <c r="E217" s="136"/>
      <c r="F217" s="136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</row>
    <row r="218">
      <c r="A218" s="21"/>
      <c r="B218" s="21"/>
      <c r="C218" s="21"/>
      <c r="D218" s="21"/>
      <c r="E218" s="136"/>
      <c r="F218" s="136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</row>
    <row r="219">
      <c r="A219" s="21"/>
      <c r="B219" s="21"/>
      <c r="C219" s="21"/>
      <c r="D219" s="21"/>
      <c r="E219" s="136"/>
      <c r="F219" s="136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</row>
    <row r="220">
      <c r="A220" s="21"/>
      <c r="B220" s="21"/>
      <c r="C220" s="21"/>
      <c r="D220" s="21"/>
      <c r="E220" s="136"/>
      <c r="F220" s="136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</row>
    <row r="221">
      <c r="A221" s="21"/>
      <c r="B221" s="21"/>
      <c r="C221" s="21"/>
      <c r="D221" s="21"/>
      <c r="E221" s="136"/>
      <c r="F221" s="136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</row>
    <row r="222">
      <c r="A222" s="21"/>
      <c r="B222" s="21"/>
      <c r="C222" s="21"/>
      <c r="D222" s="21"/>
      <c r="E222" s="136"/>
      <c r="F222" s="136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</row>
    <row r="223">
      <c r="A223" s="21"/>
      <c r="B223" s="21"/>
      <c r="C223" s="21"/>
      <c r="D223" s="21"/>
      <c r="E223" s="136"/>
      <c r="F223" s="136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</row>
    <row r="224">
      <c r="A224" s="21"/>
      <c r="B224" s="21"/>
      <c r="C224" s="21"/>
      <c r="D224" s="21"/>
      <c r="E224" s="136"/>
      <c r="F224" s="136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</row>
    <row r="225">
      <c r="A225" s="21"/>
      <c r="B225" s="21"/>
      <c r="C225" s="21"/>
      <c r="D225" s="21"/>
      <c r="E225" s="136"/>
      <c r="F225" s="136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</row>
    <row r="226">
      <c r="A226" s="21"/>
      <c r="B226" s="21"/>
      <c r="C226" s="21"/>
      <c r="D226" s="21"/>
      <c r="E226" s="136"/>
      <c r="F226" s="136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</row>
    <row r="227">
      <c r="A227" s="21"/>
      <c r="B227" s="21"/>
      <c r="C227" s="21"/>
      <c r="D227" s="21"/>
      <c r="E227" s="136"/>
      <c r="F227" s="136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</row>
    <row r="228">
      <c r="A228" s="21"/>
      <c r="B228" s="21"/>
      <c r="C228" s="21"/>
      <c r="D228" s="21"/>
      <c r="E228" s="136"/>
      <c r="F228" s="136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</row>
    <row r="229">
      <c r="A229" s="21"/>
      <c r="B229" s="21"/>
      <c r="C229" s="21"/>
      <c r="D229" s="21"/>
      <c r="E229" s="136"/>
      <c r="F229" s="136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</row>
    <row r="230">
      <c r="A230" s="21"/>
      <c r="B230" s="21"/>
      <c r="C230" s="21"/>
      <c r="D230" s="21"/>
      <c r="E230" s="136"/>
      <c r="F230" s="136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</row>
    <row r="231">
      <c r="A231" s="21"/>
      <c r="B231" s="21"/>
      <c r="C231" s="21"/>
      <c r="D231" s="21"/>
      <c r="E231" s="136"/>
      <c r="F231" s="136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</row>
    <row r="232">
      <c r="A232" s="21"/>
      <c r="B232" s="21"/>
      <c r="C232" s="21"/>
      <c r="D232" s="21"/>
      <c r="E232" s="136"/>
      <c r="F232" s="136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</row>
    <row r="233">
      <c r="A233" s="21"/>
      <c r="B233" s="21"/>
      <c r="C233" s="21"/>
      <c r="D233" s="21"/>
      <c r="E233" s="136"/>
      <c r="F233" s="136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</row>
    <row r="234">
      <c r="A234" s="21"/>
      <c r="B234" s="21"/>
      <c r="C234" s="21"/>
      <c r="D234" s="21"/>
      <c r="E234" s="136"/>
      <c r="F234" s="136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</row>
    <row r="235">
      <c r="A235" s="21"/>
      <c r="B235" s="21"/>
      <c r="C235" s="21"/>
      <c r="D235" s="21"/>
      <c r="E235" s="136"/>
      <c r="F235" s="136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</row>
    <row r="236">
      <c r="A236" s="21"/>
      <c r="B236" s="21"/>
      <c r="C236" s="21"/>
      <c r="D236" s="21"/>
      <c r="E236" s="136"/>
      <c r="F236" s="136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</row>
    <row r="237">
      <c r="A237" s="21"/>
      <c r="B237" s="21"/>
      <c r="C237" s="21"/>
      <c r="D237" s="21"/>
      <c r="E237" s="136"/>
      <c r="F237" s="136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</row>
    <row r="238">
      <c r="A238" s="21"/>
      <c r="B238" s="21"/>
      <c r="C238" s="21"/>
      <c r="D238" s="21"/>
      <c r="E238" s="136"/>
      <c r="F238" s="136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</row>
    <row r="239">
      <c r="A239" s="21"/>
      <c r="B239" s="21"/>
      <c r="C239" s="21"/>
      <c r="D239" s="21"/>
      <c r="E239" s="136"/>
      <c r="F239" s="136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</row>
    <row r="240">
      <c r="A240" s="21"/>
      <c r="B240" s="21"/>
      <c r="C240" s="21"/>
      <c r="D240" s="21"/>
      <c r="E240" s="136"/>
      <c r="F240" s="136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</row>
    <row r="241">
      <c r="A241" s="21"/>
      <c r="B241" s="21"/>
      <c r="C241" s="21"/>
      <c r="D241" s="21"/>
      <c r="E241" s="136"/>
      <c r="F241" s="136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</row>
    <row r="242">
      <c r="A242" s="21"/>
      <c r="B242" s="21"/>
      <c r="C242" s="21"/>
      <c r="D242" s="21"/>
      <c r="E242" s="136"/>
      <c r="F242" s="136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</row>
    <row r="243">
      <c r="A243" s="21"/>
      <c r="B243" s="21"/>
      <c r="C243" s="21"/>
      <c r="D243" s="21"/>
      <c r="E243" s="136"/>
      <c r="F243" s="136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</row>
    <row r="244">
      <c r="A244" s="21"/>
      <c r="B244" s="21"/>
      <c r="C244" s="21"/>
      <c r="D244" s="21"/>
      <c r="E244" s="136"/>
      <c r="F244" s="136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</row>
    <row r="245">
      <c r="A245" s="21"/>
      <c r="B245" s="21"/>
      <c r="C245" s="21"/>
      <c r="D245" s="21"/>
      <c r="E245" s="136"/>
      <c r="F245" s="136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</row>
    <row r="246">
      <c r="A246" s="21"/>
      <c r="B246" s="21"/>
      <c r="C246" s="21"/>
      <c r="D246" s="21"/>
      <c r="E246" s="136"/>
      <c r="F246" s="136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</row>
    <row r="247">
      <c r="A247" s="21"/>
      <c r="B247" s="21"/>
      <c r="C247" s="21"/>
      <c r="D247" s="21"/>
      <c r="E247" s="136"/>
      <c r="F247" s="136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</row>
    <row r="248">
      <c r="A248" s="21"/>
      <c r="B248" s="21"/>
      <c r="C248" s="21"/>
      <c r="D248" s="21"/>
      <c r="E248" s="136"/>
      <c r="F248" s="136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</row>
    <row r="249">
      <c r="A249" s="21"/>
      <c r="B249" s="21"/>
      <c r="C249" s="21"/>
      <c r="D249" s="21"/>
      <c r="E249" s="136"/>
      <c r="F249" s="136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</row>
    <row r="250">
      <c r="A250" s="21"/>
      <c r="B250" s="21"/>
      <c r="C250" s="21"/>
      <c r="D250" s="21"/>
      <c r="E250" s="136"/>
      <c r="F250" s="136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</row>
    <row r="251">
      <c r="A251" s="21"/>
      <c r="B251" s="21"/>
      <c r="C251" s="21"/>
      <c r="D251" s="21"/>
      <c r="E251" s="136"/>
      <c r="F251" s="136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</row>
    <row r="252">
      <c r="A252" s="21"/>
      <c r="B252" s="21"/>
      <c r="C252" s="21"/>
      <c r="D252" s="21"/>
      <c r="E252" s="136"/>
      <c r="F252" s="136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</row>
    <row r="253">
      <c r="A253" s="21"/>
      <c r="B253" s="21"/>
      <c r="C253" s="21"/>
      <c r="D253" s="21"/>
      <c r="E253" s="136"/>
      <c r="F253" s="136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</row>
    <row r="254">
      <c r="A254" s="21"/>
      <c r="B254" s="21"/>
      <c r="C254" s="21"/>
      <c r="D254" s="21"/>
      <c r="E254" s="136"/>
      <c r="F254" s="136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</row>
    <row r="255">
      <c r="A255" s="21"/>
      <c r="B255" s="21"/>
      <c r="C255" s="21"/>
      <c r="D255" s="21"/>
      <c r="E255" s="136"/>
      <c r="F255" s="136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</row>
    <row r="256">
      <c r="A256" s="21"/>
      <c r="B256" s="21"/>
      <c r="C256" s="21"/>
      <c r="D256" s="21"/>
      <c r="E256" s="136"/>
      <c r="F256" s="136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</row>
    <row r="257">
      <c r="A257" s="21"/>
      <c r="B257" s="21"/>
      <c r="C257" s="21"/>
      <c r="D257" s="21"/>
      <c r="E257" s="136"/>
      <c r="F257" s="136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</row>
    <row r="258">
      <c r="A258" s="21"/>
      <c r="B258" s="21"/>
      <c r="C258" s="21"/>
      <c r="D258" s="21"/>
      <c r="E258" s="136"/>
      <c r="F258" s="136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</row>
    <row r="259">
      <c r="A259" s="21"/>
      <c r="B259" s="21"/>
      <c r="C259" s="21"/>
      <c r="D259" s="21"/>
      <c r="E259" s="136"/>
      <c r="F259" s="136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</row>
    <row r="260">
      <c r="A260" s="21"/>
      <c r="B260" s="21"/>
      <c r="C260" s="21"/>
      <c r="D260" s="21"/>
      <c r="E260" s="136"/>
      <c r="F260" s="136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</row>
    <row r="261">
      <c r="A261" s="21"/>
      <c r="B261" s="21"/>
      <c r="C261" s="21"/>
      <c r="D261" s="21"/>
      <c r="E261" s="136"/>
      <c r="F261" s="136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</row>
    <row r="262">
      <c r="A262" s="21"/>
      <c r="B262" s="21"/>
      <c r="C262" s="21"/>
      <c r="D262" s="21"/>
      <c r="E262" s="136"/>
      <c r="F262" s="136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</row>
    <row r="263">
      <c r="A263" s="21"/>
      <c r="B263" s="21"/>
      <c r="C263" s="21"/>
      <c r="D263" s="21"/>
      <c r="E263" s="136"/>
      <c r="F263" s="136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</row>
    <row r="264">
      <c r="A264" s="21"/>
      <c r="B264" s="21"/>
      <c r="C264" s="21"/>
      <c r="D264" s="21"/>
      <c r="E264" s="136"/>
      <c r="F264" s="136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</row>
    <row r="265">
      <c r="A265" s="21"/>
      <c r="B265" s="21"/>
      <c r="C265" s="21"/>
      <c r="D265" s="21"/>
      <c r="E265" s="136"/>
      <c r="F265" s="136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</row>
    <row r="266">
      <c r="A266" s="21"/>
      <c r="B266" s="21"/>
      <c r="C266" s="21"/>
      <c r="D266" s="21"/>
      <c r="E266" s="136"/>
      <c r="F266" s="136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</row>
    <row r="267">
      <c r="A267" s="21"/>
      <c r="B267" s="21"/>
      <c r="C267" s="21"/>
      <c r="D267" s="21"/>
      <c r="E267" s="136"/>
      <c r="F267" s="136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</row>
    <row r="268">
      <c r="A268" s="21"/>
      <c r="B268" s="21"/>
      <c r="C268" s="21"/>
      <c r="D268" s="21"/>
      <c r="E268" s="136"/>
      <c r="F268" s="136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</row>
    <row r="269">
      <c r="A269" s="21"/>
      <c r="B269" s="21"/>
      <c r="C269" s="21"/>
      <c r="D269" s="21"/>
      <c r="E269" s="136"/>
      <c r="F269" s="136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</row>
    <row r="270">
      <c r="A270" s="21"/>
      <c r="B270" s="21"/>
      <c r="C270" s="21"/>
      <c r="D270" s="21"/>
      <c r="E270" s="136"/>
      <c r="F270" s="136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</row>
    <row r="271">
      <c r="A271" s="21"/>
      <c r="B271" s="21"/>
      <c r="C271" s="21"/>
      <c r="D271" s="21"/>
      <c r="E271" s="136"/>
      <c r="F271" s="136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</row>
    <row r="272">
      <c r="A272" s="21"/>
      <c r="B272" s="21"/>
      <c r="C272" s="21"/>
      <c r="D272" s="21"/>
      <c r="E272" s="136"/>
      <c r="F272" s="136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</row>
    <row r="273">
      <c r="A273" s="21"/>
      <c r="B273" s="21"/>
      <c r="C273" s="21"/>
      <c r="D273" s="21"/>
      <c r="E273" s="136"/>
      <c r="F273" s="136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</row>
    <row r="274">
      <c r="A274" s="21"/>
      <c r="B274" s="21"/>
      <c r="C274" s="21"/>
      <c r="D274" s="21"/>
      <c r="E274" s="136"/>
      <c r="F274" s="136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</row>
    <row r="275">
      <c r="A275" s="21"/>
      <c r="B275" s="21"/>
      <c r="C275" s="21"/>
      <c r="D275" s="21"/>
      <c r="E275" s="136"/>
      <c r="F275" s="136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</row>
    <row r="276">
      <c r="A276" s="21"/>
      <c r="B276" s="21"/>
      <c r="C276" s="21"/>
      <c r="D276" s="21"/>
      <c r="E276" s="136"/>
      <c r="F276" s="136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</row>
    <row r="277">
      <c r="A277" s="21"/>
      <c r="B277" s="21"/>
      <c r="C277" s="21"/>
      <c r="D277" s="21"/>
      <c r="E277" s="136"/>
      <c r="F277" s="136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</row>
    <row r="278">
      <c r="A278" s="21"/>
      <c r="B278" s="21"/>
      <c r="C278" s="21"/>
      <c r="D278" s="21"/>
      <c r="E278" s="136"/>
      <c r="F278" s="136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</row>
    <row r="279">
      <c r="A279" s="21"/>
      <c r="B279" s="21"/>
      <c r="C279" s="21"/>
      <c r="D279" s="21"/>
      <c r="E279" s="136"/>
      <c r="F279" s="136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</row>
    <row r="280">
      <c r="A280" s="21"/>
      <c r="B280" s="21"/>
      <c r="C280" s="21"/>
      <c r="D280" s="21"/>
      <c r="E280" s="136"/>
      <c r="F280" s="136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</row>
    <row r="281">
      <c r="A281" s="21"/>
      <c r="B281" s="21"/>
      <c r="C281" s="21"/>
      <c r="D281" s="21"/>
      <c r="E281" s="136"/>
      <c r="F281" s="136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</row>
    <row r="282">
      <c r="A282" s="21"/>
      <c r="B282" s="21"/>
      <c r="C282" s="21"/>
      <c r="D282" s="21"/>
      <c r="E282" s="136"/>
      <c r="F282" s="136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</row>
    <row r="283">
      <c r="A283" s="21"/>
      <c r="B283" s="21"/>
      <c r="C283" s="21"/>
      <c r="D283" s="21"/>
      <c r="E283" s="136"/>
      <c r="F283" s="136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</row>
    <row r="284">
      <c r="A284" s="21"/>
      <c r="B284" s="21"/>
      <c r="C284" s="21"/>
      <c r="D284" s="21"/>
      <c r="E284" s="136"/>
      <c r="F284" s="136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</row>
    <row r="285">
      <c r="A285" s="21"/>
      <c r="B285" s="21"/>
      <c r="C285" s="21"/>
      <c r="D285" s="21"/>
      <c r="E285" s="136"/>
      <c r="F285" s="136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</row>
    <row r="286">
      <c r="A286" s="21"/>
      <c r="B286" s="21"/>
      <c r="C286" s="21"/>
      <c r="D286" s="21"/>
      <c r="E286" s="136"/>
      <c r="F286" s="136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</row>
    <row r="287">
      <c r="A287" s="21"/>
      <c r="B287" s="21"/>
      <c r="C287" s="21"/>
      <c r="D287" s="21"/>
      <c r="E287" s="136"/>
      <c r="F287" s="136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</row>
    <row r="288">
      <c r="A288" s="21"/>
      <c r="B288" s="21"/>
      <c r="C288" s="21"/>
      <c r="D288" s="21"/>
      <c r="E288" s="136"/>
      <c r="F288" s="136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</row>
    <row r="289">
      <c r="A289" s="21"/>
      <c r="B289" s="21"/>
      <c r="C289" s="21"/>
      <c r="D289" s="21"/>
      <c r="E289" s="136"/>
      <c r="F289" s="136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</row>
    <row r="290">
      <c r="A290" s="21"/>
      <c r="B290" s="21"/>
      <c r="C290" s="21"/>
      <c r="D290" s="21"/>
      <c r="E290" s="136"/>
      <c r="F290" s="136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</row>
    <row r="291">
      <c r="A291" s="21"/>
      <c r="B291" s="21"/>
      <c r="C291" s="21"/>
      <c r="D291" s="21"/>
      <c r="E291" s="136"/>
      <c r="F291" s="136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</row>
    <row r="292">
      <c r="A292" s="21"/>
      <c r="B292" s="21"/>
      <c r="C292" s="21"/>
      <c r="D292" s="21"/>
      <c r="E292" s="136"/>
      <c r="F292" s="136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</row>
    <row r="293">
      <c r="A293" s="21"/>
      <c r="B293" s="21"/>
      <c r="C293" s="21"/>
      <c r="D293" s="21"/>
      <c r="E293" s="136"/>
      <c r="F293" s="136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</row>
    <row r="294">
      <c r="A294" s="21"/>
      <c r="B294" s="21"/>
      <c r="C294" s="21"/>
      <c r="D294" s="21"/>
      <c r="E294" s="136"/>
      <c r="F294" s="136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</row>
    <row r="295">
      <c r="A295" s="21"/>
      <c r="B295" s="21"/>
      <c r="C295" s="21"/>
      <c r="D295" s="21"/>
      <c r="E295" s="136"/>
      <c r="F295" s="136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</row>
    <row r="296">
      <c r="A296" s="21"/>
      <c r="B296" s="21"/>
      <c r="C296" s="21"/>
      <c r="D296" s="21"/>
      <c r="E296" s="136"/>
      <c r="F296" s="136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</row>
    <row r="297">
      <c r="A297" s="21"/>
      <c r="B297" s="21"/>
      <c r="C297" s="21"/>
      <c r="D297" s="21"/>
      <c r="E297" s="136"/>
      <c r="F297" s="136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</row>
    <row r="298">
      <c r="A298" s="21"/>
      <c r="B298" s="21"/>
      <c r="C298" s="21"/>
      <c r="D298" s="21"/>
      <c r="E298" s="136"/>
      <c r="F298" s="136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</row>
    <row r="299">
      <c r="A299" s="21"/>
      <c r="B299" s="21"/>
      <c r="C299" s="21"/>
      <c r="D299" s="21"/>
      <c r="E299" s="136"/>
      <c r="F299" s="136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</row>
    <row r="300">
      <c r="A300" s="21"/>
      <c r="B300" s="21"/>
      <c r="C300" s="21"/>
      <c r="D300" s="21"/>
      <c r="E300" s="136"/>
      <c r="F300" s="136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</row>
    <row r="301">
      <c r="A301" s="21"/>
      <c r="B301" s="21"/>
      <c r="C301" s="21"/>
      <c r="D301" s="21"/>
      <c r="E301" s="136"/>
      <c r="F301" s="136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</row>
    <row r="302">
      <c r="A302" s="21"/>
      <c r="B302" s="21"/>
      <c r="C302" s="21"/>
      <c r="D302" s="21"/>
      <c r="E302" s="136"/>
      <c r="F302" s="136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</row>
    <row r="303">
      <c r="A303" s="21"/>
      <c r="B303" s="21"/>
      <c r="C303" s="21"/>
      <c r="D303" s="21"/>
      <c r="E303" s="136"/>
      <c r="F303" s="136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</row>
    <row r="304">
      <c r="A304" s="21"/>
      <c r="B304" s="21"/>
      <c r="C304" s="21"/>
      <c r="D304" s="21"/>
      <c r="E304" s="136"/>
      <c r="F304" s="136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</row>
    <row r="305">
      <c r="A305" s="21"/>
      <c r="B305" s="21"/>
      <c r="C305" s="21"/>
      <c r="D305" s="21"/>
      <c r="E305" s="136"/>
      <c r="F305" s="136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</row>
    <row r="306">
      <c r="A306" s="21"/>
      <c r="B306" s="21"/>
      <c r="C306" s="21"/>
      <c r="D306" s="21"/>
      <c r="E306" s="136"/>
      <c r="F306" s="136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</row>
    <row r="307">
      <c r="A307" s="21"/>
      <c r="B307" s="21"/>
      <c r="C307" s="21"/>
      <c r="D307" s="21"/>
      <c r="E307" s="136"/>
      <c r="F307" s="136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</row>
    <row r="308">
      <c r="A308" s="21"/>
      <c r="B308" s="21"/>
      <c r="C308" s="21"/>
      <c r="D308" s="21"/>
      <c r="E308" s="136"/>
      <c r="F308" s="136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</row>
    <row r="309">
      <c r="A309" s="21"/>
      <c r="B309" s="21"/>
      <c r="C309" s="21"/>
      <c r="D309" s="21"/>
      <c r="E309" s="136"/>
      <c r="F309" s="136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</row>
    <row r="310">
      <c r="A310" s="21"/>
      <c r="B310" s="21"/>
      <c r="C310" s="21"/>
      <c r="D310" s="21"/>
      <c r="E310" s="136"/>
      <c r="F310" s="136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</row>
    <row r="311">
      <c r="A311" s="21"/>
      <c r="B311" s="21"/>
      <c r="C311" s="21"/>
      <c r="D311" s="21"/>
      <c r="E311" s="136"/>
      <c r="F311" s="136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</row>
    <row r="312">
      <c r="A312" s="21"/>
      <c r="B312" s="21"/>
      <c r="C312" s="21"/>
      <c r="D312" s="21"/>
      <c r="E312" s="136"/>
      <c r="F312" s="136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</row>
    <row r="313">
      <c r="A313" s="21"/>
      <c r="B313" s="21"/>
      <c r="C313" s="21"/>
      <c r="D313" s="21"/>
      <c r="E313" s="136"/>
      <c r="F313" s="136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</row>
    <row r="314">
      <c r="A314" s="21"/>
      <c r="B314" s="21"/>
      <c r="C314" s="21"/>
      <c r="D314" s="21"/>
      <c r="E314" s="136"/>
      <c r="F314" s="136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</row>
    <row r="315">
      <c r="A315" s="21"/>
      <c r="B315" s="21"/>
      <c r="C315" s="21"/>
      <c r="D315" s="21"/>
      <c r="E315" s="136"/>
      <c r="F315" s="136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</row>
    <row r="316">
      <c r="A316" s="21"/>
      <c r="B316" s="21"/>
      <c r="C316" s="21"/>
      <c r="D316" s="21"/>
      <c r="E316" s="136"/>
      <c r="F316" s="136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</row>
    <row r="317">
      <c r="A317" s="21"/>
      <c r="B317" s="21"/>
      <c r="C317" s="21"/>
      <c r="D317" s="21"/>
      <c r="E317" s="136"/>
      <c r="F317" s="136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</row>
    <row r="318">
      <c r="A318" s="21"/>
      <c r="B318" s="21"/>
      <c r="C318" s="21"/>
      <c r="D318" s="21"/>
      <c r="E318" s="136"/>
      <c r="F318" s="136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</row>
    <row r="319">
      <c r="A319" s="21"/>
      <c r="B319" s="21"/>
      <c r="C319" s="21"/>
      <c r="D319" s="21"/>
      <c r="E319" s="136"/>
      <c r="F319" s="136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</row>
    <row r="320">
      <c r="A320" s="21"/>
      <c r="B320" s="21"/>
      <c r="C320" s="21"/>
      <c r="D320" s="21"/>
      <c r="E320" s="136"/>
      <c r="F320" s="136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</row>
    <row r="321">
      <c r="A321" s="21"/>
      <c r="B321" s="21"/>
      <c r="C321" s="21"/>
      <c r="D321" s="21"/>
      <c r="E321" s="136"/>
      <c r="F321" s="136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</row>
    <row r="322">
      <c r="A322" s="21"/>
      <c r="B322" s="21"/>
      <c r="C322" s="21"/>
      <c r="D322" s="21"/>
      <c r="E322" s="136"/>
      <c r="F322" s="136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</row>
    <row r="323">
      <c r="A323" s="21"/>
      <c r="B323" s="21"/>
      <c r="C323" s="21"/>
      <c r="D323" s="21"/>
      <c r="E323" s="136"/>
      <c r="F323" s="136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</row>
    <row r="324">
      <c r="A324" s="21"/>
      <c r="B324" s="21"/>
      <c r="C324" s="21"/>
      <c r="D324" s="21"/>
      <c r="E324" s="136"/>
      <c r="F324" s="136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</row>
    <row r="325">
      <c r="A325" s="21"/>
      <c r="B325" s="21"/>
      <c r="C325" s="21"/>
      <c r="D325" s="21"/>
      <c r="E325" s="136"/>
      <c r="F325" s="136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</row>
    <row r="326">
      <c r="A326" s="21"/>
      <c r="B326" s="21"/>
      <c r="C326" s="21"/>
      <c r="D326" s="21"/>
      <c r="E326" s="136"/>
      <c r="F326" s="136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</row>
    <row r="327">
      <c r="A327" s="21"/>
      <c r="B327" s="21"/>
      <c r="C327" s="21"/>
      <c r="D327" s="21"/>
      <c r="E327" s="136"/>
      <c r="F327" s="136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</row>
    <row r="328">
      <c r="A328" s="21"/>
      <c r="B328" s="21"/>
      <c r="C328" s="21"/>
      <c r="D328" s="21"/>
      <c r="E328" s="136"/>
      <c r="F328" s="136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</row>
    <row r="329">
      <c r="A329" s="21"/>
      <c r="B329" s="21"/>
      <c r="C329" s="21"/>
      <c r="D329" s="21"/>
      <c r="E329" s="136"/>
      <c r="F329" s="136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</row>
    <row r="330">
      <c r="A330" s="21"/>
      <c r="B330" s="21"/>
      <c r="C330" s="21"/>
      <c r="D330" s="21"/>
      <c r="E330" s="136"/>
      <c r="F330" s="136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</row>
    <row r="331">
      <c r="A331" s="21"/>
      <c r="B331" s="21"/>
      <c r="C331" s="21"/>
      <c r="D331" s="21"/>
      <c r="E331" s="136"/>
      <c r="F331" s="136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</row>
    <row r="332">
      <c r="A332" s="21"/>
      <c r="B332" s="21"/>
      <c r="C332" s="21"/>
      <c r="D332" s="21"/>
      <c r="E332" s="136"/>
      <c r="F332" s="136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</row>
    <row r="333">
      <c r="A333" s="21"/>
      <c r="B333" s="21"/>
      <c r="C333" s="21"/>
      <c r="D333" s="21"/>
      <c r="E333" s="136"/>
      <c r="F333" s="136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</row>
    <row r="334">
      <c r="A334" s="21"/>
      <c r="B334" s="21"/>
      <c r="C334" s="21"/>
      <c r="D334" s="21"/>
      <c r="E334" s="136"/>
      <c r="F334" s="136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</row>
    <row r="335">
      <c r="A335" s="21"/>
      <c r="B335" s="21"/>
      <c r="C335" s="21"/>
      <c r="D335" s="21"/>
      <c r="E335" s="136"/>
      <c r="F335" s="136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</row>
    <row r="336">
      <c r="A336" s="21"/>
      <c r="B336" s="21"/>
      <c r="C336" s="21"/>
      <c r="D336" s="21"/>
      <c r="E336" s="136"/>
      <c r="F336" s="136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</row>
    <row r="337">
      <c r="A337" s="21"/>
      <c r="B337" s="21"/>
      <c r="C337" s="21"/>
      <c r="D337" s="21"/>
      <c r="E337" s="136"/>
      <c r="F337" s="136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</row>
    <row r="338">
      <c r="A338" s="21"/>
      <c r="B338" s="21"/>
      <c r="C338" s="21"/>
      <c r="D338" s="21"/>
      <c r="E338" s="136"/>
      <c r="F338" s="136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</row>
    <row r="339">
      <c r="A339" s="21"/>
      <c r="B339" s="21"/>
      <c r="C339" s="21"/>
      <c r="D339" s="21"/>
      <c r="E339" s="136"/>
      <c r="F339" s="136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</row>
    <row r="340">
      <c r="A340" s="21"/>
      <c r="B340" s="21"/>
      <c r="C340" s="21"/>
      <c r="D340" s="21"/>
      <c r="E340" s="136"/>
      <c r="F340" s="136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</row>
    <row r="341">
      <c r="A341" s="21"/>
      <c r="B341" s="21"/>
      <c r="C341" s="21"/>
      <c r="D341" s="21"/>
      <c r="E341" s="136"/>
      <c r="F341" s="136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</row>
    <row r="342">
      <c r="A342" s="21"/>
      <c r="B342" s="21"/>
      <c r="C342" s="21"/>
      <c r="D342" s="21"/>
      <c r="E342" s="136"/>
      <c r="F342" s="136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</row>
    <row r="343">
      <c r="A343" s="21"/>
      <c r="B343" s="21"/>
      <c r="C343" s="21"/>
      <c r="D343" s="21"/>
      <c r="E343" s="136"/>
      <c r="F343" s="136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</row>
    <row r="344">
      <c r="A344" s="21"/>
      <c r="B344" s="21"/>
      <c r="C344" s="21"/>
      <c r="D344" s="21"/>
      <c r="E344" s="136"/>
      <c r="F344" s="136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</row>
    <row r="345">
      <c r="A345" s="21"/>
      <c r="B345" s="21"/>
      <c r="C345" s="21"/>
      <c r="D345" s="21"/>
      <c r="E345" s="136"/>
      <c r="F345" s="136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</row>
    <row r="346">
      <c r="A346" s="21"/>
      <c r="B346" s="21"/>
      <c r="C346" s="21"/>
      <c r="D346" s="21"/>
      <c r="E346" s="136"/>
      <c r="F346" s="136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</row>
    <row r="347">
      <c r="A347" s="21"/>
      <c r="B347" s="21"/>
      <c r="C347" s="21"/>
      <c r="D347" s="21"/>
      <c r="E347" s="136"/>
      <c r="F347" s="136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</row>
    <row r="348">
      <c r="A348" s="21"/>
      <c r="B348" s="21"/>
      <c r="C348" s="21"/>
      <c r="D348" s="21"/>
      <c r="E348" s="136"/>
      <c r="F348" s="136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</row>
    <row r="349">
      <c r="A349" s="21"/>
      <c r="B349" s="21"/>
      <c r="C349" s="21"/>
      <c r="D349" s="21"/>
      <c r="E349" s="136"/>
      <c r="F349" s="136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</row>
    <row r="350">
      <c r="A350" s="21"/>
      <c r="B350" s="21"/>
      <c r="C350" s="21"/>
      <c r="D350" s="21"/>
      <c r="E350" s="136"/>
      <c r="F350" s="136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</row>
    <row r="351">
      <c r="A351" s="21"/>
      <c r="B351" s="21"/>
      <c r="C351" s="21"/>
      <c r="D351" s="21"/>
      <c r="E351" s="136"/>
      <c r="F351" s="136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</row>
    <row r="352">
      <c r="A352" s="21"/>
      <c r="B352" s="21"/>
      <c r="C352" s="21"/>
      <c r="D352" s="21"/>
      <c r="E352" s="136"/>
      <c r="F352" s="136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</row>
    <row r="353">
      <c r="A353" s="21"/>
      <c r="B353" s="21"/>
      <c r="C353" s="21"/>
      <c r="D353" s="21"/>
      <c r="E353" s="136"/>
      <c r="F353" s="136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</row>
    <row r="354">
      <c r="A354" s="21"/>
      <c r="B354" s="21"/>
      <c r="C354" s="21"/>
      <c r="D354" s="21"/>
      <c r="E354" s="136"/>
      <c r="F354" s="136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</row>
    <row r="355">
      <c r="A355" s="21"/>
      <c r="B355" s="21"/>
      <c r="C355" s="21"/>
      <c r="D355" s="21"/>
      <c r="E355" s="136"/>
      <c r="F355" s="136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</row>
    <row r="356">
      <c r="A356" s="21"/>
      <c r="B356" s="21"/>
      <c r="C356" s="21"/>
      <c r="D356" s="21"/>
      <c r="E356" s="136"/>
      <c r="F356" s="136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</row>
    <row r="357">
      <c r="A357" s="21"/>
      <c r="B357" s="21"/>
      <c r="C357" s="21"/>
      <c r="D357" s="21"/>
      <c r="E357" s="136"/>
      <c r="F357" s="136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</row>
    <row r="358">
      <c r="A358" s="21"/>
      <c r="B358" s="21"/>
      <c r="C358" s="21"/>
      <c r="D358" s="21"/>
      <c r="E358" s="136"/>
      <c r="F358" s="136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</row>
    <row r="359">
      <c r="A359" s="21"/>
      <c r="B359" s="21"/>
      <c r="C359" s="21"/>
      <c r="D359" s="21"/>
      <c r="E359" s="136"/>
      <c r="F359" s="136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</row>
    <row r="360">
      <c r="A360" s="21"/>
      <c r="B360" s="21"/>
      <c r="C360" s="21"/>
      <c r="D360" s="21"/>
      <c r="E360" s="136"/>
      <c r="F360" s="136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</row>
    <row r="361">
      <c r="A361" s="21"/>
      <c r="B361" s="21"/>
      <c r="C361" s="21"/>
      <c r="D361" s="21"/>
      <c r="E361" s="136"/>
      <c r="F361" s="136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</row>
    <row r="362">
      <c r="A362" s="21"/>
      <c r="B362" s="21"/>
      <c r="C362" s="21"/>
      <c r="D362" s="21"/>
      <c r="E362" s="136"/>
      <c r="F362" s="136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</row>
    <row r="363">
      <c r="A363" s="21"/>
      <c r="B363" s="21"/>
      <c r="C363" s="21"/>
      <c r="D363" s="21"/>
      <c r="E363" s="136"/>
      <c r="F363" s="136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</row>
    <row r="364">
      <c r="A364" s="21"/>
      <c r="B364" s="21"/>
      <c r="C364" s="21"/>
      <c r="D364" s="21"/>
      <c r="E364" s="136"/>
      <c r="F364" s="136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</row>
    <row r="365">
      <c r="A365" s="21"/>
      <c r="B365" s="21"/>
      <c r="C365" s="21"/>
      <c r="D365" s="21"/>
      <c r="E365" s="136"/>
      <c r="F365" s="136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</row>
    <row r="366">
      <c r="A366" s="21"/>
      <c r="B366" s="21"/>
      <c r="C366" s="21"/>
      <c r="D366" s="21"/>
      <c r="E366" s="136"/>
      <c r="F366" s="136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</row>
    <row r="367">
      <c r="A367" s="21"/>
      <c r="B367" s="21"/>
      <c r="C367" s="21"/>
      <c r="D367" s="21"/>
      <c r="E367" s="136"/>
      <c r="F367" s="136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</row>
    <row r="368">
      <c r="A368" s="21"/>
      <c r="B368" s="21"/>
      <c r="C368" s="21"/>
      <c r="D368" s="21"/>
      <c r="E368" s="136"/>
      <c r="F368" s="136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</row>
    <row r="369">
      <c r="A369" s="21"/>
      <c r="B369" s="21"/>
      <c r="C369" s="21"/>
      <c r="D369" s="21"/>
      <c r="E369" s="136"/>
      <c r="F369" s="136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</row>
    <row r="370">
      <c r="A370" s="21"/>
      <c r="B370" s="21"/>
      <c r="C370" s="21"/>
      <c r="D370" s="21"/>
      <c r="E370" s="136"/>
      <c r="F370" s="136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</row>
    <row r="371">
      <c r="A371" s="21"/>
      <c r="B371" s="21"/>
      <c r="C371" s="21"/>
      <c r="D371" s="21"/>
      <c r="E371" s="136"/>
      <c r="F371" s="136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</row>
    <row r="372">
      <c r="A372" s="21"/>
      <c r="B372" s="21"/>
      <c r="C372" s="21"/>
      <c r="D372" s="21"/>
      <c r="E372" s="136"/>
      <c r="F372" s="136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</row>
    <row r="373">
      <c r="A373" s="21"/>
      <c r="B373" s="21"/>
      <c r="C373" s="21"/>
      <c r="D373" s="21"/>
      <c r="E373" s="136"/>
      <c r="F373" s="136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</row>
    <row r="374">
      <c r="A374" s="21"/>
      <c r="B374" s="21"/>
      <c r="C374" s="21"/>
      <c r="D374" s="21"/>
      <c r="E374" s="136"/>
      <c r="F374" s="136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</row>
    <row r="375">
      <c r="A375" s="21"/>
      <c r="B375" s="21"/>
      <c r="C375" s="21"/>
      <c r="D375" s="21"/>
      <c r="E375" s="136"/>
      <c r="F375" s="136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</row>
    <row r="376">
      <c r="A376" s="21"/>
      <c r="B376" s="21"/>
      <c r="C376" s="21"/>
      <c r="D376" s="21"/>
      <c r="E376" s="136"/>
      <c r="F376" s="136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</row>
    <row r="377">
      <c r="A377" s="21"/>
      <c r="B377" s="21"/>
      <c r="C377" s="21"/>
      <c r="D377" s="21"/>
      <c r="E377" s="136"/>
      <c r="F377" s="136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</row>
    <row r="378">
      <c r="A378" s="21"/>
      <c r="B378" s="21"/>
      <c r="C378" s="21"/>
      <c r="D378" s="21"/>
      <c r="E378" s="136"/>
      <c r="F378" s="136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</row>
    <row r="379">
      <c r="A379" s="21"/>
      <c r="B379" s="21"/>
      <c r="C379" s="21"/>
      <c r="D379" s="21"/>
      <c r="E379" s="136"/>
      <c r="F379" s="136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</row>
    <row r="380">
      <c r="A380" s="21"/>
      <c r="B380" s="21"/>
      <c r="C380" s="21"/>
      <c r="D380" s="21"/>
      <c r="E380" s="136"/>
      <c r="F380" s="136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</row>
    <row r="381">
      <c r="A381" s="21"/>
      <c r="B381" s="21"/>
      <c r="C381" s="21"/>
      <c r="D381" s="21"/>
      <c r="E381" s="136"/>
      <c r="F381" s="136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</row>
    <row r="382">
      <c r="A382" s="21"/>
      <c r="B382" s="21"/>
      <c r="C382" s="21"/>
      <c r="D382" s="21"/>
      <c r="E382" s="136"/>
      <c r="F382" s="136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</row>
    <row r="383">
      <c r="A383" s="21"/>
      <c r="B383" s="21"/>
      <c r="C383" s="21"/>
      <c r="D383" s="21"/>
      <c r="E383" s="136"/>
      <c r="F383" s="136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</row>
    <row r="384">
      <c r="A384" s="21"/>
      <c r="B384" s="21"/>
      <c r="C384" s="21"/>
      <c r="D384" s="21"/>
      <c r="E384" s="136"/>
      <c r="F384" s="136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</row>
    <row r="385">
      <c r="A385" s="21"/>
      <c r="B385" s="21"/>
      <c r="C385" s="21"/>
      <c r="D385" s="21"/>
      <c r="E385" s="136"/>
      <c r="F385" s="136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</row>
    <row r="386">
      <c r="A386" s="21"/>
      <c r="B386" s="21"/>
      <c r="C386" s="21"/>
      <c r="D386" s="21"/>
      <c r="E386" s="136"/>
      <c r="F386" s="136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</row>
    <row r="387">
      <c r="A387" s="21"/>
      <c r="B387" s="21"/>
      <c r="C387" s="21"/>
      <c r="D387" s="21"/>
      <c r="E387" s="136"/>
      <c r="F387" s="136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</row>
    <row r="388">
      <c r="A388" s="21"/>
      <c r="B388" s="21"/>
      <c r="C388" s="21"/>
      <c r="D388" s="21"/>
      <c r="E388" s="136"/>
      <c r="F388" s="136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</row>
    <row r="389">
      <c r="A389" s="21"/>
      <c r="B389" s="21"/>
      <c r="C389" s="21"/>
      <c r="D389" s="21"/>
      <c r="E389" s="136"/>
      <c r="F389" s="136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</row>
    <row r="390">
      <c r="A390" s="21"/>
      <c r="B390" s="21"/>
      <c r="C390" s="21"/>
      <c r="D390" s="21"/>
      <c r="E390" s="136"/>
      <c r="F390" s="136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</row>
    <row r="391">
      <c r="A391" s="21"/>
      <c r="B391" s="21"/>
      <c r="C391" s="21"/>
      <c r="D391" s="21"/>
      <c r="E391" s="136"/>
      <c r="F391" s="136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</row>
    <row r="392">
      <c r="A392" s="21"/>
      <c r="B392" s="21"/>
      <c r="C392" s="21"/>
      <c r="D392" s="21"/>
      <c r="E392" s="136"/>
      <c r="F392" s="136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</row>
    <row r="393">
      <c r="A393" s="21"/>
      <c r="B393" s="21"/>
      <c r="C393" s="21"/>
      <c r="D393" s="21"/>
      <c r="E393" s="136"/>
      <c r="F393" s="136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</row>
    <row r="394">
      <c r="A394" s="21"/>
      <c r="B394" s="21"/>
      <c r="C394" s="21"/>
      <c r="D394" s="21"/>
      <c r="E394" s="136"/>
      <c r="F394" s="136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</row>
    <row r="395">
      <c r="A395" s="21"/>
      <c r="B395" s="21"/>
      <c r="C395" s="21"/>
      <c r="D395" s="21"/>
      <c r="E395" s="136"/>
      <c r="F395" s="136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</row>
    <row r="396">
      <c r="A396" s="21"/>
      <c r="B396" s="21"/>
      <c r="C396" s="21"/>
      <c r="D396" s="21"/>
      <c r="E396" s="136"/>
      <c r="F396" s="136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</row>
    <row r="397">
      <c r="A397" s="21"/>
      <c r="B397" s="21"/>
      <c r="C397" s="21"/>
      <c r="D397" s="21"/>
      <c r="E397" s="136"/>
      <c r="F397" s="136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</row>
    <row r="398">
      <c r="A398" s="21"/>
      <c r="B398" s="21"/>
      <c r="C398" s="21"/>
      <c r="D398" s="21"/>
      <c r="E398" s="136"/>
      <c r="F398" s="136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</row>
    <row r="399">
      <c r="A399" s="21"/>
      <c r="B399" s="21"/>
      <c r="C399" s="21"/>
      <c r="D399" s="21"/>
      <c r="E399" s="136"/>
      <c r="F399" s="136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</row>
    <row r="400">
      <c r="A400" s="21"/>
      <c r="B400" s="21"/>
      <c r="C400" s="21"/>
      <c r="D400" s="21"/>
      <c r="E400" s="136"/>
      <c r="F400" s="136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</row>
    <row r="401">
      <c r="A401" s="21"/>
      <c r="B401" s="21"/>
      <c r="C401" s="21"/>
      <c r="D401" s="21"/>
      <c r="E401" s="136"/>
      <c r="F401" s="136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</row>
    <row r="402">
      <c r="A402" s="21"/>
      <c r="B402" s="21"/>
      <c r="C402" s="21"/>
      <c r="D402" s="21"/>
      <c r="E402" s="136"/>
      <c r="F402" s="136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</row>
    <row r="403">
      <c r="A403" s="21"/>
      <c r="B403" s="21"/>
      <c r="C403" s="21"/>
      <c r="D403" s="21"/>
      <c r="E403" s="136"/>
      <c r="F403" s="136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</row>
    <row r="404">
      <c r="A404" s="21"/>
      <c r="B404" s="21"/>
      <c r="C404" s="21"/>
      <c r="D404" s="21"/>
      <c r="E404" s="136"/>
      <c r="F404" s="136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</row>
    <row r="405">
      <c r="A405" s="21"/>
      <c r="B405" s="21"/>
      <c r="C405" s="21"/>
      <c r="D405" s="21"/>
      <c r="E405" s="136"/>
      <c r="F405" s="136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</row>
    <row r="406">
      <c r="A406" s="21"/>
      <c r="B406" s="21"/>
      <c r="C406" s="21"/>
      <c r="D406" s="21"/>
      <c r="E406" s="136"/>
      <c r="F406" s="136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</row>
    <row r="407">
      <c r="A407" s="21"/>
      <c r="B407" s="21"/>
      <c r="C407" s="21"/>
      <c r="D407" s="21"/>
      <c r="E407" s="136"/>
      <c r="F407" s="136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</row>
    <row r="408">
      <c r="A408" s="21"/>
      <c r="B408" s="21"/>
      <c r="C408" s="21"/>
      <c r="D408" s="21"/>
      <c r="E408" s="136"/>
      <c r="F408" s="136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</row>
    <row r="409">
      <c r="A409" s="21"/>
      <c r="B409" s="21"/>
      <c r="C409" s="21"/>
      <c r="D409" s="21"/>
      <c r="E409" s="136"/>
      <c r="F409" s="136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</row>
    <row r="410">
      <c r="A410" s="21"/>
      <c r="B410" s="21"/>
      <c r="C410" s="21"/>
      <c r="D410" s="21"/>
      <c r="E410" s="136"/>
      <c r="F410" s="136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</row>
    <row r="411">
      <c r="A411" s="21"/>
      <c r="B411" s="21"/>
      <c r="C411" s="21"/>
      <c r="D411" s="21"/>
      <c r="E411" s="136"/>
      <c r="F411" s="136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</row>
    <row r="412">
      <c r="A412" s="21"/>
      <c r="B412" s="21"/>
      <c r="C412" s="21"/>
      <c r="D412" s="21"/>
      <c r="E412" s="136"/>
      <c r="F412" s="136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</row>
    <row r="413">
      <c r="A413" s="21"/>
      <c r="B413" s="21"/>
      <c r="C413" s="21"/>
      <c r="D413" s="21"/>
      <c r="E413" s="136"/>
      <c r="F413" s="136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</row>
    <row r="414">
      <c r="A414" s="21"/>
      <c r="B414" s="21"/>
      <c r="C414" s="21"/>
      <c r="D414" s="21"/>
      <c r="E414" s="136"/>
      <c r="F414" s="136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</row>
    <row r="415">
      <c r="A415" s="21"/>
      <c r="B415" s="21"/>
      <c r="C415" s="21"/>
      <c r="D415" s="21"/>
      <c r="E415" s="136"/>
      <c r="F415" s="136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</row>
    <row r="416">
      <c r="A416" s="21"/>
      <c r="B416" s="21"/>
      <c r="C416" s="21"/>
      <c r="D416" s="21"/>
      <c r="E416" s="136"/>
      <c r="F416" s="136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</row>
    <row r="417">
      <c r="A417" s="21"/>
      <c r="B417" s="21"/>
      <c r="C417" s="21"/>
      <c r="D417" s="21"/>
      <c r="E417" s="136"/>
      <c r="F417" s="136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</row>
    <row r="418">
      <c r="A418" s="21"/>
      <c r="B418" s="21"/>
      <c r="C418" s="21"/>
      <c r="D418" s="21"/>
      <c r="E418" s="136"/>
      <c r="F418" s="136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</row>
    <row r="419">
      <c r="A419" s="21"/>
      <c r="B419" s="21"/>
      <c r="C419" s="21"/>
      <c r="D419" s="21"/>
      <c r="E419" s="136"/>
      <c r="F419" s="136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</row>
    <row r="420">
      <c r="A420" s="21"/>
      <c r="B420" s="21"/>
      <c r="C420" s="21"/>
      <c r="D420" s="21"/>
      <c r="E420" s="136"/>
      <c r="F420" s="136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</row>
    <row r="421">
      <c r="A421" s="21"/>
      <c r="B421" s="21"/>
      <c r="C421" s="21"/>
      <c r="D421" s="21"/>
      <c r="E421" s="136"/>
      <c r="F421" s="136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</row>
    <row r="422">
      <c r="A422" s="21"/>
      <c r="B422" s="21"/>
      <c r="C422" s="21"/>
      <c r="D422" s="21"/>
      <c r="E422" s="136"/>
      <c r="F422" s="136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</row>
    <row r="423">
      <c r="A423" s="21"/>
      <c r="B423" s="21"/>
      <c r="C423" s="21"/>
      <c r="D423" s="21"/>
      <c r="E423" s="136"/>
      <c r="F423" s="136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</row>
    <row r="424">
      <c r="A424" s="21"/>
      <c r="B424" s="21"/>
      <c r="C424" s="21"/>
      <c r="D424" s="21"/>
      <c r="E424" s="136"/>
      <c r="F424" s="136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</row>
    <row r="425">
      <c r="A425" s="21"/>
      <c r="B425" s="21"/>
      <c r="C425" s="21"/>
      <c r="D425" s="21"/>
      <c r="E425" s="136"/>
      <c r="F425" s="136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</row>
    <row r="426">
      <c r="A426" s="21"/>
      <c r="B426" s="21"/>
      <c r="C426" s="21"/>
      <c r="D426" s="21"/>
      <c r="E426" s="136"/>
      <c r="F426" s="136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</row>
    <row r="427">
      <c r="A427" s="21"/>
      <c r="B427" s="21"/>
      <c r="C427" s="21"/>
      <c r="D427" s="21"/>
      <c r="E427" s="136"/>
      <c r="F427" s="136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</row>
    <row r="428">
      <c r="A428" s="21"/>
      <c r="B428" s="21"/>
      <c r="C428" s="21"/>
      <c r="D428" s="21"/>
      <c r="E428" s="136"/>
      <c r="F428" s="136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</row>
    <row r="429">
      <c r="A429" s="21"/>
      <c r="B429" s="21"/>
      <c r="C429" s="21"/>
      <c r="D429" s="21"/>
      <c r="E429" s="136"/>
      <c r="F429" s="136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</row>
    <row r="430">
      <c r="A430" s="21"/>
      <c r="B430" s="21"/>
      <c r="C430" s="21"/>
      <c r="D430" s="21"/>
      <c r="E430" s="136"/>
      <c r="F430" s="136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</row>
    <row r="431">
      <c r="A431" s="21"/>
      <c r="B431" s="21"/>
      <c r="C431" s="21"/>
      <c r="D431" s="21"/>
      <c r="E431" s="136"/>
      <c r="F431" s="136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</row>
    <row r="432">
      <c r="A432" s="21"/>
      <c r="B432" s="21"/>
      <c r="C432" s="21"/>
      <c r="D432" s="21"/>
      <c r="E432" s="136"/>
      <c r="F432" s="136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</row>
    <row r="433">
      <c r="A433" s="21"/>
      <c r="B433" s="21"/>
      <c r="C433" s="21"/>
      <c r="D433" s="21"/>
      <c r="E433" s="136"/>
      <c r="F433" s="136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</row>
    <row r="434">
      <c r="A434" s="21"/>
      <c r="B434" s="21"/>
      <c r="C434" s="21"/>
      <c r="D434" s="21"/>
      <c r="E434" s="136"/>
      <c r="F434" s="136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</row>
    <row r="435">
      <c r="A435" s="21"/>
      <c r="B435" s="21"/>
      <c r="C435" s="21"/>
      <c r="D435" s="21"/>
      <c r="E435" s="136"/>
      <c r="F435" s="136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</row>
    <row r="436">
      <c r="A436" s="21"/>
      <c r="B436" s="21"/>
      <c r="C436" s="21"/>
      <c r="D436" s="21"/>
      <c r="E436" s="136"/>
      <c r="F436" s="136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</row>
    <row r="437">
      <c r="A437" s="21"/>
      <c r="B437" s="21"/>
      <c r="C437" s="21"/>
      <c r="D437" s="21"/>
      <c r="E437" s="136"/>
      <c r="F437" s="136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</row>
    <row r="438">
      <c r="A438" s="21"/>
      <c r="B438" s="21"/>
      <c r="C438" s="21"/>
      <c r="D438" s="21"/>
      <c r="E438" s="136"/>
      <c r="F438" s="136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</row>
    <row r="439">
      <c r="A439" s="21"/>
      <c r="B439" s="21"/>
      <c r="C439" s="21"/>
      <c r="D439" s="21"/>
      <c r="E439" s="136"/>
      <c r="F439" s="136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</row>
    <row r="440">
      <c r="A440" s="21"/>
      <c r="B440" s="21"/>
      <c r="C440" s="21"/>
      <c r="D440" s="21"/>
      <c r="E440" s="136"/>
      <c r="F440" s="136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</row>
    <row r="441">
      <c r="A441" s="21"/>
      <c r="B441" s="21"/>
      <c r="C441" s="21"/>
      <c r="D441" s="21"/>
      <c r="E441" s="136"/>
      <c r="F441" s="136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</row>
    <row r="442">
      <c r="A442" s="21"/>
      <c r="B442" s="21"/>
      <c r="C442" s="21"/>
      <c r="D442" s="21"/>
      <c r="E442" s="136"/>
      <c r="F442" s="136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</row>
    <row r="443">
      <c r="A443" s="21"/>
      <c r="B443" s="21"/>
      <c r="C443" s="21"/>
      <c r="D443" s="21"/>
      <c r="E443" s="136"/>
      <c r="F443" s="136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</row>
    <row r="444">
      <c r="A444" s="21"/>
      <c r="B444" s="21"/>
      <c r="C444" s="21"/>
      <c r="D444" s="21"/>
      <c r="E444" s="136"/>
      <c r="F444" s="136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</row>
    <row r="445">
      <c r="A445" s="21"/>
      <c r="B445" s="21"/>
      <c r="C445" s="21"/>
      <c r="D445" s="21"/>
      <c r="E445" s="136"/>
      <c r="F445" s="136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</row>
    <row r="446">
      <c r="A446" s="21"/>
      <c r="B446" s="21"/>
      <c r="C446" s="21"/>
      <c r="D446" s="21"/>
      <c r="E446" s="136"/>
      <c r="F446" s="136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</row>
    <row r="447">
      <c r="A447" s="21"/>
      <c r="B447" s="21"/>
      <c r="C447" s="21"/>
      <c r="D447" s="21"/>
      <c r="E447" s="136"/>
      <c r="F447" s="136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</row>
    <row r="448">
      <c r="A448" s="21"/>
      <c r="B448" s="21"/>
      <c r="C448" s="21"/>
      <c r="D448" s="21"/>
      <c r="E448" s="136"/>
      <c r="F448" s="136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</row>
    <row r="449">
      <c r="A449" s="21"/>
      <c r="B449" s="21"/>
      <c r="C449" s="21"/>
      <c r="D449" s="21"/>
      <c r="E449" s="136"/>
      <c r="F449" s="136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</row>
    <row r="450">
      <c r="A450" s="21"/>
      <c r="B450" s="21"/>
      <c r="C450" s="21"/>
      <c r="D450" s="21"/>
      <c r="E450" s="136"/>
      <c r="F450" s="136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</row>
    <row r="451">
      <c r="A451" s="21"/>
      <c r="B451" s="21"/>
      <c r="C451" s="21"/>
      <c r="D451" s="21"/>
      <c r="E451" s="136"/>
      <c r="F451" s="136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</row>
    <row r="452">
      <c r="A452" s="21"/>
      <c r="B452" s="21"/>
      <c r="C452" s="21"/>
      <c r="D452" s="21"/>
      <c r="E452" s="136"/>
      <c r="F452" s="136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</row>
    <row r="453">
      <c r="A453" s="21"/>
      <c r="B453" s="21"/>
      <c r="C453" s="21"/>
      <c r="D453" s="21"/>
      <c r="E453" s="136"/>
      <c r="F453" s="136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</row>
    <row r="454">
      <c r="A454" s="21"/>
      <c r="B454" s="21"/>
      <c r="C454" s="21"/>
      <c r="D454" s="21"/>
      <c r="E454" s="136"/>
      <c r="F454" s="136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</row>
    <row r="455">
      <c r="A455" s="21"/>
      <c r="B455" s="21"/>
      <c r="C455" s="21"/>
      <c r="D455" s="21"/>
      <c r="E455" s="136"/>
      <c r="F455" s="136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</row>
    <row r="456">
      <c r="A456" s="21"/>
      <c r="B456" s="21"/>
      <c r="C456" s="21"/>
      <c r="D456" s="21"/>
      <c r="E456" s="136"/>
      <c r="F456" s="136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</row>
    <row r="457">
      <c r="A457" s="21"/>
      <c r="B457" s="21"/>
      <c r="C457" s="21"/>
      <c r="D457" s="21"/>
      <c r="E457" s="136"/>
      <c r="F457" s="136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</row>
    <row r="458">
      <c r="A458" s="21"/>
      <c r="B458" s="21"/>
      <c r="C458" s="21"/>
      <c r="D458" s="21"/>
      <c r="E458" s="136"/>
      <c r="F458" s="136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</row>
    <row r="459">
      <c r="A459" s="21"/>
      <c r="B459" s="21"/>
      <c r="C459" s="21"/>
      <c r="D459" s="21"/>
      <c r="E459" s="136"/>
      <c r="F459" s="136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</row>
    <row r="460">
      <c r="A460" s="21"/>
      <c r="B460" s="21"/>
      <c r="C460" s="21"/>
      <c r="D460" s="21"/>
      <c r="E460" s="136"/>
      <c r="F460" s="136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</row>
    <row r="461">
      <c r="A461" s="21"/>
      <c r="B461" s="21"/>
      <c r="C461" s="21"/>
      <c r="D461" s="21"/>
      <c r="E461" s="136"/>
      <c r="F461" s="136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</row>
    <row r="462">
      <c r="A462" s="21"/>
      <c r="B462" s="21"/>
      <c r="C462" s="21"/>
      <c r="D462" s="21"/>
      <c r="E462" s="136"/>
      <c r="F462" s="136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</row>
    <row r="463">
      <c r="A463" s="21"/>
      <c r="B463" s="21"/>
      <c r="C463" s="21"/>
      <c r="D463" s="21"/>
      <c r="E463" s="136"/>
      <c r="F463" s="136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</row>
    <row r="464">
      <c r="A464" s="21"/>
      <c r="B464" s="21"/>
      <c r="C464" s="21"/>
      <c r="D464" s="21"/>
      <c r="E464" s="136"/>
      <c r="F464" s="136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</row>
    <row r="465">
      <c r="A465" s="21"/>
      <c r="B465" s="21"/>
      <c r="C465" s="21"/>
      <c r="D465" s="21"/>
      <c r="E465" s="136"/>
      <c r="F465" s="136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</row>
    <row r="466">
      <c r="A466" s="21"/>
      <c r="B466" s="21"/>
      <c r="C466" s="21"/>
      <c r="D466" s="21"/>
      <c r="E466" s="136"/>
      <c r="F466" s="136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</row>
    <row r="467">
      <c r="A467" s="21"/>
      <c r="B467" s="21"/>
      <c r="C467" s="21"/>
      <c r="D467" s="21"/>
      <c r="E467" s="136"/>
      <c r="F467" s="136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</row>
    <row r="468">
      <c r="A468" s="21"/>
      <c r="B468" s="21"/>
      <c r="C468" s="21"/>
      <c r="D468" s="21"/>
      <c r="E468" s="136"/>
      <c r="F468" s="136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</row>
    <row r="469">
      <c r="A469" s="21"/>
      <c r="B469" s="21"/>
      <c r="C469" s="21"/>
      <c r="D469" s="21"/>
      <c r="E469" s="136"/>
      <c r="F469" s="136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</row>
    <row r="470">
      <c r="A470" s="21"/>
      <c r="B470" s="21"/>
      <c r="C470" s="21"/>
      <c r="D470" s="21"/>
      <c r="E470" s="136"/>
      <c r="F470" s="136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</row>
    <row r="471">
      <c r="A471" s="21"/>
      <c r="B471" s="21"/>
      <c r="C471" s="21"/>
      <c r="D471" s="21"/>
      <c r="E471" s="136"/>
      <c r="F471" s="136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</row>
    <row r="472">
      <c r="A472" s="21"/>
      <c r="B472" s="21"/>
      <c r="C472" s="21"/>
      <c r="D472" s="21"/>
      <c r="E472" s="136"/>
      <c r="F472" s="136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</row>
    <row r="473">
      <c r="A473" s="21"/>
      <c r="B473" s="21"/>
      <c r="C473" s="21"/>
      <c r="D473" s="21"/>
      <c r="E473" s="136"/>
      <c r="F473" s="136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</row>
    <row r="474">
      <c r="A474" s="21"/>
      <c r="B474" s="21"/>
      <c r="C474" s="21"/>
      <c r="D474" s="21"/>
      <c r="E474" s="136"/>
      <c r="F474" s="136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</row>
    <row r="475">
      <c r="A475" s="21"/>
      <c r="B475" s="21"/>
      <c r="C475" s="21"/>
      <c r="D475" s="21"/>
      <c r="E475" s="136"/>
      <c r="F475" s="136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</row>
    <row r="476">
      <c r="A476" s="21"/>
      <c r="B476" s="21"/>
      <c r="C476" s="21"/>
      <c r="D476" s="21"/>
      <c r="E476" s="136"/>
      <c r="F476" s="136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</row>
    <row r="477">
      <c r="A477" s="21"/>
      <c r="B477" s="21"/>
      <c r="C477" s="21"/>
      <c r="D477" s="21"/>
      <c r="E477" s="136"/>
      <c r="F477" s="136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</row>
    <row r="478">
      <c r="A478" s="21"/>
      <c r="B478" s="21"/>
      <c r="C478" s="21"/>
      <c r="D478" s="21"/>
      <c r="E478" s="136"/>
      <c r="F478" s="136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</row>
    <row r="479">
      <c r="A479" s="21"/>
      <c r="B479" s="21"/>
      <c r="C479" s="21"/>
      <c r="D479" s="21"/>
      <c r="E479" s="136"/>
      <c r="F479" s="136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</row>
    <row r="480">
      <c r="A480" s="21"/>
      <c r="B480" s="21"/>
      <c r="C480" s="21"/>
      <c r="D480" s="21"/>
      <c r="E480" s="136"/>
      <c r="F480" s="136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</row>
    <row r="481">
      <c r="A481" s="21"/>
      <c r="B481" s="21"/>
      <c r="C481" s="21"/>
      <c r="D481" s="21"/>
      <c r="E481" s="136"/>
      <c r="F481" s="136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</row>
    <row r="482">
      <c r="A482" s="21"/>
      <c r="B482" s="21"/>
      <c r="C482" s="21"/>
      <c r="D482" s="21"/>
      <c r="E482" s="136"/>
      <c r="F482" s="136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</row>
    <row r="483">
      <c r="A483" s="21"/>
      <c r="B483" s="21"/>
      <c r="C483" s="21"/>
      <c r="D483" s="21"/>
      <c r="E483" s="136"/>
      <c r="F483" s="136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</row>
    <row r="484">
      <c r="A484" s="21"/>
      <c r="B484" s="21"/>
      <c r="C484" s="21"/>
      <c r="D484" s="21"/>
      <c r="E484" s="136"/>
      <c r="F484" s="136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</row>
    <row r="485">
      <c r="A485" s="21"/>
      <c r="B485" s="21"/>
      <c r="C485" s="21"/>
      <c r="D485" s="21"/>
      <c r="E485" s="136"/>
      <c r="F485" s="136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</row>
    <row r="486">
      <c r="A486" s="21"/>
      <c r="B486" s="21"/>
      <c r="C486" s="21"/>
      <c r="D486" s="21"/>
      <c r="E486" s="136"/>
      <c r="F486" s="136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</row>
    <row r="487">
      <c r="A487" s="21"/>
      <c r="B487" s="21"/>
      <c r="C487" s="21"/>
      <c r="D487" s="21"/>
      <c r="E487" s="136"/>
      <c r="F487" s="136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</row>
    <row r="488">
      <c r="A488" s="21"/>
      <c r="B488" s="21"/>
      <c r="C488" s="21"/>
      <c r="D488" s="21"/>
      <c r="E488" s="136"/>
      <c r="F488" s="136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</row>
    <row r="489">
      <c r="A489" s="21"/>
      <c r="B489" s="21"/>
      <c r="C489" s="21"/>
      <c r="D489" s="21"/>
      <c r="E489" s="136"/>
      <c r="F489" s="136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</row>
    <row r="490">
      <c r="A490" s="21"/>
      <c r="B490" s="21"/>
      <c r="C490" s="21"/>
      <c r="D490" s="21"/>
      <c r="E490" s="136"/>
      <c r="F490" s="136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</row>
    <row r="491">
      <c r="A491" s="21"/>
      <c r="B491" s="21"/>
      <c r="C491" s="21"/>
      <c r="D491" s="21"/>
      <c r="E491" s="136"/>
      <c r="F491" s="136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</row>
    <row r="492">
      <c r="A492" s="21"/>
      <c r="B492" s="21"/>
      <c r="C492" s="21"/>
      <c r="D492" s="21"/>
      <c r="E492" s="136"/>
      <c r="F492" s="136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</row>
    <row r="493">
      <c r="A493" s="21"/>
      <c r="B493" s="21"/>
      <c r="C493" s="21"/>
      <c r="D493" s="21"/>
      <c r="E493" s="136"/>
      <c r="F493" s="136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</row>
    <row r="494">
      <c r="A494" s="21"/>
      <c r="B494" s="21"/>
      <c r="C494" s="21"/>
      <c r="D494" s="21"/>
      <c r="E494" s="136"/>
      <c r="F494" s="136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</row>
    <row r="495">
      <c r="A495" s="21"/>
      <c r="B495" s="21"/>
      <c r="C495" s="21"/>
      <c r="D495" s="21"/>
      <c r="E495" s="136"/>
      <c r="F495" s="136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</row>
    <row r="496">
      <c r="A496" s="21"/>
      <c r="B496" s="21"/>
      <c r="C496" s="21"/>
      <c r="D496" s="21"/>
      <c r="E496" s="136"/>
      <c r="F496" s="136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</row>
    <row r="497">
      <c r="A497" s="21"/>
      <c r="B497" s="21"/>
      <c r="C497" s="21"/>
      <c r="D497" s="21"/>
      <c r="E497" s="136"/>
      <c r="F497" s="136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</row>
    <row r="498">
      <c r="A498" s="21"/>
      <c r="B498" s="21"/>
      <c r="C498" s="21"/>
      <c r="D498" s="21"/>
      <c r="E498" s="136"/>
      <c r="F498" s="136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</row>
    <row r="499">
      <c r="A499" s="21"/>
      <c r="B499" s="21"/>
      <c r="C499" s="21"/>
      <c r="D499" s="21"/>
      <c r="E499" s="136"/>
      <c r="F499" s="136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</row>
    <row r="500">
      <c r="A500" s="21"/>
      <c r="B500" s="21"/>
      <c r="C500" s="21"/>
      <c r="D500" s="21"/>
      <c r="E500" s="136"/>
      <c r="F500" s="136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</row>
    <row r="501">
      <c r="A501" s="21"/>
      <c r="B501" s="21"/>
      <c r="C501" s="21"/>
      <c r="D501" s="21"/>
      <c r="E501" s="136"/>
      <c r="F501" s="136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</row>
    <row r="502">
      <c r="A502" s="21"/>
      <c r="B502" s="21"/>
      <c r="C502" s="21"/>
      <c r="D502" s="21"/>
      <c r="E502" s="136"/>
      <c r="F502" s="136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</row>
    <row r="503">
      <c r="A503" s="21"/>
      <c r="B503" s="21"/>
      <c r="C503" s="21"/>
      <c r="D503" s="21"/>
      <c r="E503" s="136"/>
      <c r="F503" s="136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</row>
    <row r="504">
      <c r="A504" s="21"/>
      <c r="B504" s="21"/>
      <c r="C504" s="21"/>
      <c r="D504" s="21"/>
      <c r="E504" s="136"/>
      <c r="F504" s="136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</row>
    <row r="505">
      <c r="A505" s="21"/>
      <c r="B505" s="21"/>
      <c r="C505" s="21"/>
      <c r="D505" s="21"/>
      <c r="E505" s="136"/>
      <c r="F505" s="136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</row>
    <row r="506">
      <c r="A506" s="21"/>
      <c r="B506" s="21"/>
      <c r="C506" s="21"/>
      <c r="D506" s="21"/>
      <c r="E506" s="136"/>
      <c r="F506" s="136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</row>
    <row r="507">
      <c r="A507" s="21"/>
      <c r="B507" s="21"/>
      <c r="C507" s="21"/>
      <c r="D507" s="21"/>
      <c r="E507" s="136"/>
      <c r="F507" s="136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</row>
    <row r="508">
      <c r="A508" s="21"/>
      <c r="B508" s="21"/>
      <c r="C508" s="21"/>
      <c r="D508" s="21"/>
      <c r="E508" s="136"/>
      <c r="F508" s="136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</row>
    <row r="509">
      <c r="A509" s="21"/>
      <c r="B509" s="21"/>
      <c r="C509" s="21"/>
      <c r="D509" s="21"/>
      <c r="E509" s="136"/>
      <c r="F509" s="136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</row>
    <row r="510">
      <c r="A510" s="21"/>
      <c r="B510" s="21"/>
      <c r="C510" s="21"/>
      <c r="D510" s="21"/>
      <c r="E510" s="136"/>
      <c r="F510" s="136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</row>
    <row r="511">
      <c r="A511" s="21"/>
      <c r="B511" s="21"/>
      <c r="C511" s="21"/>
      <c r="D511" s="21"/>
      <c r="E511" s="136"/>
      <c r="F511" s="136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</row>
    <row r="512">
      <c r="A512" s="21"/>
      <c r="B512" s="21"/>
      <c r="C512" s="21"/>
      <c r="D512" s="21"/>
      <c r="E512" s="136"/>
      <c r="F512" s="136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</row>
    <row r="513">
      <c r="A513" s="21"/>
      <c r="B513" s="21"/>
      <c r="C513" s="21"/>
      <c r="D513" s="21"/>
      <c r="E513" s="136"/>
      <c r="F513" s="136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</row>
    <row r="514">
      <c r="A514" s="21"/>
      <c r="B514" s="21"/>
      <c r="C514" s="21"/>
      <c r="D514" s="21"/>
      <c r="E514" s="136"/>
      <c r="F514" s="136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</row>
    <row r="515">
      <c r="A515" s="21"/>
      <c r="B515" s="21"/>
      <c r="C515" s="21"/>
      <c r="D515" s="21"/>
      <c r="E515" s="136"/>
      <c r="F515" s="136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</row>
    <row r="516">
      <c r="A516" s="21"/>
      <c r="B516" s="21"/>
      <c r="C516" s="21"/>
      <c r="D516" s="21"/>
      <c r="E516" s="136"/>
      <c r="F516" s="136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</row>
    <row r="517">
      <c r="A517" s="21"/>
      <c r="B517" s="21"/>
      <c r="C517" s="21"/>
      <c r="D517" s="21"/>
      <c r="E517" s="136"/>
      <c r="F517" s="136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</row>
    <row r="518">
      <c r="A518" s="21"/>
      <c r="B518" s="21"/>
      <c r="C518" s="21"/>
      <c r="D518" s="21"/>
      <c r="E518" s="136"/>
      <c r="F518" s="136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</row>
    <row r="519">
      <c r="A519" s="21"/>
      <c r="B519" s="21"/>
      <c r="C519" s="21"/>
      <c r="D519" s="21"/>
      <c r="E519" s="136"/>
      <c r="F519" s="136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</row>
    <row r="520">
      <c r="A520" s="21"/>
      <c r="B520" s="21"/>
      <c r="C520" s="21"/>
      <c r="D520" s="21"/>
      <c r="E520" s="136"/>
      <c r="F520" s="136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</row>
    <row r="521">
      <c r="A521" s="21"/>
      <c r="B521" s="21"/>
      <c r="C521" s="21"/>
      <c r="D521" s="21"/>
      <c r="E521" s="136"/>
      <c r="F521" s="136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</row>
    <row r="522">
      <c r="A522" s="21"/>
      <c r="B522" s="21"/>
      <c r="C522" s="21"/>
      <c r="D522" s="21"/>
      <c r="E522" s="136"/>
      <c r="F522" s="136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</row>
    <row r="523">
      <c r="A523" s="21"/>
      <c r="B523" s="21"/>
      <c r="C523" s="21"/>
      <c r="D523" s="21"/>
      <c r="E523" s="136"/>
      <c r="F523" s="136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</row>
    <row r="524">
      <c r="A524" s="21"/>
      <c r="B524" s="21"/>
      <c r="C524" s="21"/>
      <c r="D524" s="21"/>
      <c r="E524" s="136"/>
      <c r="F524" s="136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</row>
    <row r="525">
      <c r="A525" s="21"/>
      <c r="B525" s="21"/>
      <c r="C525" s="21"/>
      <c r="D525" s="21"/>
      <c r="E525" s="136"/>
      <c r="F525" s="136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</row>
    <row r="526">
      <c r="A526" s="21"/>
      <c r="B526" s="21"/>
      <c r="C526" s="21"/>
      <c r="D526" s="21"/>
      <c r="E526" s="136"/>
      <c r="F526" s="136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</row>
    <row r="527">
      <c r="A527" s="21"/>
      <c r="B527" s="21"/>
      <c r="C527" s="21"/>
      <c r="D527" s="21"/>
      <c r="E527" s="136"/>
      <c r="F527" s="136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</row>
    <row r="528">
      <c r="A528" s="21"/>
      <c r="B528" s="21"/>
      <c r="C528" s="21"/>
      <c r="D528" s="21"/>
      <c r="E528" s="136"/>
      <c r="F528" s="136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</row>
    <row r="529">
      <c r="A529" s="21"/>
      <c r="B529" s="21"/>
      <c r="C529" s="21"/>
      <c r="D529" s="21"/>
      <c r="E529" s="136"/>
      <c r="F529" s="136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</row>
    <row r="530">
      <c r="A530" s="21"/>
      <c r="B530" s="21"/>
      <c r="C530" s="21"/>
      <c r="D530" s="21"/>
      <c r="E530" s="136"/>
      <c r="F530" s="136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</row>
    <row r="531">
      <c r="A531" s="21"/>
      <c r="B531" s="21"/>
      <c r="C531" s="21"/>
      <c r="D531" s="21"/>
      <c r="E531" s="136"/>
      <c r="F531" s="136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</row>
    <row r="532">
      <c r="A532" s="21"/>
      <c r="B532" s="21"/>
      <c r="C532" s="21"/>
      <c r="D532" s="21"/>
      <c r="E532" s="136"/>
      <c r="F532" s="136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</row>
    <row r="533">
      <c r="A533" s="21"/>
      <c r="B533" s="21"/>
      <c r="C533" s="21"/>
      <c r="D533" s="21"/>
      <c r="E533" s="136"/>
      <c r="F533" s="136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</row>
    <row r="534">
      <c r="A534" s="21"/>
      <c r="B534" s="21"/>
      <c r="C534" s="21"/>
      <c r="D534" s="21"/>
      <c r="E534" s="136"/>
      <c r="F534" s="136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</row>
    <row r="535">
      <c r="A535" s="21"/>
      <c r="B535" s="21"/>
      <c r="C535" s="21"/>
      <c r="D535" s="21"/>
      <c r="E535" s="136"/>
      <c r="F535" s="136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</row>
    <row r="536">
      <c r="A536" s="21"/>
      <c r="B536" s="21"/>
      <c r="C536" s="21"/>
      <c r="D536" s="21"/>
      <c r="E536" s="136"/>
      <c r="F536" s="136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</row>
    <row r="537">
      <c r="A537" s="21"/>
      <c r="B537" s="21"/>
      <c r="C537" s="21"/>
      <c r="D537" s="21"/>
      <c r="E537" s="136"/>
      <c r="F537" s="136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</row>
    <row r="538">
      <c r="A538" s="21"/>
      <c r="B538" s="21"/>
      <c r="C538" s="21"/>
      <c r="D538" s="21"/>
      <c r="E538" s="136"/>
      <c r="F538" s="136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</row>
    <row r="539">
      <c r="A539" s="21"/>
      <c r="B539" s="21"/>
      <c r="C539" s="21"/>
      <c r="D539" s="21"/>
      <c r="E539" s="136"/>
      <c r="F539" s="136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</row>
    <row r="540">
      <c r="A540" s="21"/>
      <c r="B540" s="21"/>
      <c r="C540" s="21"/>
      <c r="D540" s="21"/>
      <c r="E540" s="136"/>
      <c r="F540" s="136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</row>
    <row r="541">
      <c r="A541" s="21"/>
      <c r="B541" s="21"/>
      <c r="C541" s="21"/>
      <c r="D541" s="21"/>
      <c r="E541" s="136"/>
      <c r="F541" s="136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</row>
    <row r="542">
      <c r="A542" s="21"/>
      <c r="B542" s="21"/>
      <c r="C542" s="21"/>
      <c r="D542" s="21"/>
      <c r="E542" s="136"/>
      <c r="F542" s="136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</row>
    <row r="543">
      <c r="A543" s="21"/>
      <c r="B543" s="21"/>
      <c r="C543" s="21"/>
      <c r="D543" s="21"/>
      <c r="E543" s="136"/>
      <c r="F543" s="136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</row>
    <row r="544">
      <c r="A544" s="21"/>
      <c r="B544" s="21"/>
      <c r="C544" s="21"/>
      <c r="D544" s="21"/>
      <c r="E544" s="136"/>
      <c r="F544" s="136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</row>
    <row r="545">
      <c r="A545" s="21"/>
      <c r="B545" s="21"/>
      <c r="C545" s="21"/>
      <c r="D545" s="21"/>
      <c r="E545" s="136"/>
      <c r="F545" s="136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</row>
    <row r="546">
      <c r="A546" s="21"/>
      <c r="B546" s="21"/>
      <c r="C546" s="21"/>
      <c r="D546" s="21"/>
      <c r="E546" s="136"/>
      <c r="F546" s="136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</row>
    <row r="547">
      <c r="A547" s="21"/>
      <c r="B547" s="21"/>
      <c r="C547" s="21"/>
      <c r="D547" s="21"/>
      <c r="E547" s="136"/>
      <c r="F547" s="136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</row>
    <row r="548">
      <c r="A548" s="21"/>
      <c r="B548" s="21"/>
      <c r="C548" s="21"/>
      <c r="D548" s="21"/>
      <c r="E548" s="136"/>
      <c r="F548" s="136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</row>
    <row r="549">
      <c r="A549" s="21"/>
      <c r="B549" s="21"/>
      <c r="C549" s="21"/>
      <c r="D549" s="21"/>
      <c r="E549" s="136"/>
      <c r="F549" s="136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</row>
    <row r="550">
      <c r="A550" s="21"/>
      <c r="B550" s="21"/>
      <c r="C550" s="21"/>
      <c r="D550" s="21"/>
      <c r="E550" s="136"/>
      <c r="F550" s="136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</row>
    <row r="551">
      <c r="A551" s="21"/>
      <c r="B551" s="21"/>
      <c r="C551" s="21"/>
      <c r="D551" s="21"/>
      <c r="E551" s="136"/>
      <c r="F551" s="136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</row>
    <row r="552">
      <c r="A552" s="21"/>
      <c r="B552" s="21"/>
      <c r="C552" s="21"/>
      <c r="D552" s="21"/>
      <c r="E552" s="136"/>
      <c r="F552" s="136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</row>
    <row r="553">
      <c r="A553" s="21"/>
      <c r="B553" s="21"/>
      <c r="C553" s="21"/>
      <c r="D553" s="21"/>
      <c r="E553" s="136"/>
      <c r="F553" s="136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</row>
    <row r="554">
      <c r="A554" s="21"/>
      <c r="B554" s="21"/>
      <c r="C554" s="21"/>
      <c r="D554" s="21"/>
      <c r="E554" s="136"/>
      <c r="F554" s="136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</row>
    <row r="555">
      <c r="A555" s="21"/>
      <c r="B555" s="21"/>
      <c r="C555" s="21"/>
      <c r="D555" s="21"/>
      <c r="E555" s="136"/>
      <c r="F555" s="136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</row>
    <row r="556">
      <c r="A556" s="21"/>
      <c r="B556" s="21"/>
      <c r="C556" s="21"/>
      <c r="D556" s="21"/>
      <c r="E556" s="136"/>
      <c r="F556" s="136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</row>
    <row r="557">
      <c r="A557" s="21"/>
      <c r="B557" s="21"/>
      <c r="C557" s="21"/>
      <c r="D557" s="21"/>
      <c r="E557" s="136"/>
      <c r="F557" s="136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</row>
    <row r="558">
      <c r="A558" s="21"/>
      <c r="B558" s="21"/>
      <c r="C558" s="21"/>
      <c r="D558" s="21"/>
      <c r="E558" s="136"/>
      <c r="F558" s="136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</row>
    <row r="559">
      <c r="A559" s="21"/>
      <c r="B559" s="21"/>
      <c r="C559" s="21"/>
      <c r="D559" s="21"/>
      <c r="E559" s="136"/>
      <c r="F559" s="136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</row>
    <row r="560">
      <c r="A560" s="21"/>
      <c r="B560" s="21"/>
      <c r="C560" s="21"/>
      <c r="D560" s="21"/>
      <c r="E560" s="136"/>
      <c r="F560" s="136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</row>
    <row r="561">
      <c r="A561" s="21"/>
      <c r="B561" s="21"/>
      <c r="C561" s="21"/>
      <c r="D561" s="21"/>
      <c r="E561" s="136"/>
      <c r="F561" s="136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</row>
    <row r="562">
      <c r="A562" s="21"/>
      <c r="B562" s="21"/>
      <c r="C562" s="21"/>
      <c r="D562" s="21"/>
      <c r="E562" s="136"/>
      <c r="F562" s="136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</row>
    <row r="563">
      <c r="A563" s="21"/>
      <c r="B563" s="21"/>
      <c r="C563" s="21"/>
      <c r="D563" s="21"/>
      <c r="E563" s="136"/>
      <c r="F563" s="136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</row>
    <row r="564">
      <c r="A564" s="21"/>
      <c r="B564" s="21"/>
      <c r="C564" s="21"/>
      <c r="D564" s="21"/>
      <c r="E564" s="136"/>
      <c r="F564" s="136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</row>
    <row r="565">
      <c r="A565" s="21"/>
      <c r="B565" s="21"/>
      <c r="C565" s="21"/>
      <c r="D565" s="21"/>
      <c r="E565" s="136"/>
      <c r="F565" s="136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</row>
    <row r="566">
      <c r="A566" s="21"/>
      <c r="B566" s="21"/>
      <c r="C566" s="21"/>
      <c r="D566" s="21"/>
      <c r="E566" s="136"/>
      <c r="F566" s="136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</row>
    <row r="567">
      <c r="A567" s="21"/>
      <c r="B567" s="21"/>
      <c r="C567" s="21"/>
      <c r="D567" s="21"/>
      <c r="E567" s="136"/>
      <c r="F567" s="136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</row>
    <row r="568">
      <c r="A568" s="21"/>
      <c r="B568" s="21"/>
      <c r="C568" s="21"/>
      <c r="D568" s="21"/>
      <c r="E568" s="136"/>
      <c r="F568" s="136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</row>
    <row r="569">
      <c r="A569" s="21"/>
      <c r="B569" s="21"/>
      <c r="C569" s="21"/>
      <c r="D569" s="21"/>
      <c r="E569" s="136"/>
      <c r="F569" s="136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</row>
    <row r="570">
      <c r="A570" s="21"/>
      <c r="B570" s="21"/>
      <c r="C570" s="21"/>
      <c r="D570" s="21"/>
      <c r="E570" s="136"/>
      <c r="F570" s="136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</row>
    <row r="571">
      <c r="A571" s="21"/>
      <c r="B571" s="21"/>
      <c r="C571" s="21"/>
      <c r="D571" s="21"/>
      <c r="E571" s="136"/>
      <c r="F571" s="136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</row>
    <row r="572">
      <c r="A572" s="21"/>
      <c r="B572" s="21"/>
      <c r="C572" s="21"/>
      <c r="D572" s="21"/>
      <c r="E572" s="136"/>
      <c r="F572" s="136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</row>
    <row r="573">
      <c r="A573" s="21"/>
      <c r="B573" s="21"/>
      <c r="C573" s="21"/>
      <c r="D573" s="21"/>
      <c r="E573" s="136"/>
      <c r="F573" s="136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</row>
    <row r="574">
      <c r="A574" s="21"/>
      <c r="B574" s="21"/>
      <c r="C574" s="21"/>
      <c r="D574" s="21"/>
      <c r="E574" s="136"/>
      <c r="F574" s="136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</row>
    <row r="575">
      <c r="A575" s="21"/>
      <c r="B575" s="21"/>
      <c r="C575" s="21"/>
      <c r="D575" s="21"/>
      <c r="E575" s="136"/>
      <c r="F575" s="136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</row>
    <row r="576">
      <c r="A576" s="21"/>
      <c r="B576" s="21"/>
      <c r="C576" s="21"/>
      <c r="D576" s="21"/>
      <c r="E576" s="136"/>
      <c r="F576" s="136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</row>
    <row r="577">
      <c r="A577" s="21"/>
      <c r="B577" s="21"/>
      <c r="C577" s="21"/>
      <c r="D577" s="21"/>
      <c r="E577" s="136"/>
      <c r="F577" s="136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</row>
    <row r="578">
      <c r="A578" s="21"/>
      <c r="B578" s="21"/>
      <c r="C578" s="21"/>
      <c r="D578" s="21"/>
      <c r="E578" s="136"/>
      <c r="F578" s="136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</row>
    <row r="579">
      <c r="A579" s="21"/>
      <c r="B579" s="21"/>
      <c r="C579" s="21"/>
      <c r="D579" s="21"/>
      <c r="E579" s="136"/>
      <c r="F579" s="136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</row>
    <row r="580">
      <c r="A580" s="21"/>
      <c r="B580" s="21"/>
      <c r="C580" s="21"/>
      <c r="D580" s="21"/>
      <c r="E580" s="136"/>
      <c r="F580" s="136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</row>
    <row r="581">
      <c r="A581" s="21"/>
      <c r="B581" s="21"/>
      <c r="C581" s="21"/>
      <c r="D581" s="21"/>
      <c r="E581" s="136"/>
      <c r="F581" s="136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</row>
    <row r="582">
      <c r="A582" s="21"/>
      <c r="B582" s="21"/>
      <c r="C582" s="21"/>
      <c r="D582" s="21"/>
      <c r="E582" s="136"/>
      <c r="F582" s="136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</row>
    <row r="583">
      <c r="A583" s="21"/>
      <c r="B583" s="21"/>
      <c r="C583" s="21"/>
      <c r="D583" s="21"/>
      <c r="E583" s="136"/>
      <c r="F583" s="136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</row>
    <row r="584">
      <c r="A584" s="21"/>
      <c r="B584" s="21"/>
      <c r="C584" s="21"/>
      <c r="D584" s="21"/>
      <c r="E584" s="136"/>
      <c r="F584" s="136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</row>
    <row r="585">
      <c r="A585" s="21"/>
      <c r="B585" s="21"/>
      <c r="C585" s="21"/>
      <c r="D585" s="21"/>
      <c r="E585" s="136"/>
      <c r="F585" s="136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</row>
    <row r="586">
      <c r="A586" s="21"/>
      <c r="B586" s="21"/>
      <c r="C586" s="21"/>
      <c r="D586" s="21"/>
      <c r="E586" s="136"/>
      <c r="F586" s="136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</row>
    <row r="587">
      <c r="A587" s="21"/>
      <c r="B587" s="21"/>
      <c r="C587" s="21"/>
      <c r="D587" s="21"/>
      <c r="E587" s="136"/>
      <c r="F587" s="136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</row>
    <row r="588">
      <c r="A588" s="21"/>
      <c r="B588" s="21"/>
      <c r="C588" s="21"/>
      <c r="D588" s="21"/>
      <c r="E588" s="136"/>
      <c r="F588" s="136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</row>
    <row r="589">
      <c r="A589" s="21"/>
      <c r="B589" s="21"/>
      <c r="C589" s="21"/>
      <c r="D589" s="21"/>
      <c r="E589" s="136"/>
      <c r="F589" s="136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</row>
    <row r="590">
      <c r="A590" s="21"/>
      <c r="B590" s="21"/>
      <c r="C590" s="21"/>
      <c r="D590" s="21"/>
      <c r="E590" s="136"/>
      <c r="F590" s="136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</row>
    <row r="591">
      <c r="A591" s="21"/>
      <c r="B591" s="21"/>
      <c r="C591" s="21"/>
      <c r="D591" s="21"/>
      <c r="E591" s="136"/>
      <c r="F591" s="136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</row>
    <row r="592">
      <c r="A592" s="21"/>
      <c r="B592" s="21"/>
      <c r="C592" s="21"/>
      <c r="D592" s="21"/>
      <c r="E592" s="136"/>
      <c r="F592" s="136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</row>
    <row r="593">
      <c r="A593" s="21"/>
      <c r="B593" s="21"/>
      <c r="C593" s="21"/>
      <c r="D593" s="21"/>
      <c r="E593" s="136"/>
      <c r="F593" s="136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</row>
    <row r="594">
      <c r="A594" s="21"/>
      <c r="B594" s="21"/>
      <c r="C594" s="21"/>
      <c r="D594" s="21"/>
      <c r="E594" s="136"/>
      <c r="F594" s="136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</row>
    <row r="595">
      <c r="A595" s="21"/>
      <c r="B595" s="21"/>
      <c r="C595" s="21"/>
      <c r="D595" s="21"/>
      <c r="E595" s="136"/>
      <c r="F595" s="136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</row>
    <row r="596">
      <c r="A596" s="21"/>
      <c r="B596" s="21"/>
      <c r="C596" s="21"/>
      <c r="D596" s="21"/>
      <c r="E596" s="136"/>
      <c r="F596" s="136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</row>
    <row r="597">
      <c r="A597" s="21"/>
      <c r="B597" s="21"/>
      <c r="C597" s="21"/>
      <c r="D597" s="21"/>
      <c r="E597" s="136"/>
      <c r="F597" s="136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</row>
    <row r="598">
      <c r="A598" s="21"/>
      <c r="B598" s="21"/>
      <c r="C598" s="21"/>
      <c r="D598" s="21"/>
      <c r="E598" s="136"/>
      <c r="F598" s="136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</row>
    <row r="599">
      <c r="A599" s="21"/>
      <c r="B599" s="21"/>
      <c r="C599" s="21"/>
      <c r="D599" s="21"/>
      <c r="E599" s="136"/>
      <c r="F599" s="136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</row>
    <row r="600">
      <c r="A600" s="21"/>
      <c r="B600" s="21"/>
      <c r="C600" s="21"/>
      <c r="D600" s="21"/>
      <c r="E600" s="136"/>
      <c r="F600" s="136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</row>
    <row r="601">
      <c r="A601" s="21"/>
      <c r="B601" s="21"/>
      <c r="C601" s="21"/>
      <c r="D601" s="21"/>
      <c r="E601" s="136"/>
      <c r="F601" s="136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</row>
    <row r="602">
      <c r="A602" s="21"/>
      <c r="B602" s="21"/>
      <c r="C602" s="21"/>
      <c r="D602" s="21"/>
      <c r="E602" s="136"/>
      <c r="F602" s="136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</row>
    <row r="603">
      <c r="A603" s="21"/>
      <c r="B603" s="21"/>
      <c r="C603" s="21"/>
      <c r="D603" s="21"/>
      <c r="E603" s="136"/>
      <c r="F603" s="136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</row>
    <row r="604">
      <c r="A604" s="21"/>
      <c r="B604" s="21"/>
      <c r="C604" s="21"/>
      <c r="D604" s="21"/>
      <c r="E604" s="136"/>
      <c r="F604" s="136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</row>
    <row r="605">
      <c r="A605" s="21"/>
      <c r="B605" s="21"/>
      <c r="C605" s="21"/>
      <c r="D605" s="21"/>
      <c r="E605" s="136"/>
      <c r="F605" s="136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</row>
    <row r="606">
      <c r="A606" s="21"/>
      <c r="B606" s="21"/>
      <c r="C606" s="21"/>
      <c r="D606" s="21"/>
      <c r="E606" s="136"/>
      <c r="F606" s="136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</row>
    <row r="607">
      <c r="A607" s="21"/>
      <c r="B607" s="21"/>
      <c r="C607" s="21"/>
      <c r="D607" s="21"/>
      <c r="E607" s="136"/>
      <c r="F607" s="136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</row>
    <row r="608">
      <c r="A608" s="21"/>
      <c r="B608" s="21"/>
      <c r="C608" s="21"/>
      <c r="D608" s="21"/>
      <c r="E608" s="136"/>
      <c r="F608" s="136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</row>
    <row r="609">
      <c r="A609" s="21"/>
      <c r="B609" s="21"/>
      <c r="C609" s="21"/>
      <c r="D609" s="21"/>
      <c r="E609" s="136"/>
      <c r="F609" s="136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</row>
    <row r="610">
      <c r="A610" s="21"/>
      <c r="B610" s="21"/>
      <c r="C610" s="21"/>
      <c r="D610" s="21"/>
      <c r="E610" s="136"/>
      <c r="F610" s="136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</row>
    <row r="611">
      <c r="A611" s="21"/>
      <c r="B611" s="21"/>
      <c r="C611" s="21"/>
      <c r="D611" s="21"/>
      <c r="E611" s="136"/>
      <c r="F611" s="136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</row>
    <row r="612">
      <c r="A612" s="21"/>
      <c r="B612" s="21"/>
      <c r="C612" s="21"/>
      <c r="D612" s="21"/>
      <c r="E612" s="136"/>
      <c r="F612" s="136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</row>
    <row r="613">
      <c r="A613" s="21"/>
      <c r="B613" s="21"/>
      <c r="C613" s="21"/>
      <c r="D613" s="21"/>
      <c r="E613" s="136"/>
      <c r="F613" s="136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</row>
    <row r="614">
      <c r="A614" s="21"/>
      <c r="B614" s="21"/>
      <c r="C614" s="21"/>
      <c r="D614" s="21"/>
      <c r="E614" s="136"/>
      <c r="F614" s="136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</row>
    <row r="615">
      <c r="A615" s="21"/>
      <c r="B615" s="21"/>
      <c r="C615" s="21"/>
      <c r="D615" s="21"/>
      <c r="E615" s="136"/>
      <c r="F615" s="136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</row>
    <row r="616">
      <c r="A616" s="21"/>
      <c r="B616" s="21"/>
      <c r="C616" s="21"/>
      <c r="D616" s="21"/>
      <c r="E616" s="136"/>
      <c r="F616" s="136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</row>
    <row r="617">
      <c r="A617" s="21"/>
      <c r="B617" s="21"/>
      <c r="C617" s="21"/>
      <c r="D617" s="21"/>
      <c r="E617" s="136"/>
      <c r="F617" s="136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</row>
    <row r="618">
      <c r="A618" s="21"/>
      <c r="B618" s="21"/>
      <c r="C618" s="21"/>
      <c r="D618" s="21"/>
      <c r="E618" s="136"/>
      <c r="F618" s="136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</row>
    <row r="619">
      <c r="A619" s="21"/>
      <c r="B619" s="21"/>
      <c r="C619" s="21"/>
      <c r="D619" s="21"/>
      <c r="E619" s="136"/>
      <c r="F619" s="136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</row>
    <row r="620">
      <c r="A620" s="21"/>
      <c r="B620" s="21"/>
      <c r="C620" s="21"/>
      <c r="D620" s="21"/>
      <c r="E620" s="136"/>
      <c r="F620" s="136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</row>
    <row r="621">
      <c r="A621" s="21"/>
      <c r="B621" s="21"/>
      <c r="C621" s="21"/>
      <c r="D621" s="21"/>
      <c r="E621" s="136"/>
      <c r="F621" s="136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</row>
    <row r="622">
      <c r="A622" s="21"/>
      <c r="B622" s="21"/>
      <c r="C622" s="21"/>
      <c r="D622" s="21"/>
      <c r="E622" s="136"/>
      <c r="F622" s="136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</row>
    <row r="623">
      <c r="A623" s="21"/>
      <c r="B623" s="21"/>
      <c r="C623" s="21"/>
      <c r="D623" s="21"/>
      <c r="E623" s="136"/>
      <c r="F623" s="136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</row>
    <row r="624">
      <c r="A624" s="21"/>
      <c r="B624" s="21"/>
      <c r="C624" s="21"/>
      <c r="D624" s="21"/>
      <c r="E624" s="136"/>
      <c r="F624" s="136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</row>
    <row r="625">
      <c r="A625" s="21"/>
      <c r="B625" s="21"/>
      <c r="C625" s="21"/>
      <c r="D625" s="21"/>
      <c r="E625" s="136"/>
      <c r="F625" s="136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</row>
    <row r="626">
      <c r="A626" s="21"/>
      <c r="B626" s="21"/>
      <c r="C626" s="21"/>
      <c r="D626" s="21"/>
      <c r="E626" s="136"/>
      <c r="F626" s="136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</row>
    <row r="627">
      <c r="A627" s="21"/>
      <c r="B627" s="21"/>
      <c r="C627" s="21"/>
      <c r="D627" s="21"/>
      <c r="E627" s="136"/>
      <c r="F627" s="136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</row>
    <row r="628">
      <c r="A628" s="21"/>
      <c r="B628" s="21"/>
      <c r="C628" s="21"/>
      <c r="D628" s="21"/>
      <c r="E628" s="136"/>
      <c r="F628" s="136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</row>
    <row r="629">
      <c r="A629" s="21"/>
      <c r="B629" s="21"/>
      <c r="C629" s="21"/>
      <c r="D629" s="21"/>
      <c r="E629" s="136"/>
      <c r="F629" s="136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</row>
    <row r="630">
      <c r="A630" s="21"/>
      <c r="B630" s="21"/>
      <c r="C630" s="21"/>
      <c r="D630" s="21"/>
      <c r="E630" s="136"/>
      <c r="F630" s="136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</row>
    <row r="631">
      <c r="A631" s="21"/>
      <c r="B631" s="21"/>
      <c r="C631" s="21"/>
      <c r="D631" s="21"/>
      <c r="E631" s="136"/>
      <c r="F631" s="136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</row>
    <row r="632">
      <c r="A632" s="21"/>
      <c r="B632" s="21"/>
      <c r="C632" s="21"/>
      <c r="D632" s="21"/>
      <c r="E632" s="136"/>
      <c r="F632" s="136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</row>
    <row r="633">
      <c r="A633" s="21"/>
      <c r="B633" s="21"/>
      <c r="C633" s="21"/>
      <c r="D633" s="21"/>
      <c r="E633" s="136"/>
      <c r="F633" s="136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</row>
    <row r="634">
      <c r="A634" s="21"/>
      <c r="B634" s="21"/>
      <c r="C634" s="21"/>
      <c r="D634" s="21"/>
      <c r="E634" s="136"/>
      <c r="F634" s="136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</row>
    <row r="635">
      <c r="A635" s="21"/>
      <c r="B635" s="21"/>
      <c r="C635" s="21"/>
      <c r="D635" s="21"/>
      <c r="E635" s="136"/>
      <c r="F635" s="136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</row>
    <row r="636">
      <c r="A636" s="21"/>
      <c r="B636" s="21"/>
      <c r="C636" s="21"/>
      <c r="D636" s="21"/>
      <c r="E636" s="136"/>
      <c r="F636" s="136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</row>
    <row r="637">
      <c r="A637" s="21"/>
      <c r="B637" s="21"/>
      <c r="C637" s="21"/>
      <c r="D637" s="21"/>
      <c r="E637" s="136"/>
      <c r="F637" s="136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</row>
    <row r="638">
      <c r="A638" s="21"/>
      <c r="B638" s="21"/>
      <c r="C638" s="21"/>
      <c r="D638" s="21"/>
      <c r="E638" s="136"/>
      <c r="F638" s="136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</row>
    <row r="639">
      <c r="A639" s="21"/>
      <c r="B639" s="21"/>
      <c r="C639" s="21"/>
      <c r="D639" s="21"/>
      <c r="E639" s="136"/>
      <c r="F639" s="136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</row>
    <row r="640">
      <c r="A640" s="21"/>
      <c r="B640" s="21"/>
      <c r="C640" s="21"/>
      <c r="D640" s="21"/>
      <c r="E640" s="136"/>
      <c r="F640" s="136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</row>
    <row r="641">
      <c r="A641" s="21"/>
      <c r="B641" s="21"/>
      <c r="C641" s="21"/>
      <c r="D641" s="21"/>
      <c r="E641" s="136"/>
      <c r="F641" s="136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</row>
    <row r="642">
      <c r="A642" s="21"/>
      <c r="B642" s="21"/>
      <c r="C642" s="21"/>
      <c r="D642" s="21"/>
      <c r="E642" s="136"/>
      <c r="F642" s="136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</row>
    <row r="643">
      <c r="A643" s="21"/>
      <c r="B643" s="21"/>
      <c r="C643" s="21"/>
      <c r="D643" s="21"/>
      <c r="E643" s="136"/>
      <c r="F643" s="136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</row>
    <row r="644">
      <c r="A644" s="21"/>
      <c r="B644" s="21"/>
      <c r="C644" s="21"/>
      <c r="D644" s="21"/>
      <c r="E644" s="136"/>
      <c r="F644" s="136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</row>
    <row r="645">
      <c r="A645" s="21"/>
      <c r="B645" s="21"/>
      <c r="C645" s="21"/>
      <c r="D645" s="21"/>
      <c r="E645" s="136"/>
      <c r="F645" s="136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</row>
    <row r="646">
      <c r="A646" s="21"/>
      <c r="B646" s="21"/>
      <c r="C646" s="21"/>
      <c r="D646" s="21"/>
      <c r="E646" s="136"/>
      <c r="F646" s="136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</row>
    <row r="647">
      <c r="A647" s="21"/>
      <c r="B647" s="21"/>
      <c r="C647" s="21"/>
      <c r="D647" s="21"/>
      <c r="E647" s="136"/>
      <c r="F647" s="136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</row>
    <row r="648">
      <c r="A648" s="21"/>
      <c r="B648" s="21"/>
      <c r="C648" s="21"/>
      <c r="D648" s="21"/>
      <c r="E648" s="136"/>
      <c r="F648" s="136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</row>
    <row r="649">
      <c r="A649" s="21"/>
      <c r="B649" s="21"/>
      <c r="C649" s="21"/>
      <c r="D649" s="21"/>
      <c r="E649" s="136"/>
      <c r="F649" s="136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</row>
    <row r="650">
      <c r="A650" s="21"/>
      <c r="B650" s="21"/>
      <c r="C650" s="21"/>
      <c r="D650" s="21"/>
      <c r="E650" s="136"/>
      <c r="F650" s="136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</row>
    <row r="651">
      <c r="A651" s="21"/>
      <c r="B651" s="21"/>
      <c r="C651" s="21"/>
      <c r="D651" s="21"/>
      <c r="E651" s="136"/>
      <c r="F651" s="136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</row>
    <row r="652">
      <c r="A652" s="21"/>
      <c r="B652" s="21"/>
      <c r="C652" s="21"/>
      <c r="D652" s="21"/>
      <c r="E652" s="136"/>
      <c r="F652" s="136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</row>
    <row r="653">
      <c r="A653" s="21"/>
      <c r="B653" s="21"/>
      <c r="C653" s="21"/>
      <c r="D653" s="21"/>
      <c r="E653" s="136"/>
      <c r="F653" s="136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</row>
    <row r="654">
      <c r="A654" s="21"/>
      <c r="B654" s="21"/>
      <c r="C654" s="21"/>
      <c r="D654" s="21"/>
      <c r="E654" s="136"/>
      <c r="F654" s="136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</row>
    <row r="655">
      <c r="A655" s="21"/>
      <c r="B655" s="21"/>
      <c r="C655" s="21"/>
      <c r="D655" s="21"/>
      <c r="E655" s="136"/>
      <c r="F655" s="136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</row>
    <row r="656">
      <c r="A656" s="21"/>
      <c r="B656" s="21"/>
      <c r="C656" s="21"/>
      <c r="D656" s="21"/>
      <c r="E656" s="136"/>
      <c r="F656" s="136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</row>
    <row r="657">
      <c r="A657" s="21"/>
      <c r="B657" s="21"/>
      <c r="C657" s="21"/>
      <c r="D657" s="21"/>
      <c r="E657" s="136"/>
      <c r="F657" s="136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</row>
    <row r="658">
      <c r="A658" s="21"/>
      <c r="B658" s="21"/>
      <c r="C658" s="21"/>
      <c r="D658" s="21"/>
      <c r="E658" s="136"/>
      <c r="F658" s="136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</row>
    <row r="659">
      <c r="A659" s="21"/>
      <c r="B659" s="21"/>
      <c r="C659" s="21"/>
      <c r="D659" s="21"/>
      <c r="E659" s="136"/>
      <c r="F659" s="136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</row>
    <row r="660">
      <c r="A660" s="21"/>
      <c r="B660" s="21"/>
      <c r="C660" s="21"/>
      <c r="D660" s="21"/>
      <c r="E660" s="136"/>
      <c r="F660" s="136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</row>
    <row r="661">
      <c r="A661" s="21"/>
      <c r="B661" s="21"/>
      <c r="C661" s="21"/>
      <c r="D661" s="21"/>
      <c r="E661" s="136"/>
      <c r="F661" s="136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</row>
    <row r="662">
      <c r="A662" s="21"/>
      <c r="B662" s="21"/>
      <c r="C662" s="21"/>
      <c r="D662" s="21"/>
      <c r="E662" s="136"/>
      <c r="F662" s="136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</row>
    <row r="663">
      <c r="A663" s="21"/>
      <c r="B663" s="21"/>
      <c r="C663" s="21"/>
      <c r="D663" s="21"/>
      <c r="E663" s="136"/>
      <c r="F663" s="136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</row>
    <row r="664">
      <c r="A664" s="21"/>
      <c r="B664" s="21"/>
      <c r="C664" s="21"/>
      <c r="D664" s="21"/>
      <c r="E664" s="136"/>
      <c r="F664" s="136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</row>
    <row r="665">
      <c r="A665" s="21"/>
      <c r="B665" s="21"/>
      <c r="C665" s="21"/>
      <c r="D665" s="21"/>
      <c r="E665" s="136"/>
      <c r="F665" s="136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</row>
    <row r="666">
      <c r="A666" s="21"/>
      <c r="B666" s="21"/>
      <c r="C666" s="21"/>
      <c r="D666" s="21"/>
      <c r="E666" s="136"/>
      <c r="F666" s="136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</row>
    <row r="667">
      <c r="A667" s="21"/>
      <c r="B667" s="21"/>
      <c r="C667" s="21"/>
      <c r="D667" s="21"/>
      <c r="E667" s="136"/>
      <c r="F667" s="136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</row>
    <row r="668">
      <c r="A668" s="21"/>
      <c r="B668" s="21"/>
      <c r="C668" s="21"/>
      <c r="D668" s="21"/>
      <c r="E668" s="136"/>
      <c r="F668" s="136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</row>
    <row r="669">
      <c r="A669" s="21"/>
      <c r="B669" s="21"/>
      <c r="C669" s="21"/>
      <c r="D669" s="21"/>
      <c r="E669" s="136"/>
      <c r="F669" s="136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</row>
    <row r="670">
      <c r="A670" s="21"/>
      <c r="B670" s="21"/>
      <c r="C670" s="21"/>
      <c r="D670" s="21"/>
      <c r="E670" s="136"/>
      <c r="F670" s="136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</row>
    <row r="671">
      <c r="A671" s="21"/>
      <c r="B671" s="21"/>
      <c r="C671" s="21"/>
      <c r="D671" s="21"/>
      <c r="E671" s="136"/>
      <c r="F671" s="136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</row>
    <row r="672">
      <c r="A672" s="21"/>
      <c r="B672" s="21"/>
      <c r="C672" s="21"/>
      <c r="D672" s="21"/>
      <c r="E672" s="136"/>
      <c r="F672" s="136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</row>
    <row r="673">
      <c r="A673" s="21"/>
      <c r="B673" s="21"/>
      <c r="C673" s="21"/>
      <c r="D673" s="21"/>
      <c r="E673" s="136"/>
      <c r="F673" s="136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</row>
    <row r="674">
      <c r="A674" s="21"/>
      <c r="B674" s="21"/>
      <c r="C674" s="21"/>
      <c r="D674" s="21"/>
      <c r="E674" s="136"/>
      <c r="F674" s="136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</row>
    <row r="675">
      <c r="A675" s="21"/>
      <c r="B675" s="21"/>
      <c r="C675" s="21"/>
      <c r="D675" s="21"/>
      <c r="E675" s="136"/>
      <c r="F675" s="136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</row>
    <row r="676">
      <c r="A676" s="21"/>
      <c r="B676" s="21"/>
      <c r="C676" s="21"/>
      <c r="D676" s="21"/>
      <c r="E676" s="136"/>
      <c r="F676" s="136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</row>
    <row r="677">
      <c r="A677" s="21"/>
      <c r="B677" s="21"/>
      <c r="C677" s="21"/>
      <c r="D677" s="21"/>
      <c r="E677" s="136"/>
      <c r="F677" s="136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</row>
    <row r="678">
      <c r="A678" s="21"/>
      <c r="B678" s="21"/>
      <c r="C678" s="21"/>
      <c r="D678" s="21"/>
      <c r="E678" s="136"/>
      <c r="F678" s="136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</row>
    <row r="679">
      <c r="A679" s="21"/>
      <c r="B679" s="21"/>
      <c r="C679" s="21"/>
      <c r="D679" s="21"/>
      <c r="E679" s="136"/>
      <c r="F679" s="136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</row>
    <row r="680">
      <c r="A680" s="21"/>
      <c r="B680" s="21"/>
      <c r="C680" s="21"/>
      <c r="D680" s="21"/>
      <c r="E680" s="136"/>
      <c r="F680" s="136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</row>
    <row r="681">
      <c r="A681" s="21"/>
      <c r="B681" s="21"/>
      <c r="C681" s="21"/>
      <c r="D681" s="21"/>
      <c r="E681" s="136"/>
      <c r="F681" s="136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</row>
    <row r="682">
      <c r="A682" s="21"/>
      <c r="B682" s="21"/>
      <c r="C682" s="21"/>
      <c r="D682" s="21"/>
      <c r="E682" s="136"/>
      <c r="F682" s="136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</row>
    <row r="683">
      <c r="A683" s="21"/>
      <c r="B683" s="21"/>
      <c r="C683" s="21"/>
      <c r="D683" s="21"/>
      <c r="E683" s="136"/>
      <c r="F683" s="136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</row>
    <row r="684">
      <c r="A684" s="21"/>
      <c r="B684" s="21"/>
      <c r="C684" s="21"/>
      <c r="D684" s="21"/>
      <c r="E684" s="136"/>
      <c r="F684" s="136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</row>
    <row r="685">
      <c r="A685" s="21"/>
      <c r="B685" s="21"/>
      <c r="C685" s="21"/>
      <c r="D685" s="21"/>
      <c r="E685" s="136"/>
      <c r="F685" s="136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</row>
    <row r="686">
      <c r="A686" s="21"/>
      <c r="B686" s="21"/>
      <c r="C686" s="21"/>
      <c r="D686" s="21"/>
      <c r="E686" s="136"/>
      <c r="F686" s="136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</row>
    <row r="687">
      <c r="A687" s="21"/>
      <c r="B687" s="21"/>
      <c r="C687" s="21"/>
      <c r="D687" s="21"/>
      <c r="E687" s="136"/>
      <c r="F687" s="136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</row>
    <row r="688">
      <c r="A688" s="21"/>
      <c r="B688" s="21"/>
      <c r="C688" s="21"/>
      <c r="D688" s="21"/>
      <c r="E688" s="136"/>
      <c r="F688" s="136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</row>
    <row r="689">
      <c r="A689" s="21"/>
      <c r="B689" s="21"/>
      <c r="C689" s="21"/>
      <c r="D689" s="21"/>
      <c r="E689" s="136"/>
      <c r="F689" s="136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</row>
    <row r="690">
      <c r="A690" s="21"/>
      <c r="B690" s="21"/>
      <c r="C690" s="21"/>
      <c r="D690" s="21"/>
      <c r="E690" s="136"/>
      <c r="F690" s="136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</row>
    <row r="691">
      <c r="A691" s="21"/>
      <c r="B691" s="21"/>
      <c r="C691" s="21"/>
      <c r="D691" s="21"/>
      <c r="E691" s="136"/>
      <c r="F691" s="136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</row>
    <row r="692">
      <c r="A692" s="21"/>
      <c r="B692" s="21"/>
      <c r="C692" s="21"/>
      <c r="D692" s="21"/>
      <c r="E692" s="136"/>
      <c r="F692" s="136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</row>
    <row r="693">
      <c r="A693" s="21"/>
      <c r="B693" s="21"/>
      <c r="C693" s="21"/>
      <c r="D693" s="21"/>
      <c r="E693" s="136"/>
      <c r="F693" s="136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</row>
    <row r="694">
      <c r="A694" s="21"/>
      <c r="B694" s="21"/>
      <c r="C694" s="21"/>
      <c r="D694" s="21"/>
      <c r="E694" s="136"/>
      <c r="F694" s="136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</row>
    <row r="695">
      <c r="A695" s="21"/>
      <c r="B695" s="21"/>
      <c r="C695" s="21"/>
      <c r="D695" s="21"/>
      <c r="E695" s="136"/>
      <c r="F695" s="136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</row>
    <row r="696">
      <c r="A696" s="21"/>
      <c r="B696" s="21"/>
      <c r="C696" s="21"/>
      <c r="D696" s="21"/>
      <c r="E696" s="136"/>
      <c r="F696" s="136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</row>
    <row r="697">
      <c r="A697" s="21"/>
      <c r="B697" s="21"/>
      <c r="C697" s="21"/>
      <c r="D697" s="21"/>
      <c r="E697" s="136"/>
      <c r="F697" s="136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</row>
    <row r="698">
      <c r="A698" s="21"/>
      <c r="B698" s="21"/>
      <c r="C698" s="21"/>
      <c r="D698" s="21"/>
      <c r="E698" s="136"/>
      <c r="F698" s="136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</row>
    <row r="699">
      <c r="A699" s="21"/>
      <c r="B699" s="21"/>
      <c r="C699" s="21"/>
      <c r="D699" s="21"/>
      <c r="E699" s="136"/>
      <c r="F699" s="136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</row>
    <row r="700">
      <c r="A700" s="21"/>
      <c r="B700" s="21"/>
      <c r="C700" s="21"/>
      <c r="D700" s="21"/>
      <c r="E700" s="136"/>
      <c r="F700" s="136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</row>
    <row r="701">
      <c r="A701" s="21"/>
      <c r="B701" s="21"/>
      <c r="C701" s="21"/>
      <c r="D701" s="21"/>
      <c r="E701" s="136"/>
      <c r="F701" s="136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</row>
    <row r="702">
      <c r="A702" s="21"/>
      <c r="B702" s="21"/>
      <c r="C702" s="21"/>
      <c r="D702" s="21"/>
      <c r="E702" s="136"/>
      <c r="F702" s="136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</row>
    <row r="703">
      <c r="A703" s="21"/>
      <c r="B703" s="21"/>
      <c r="C703" s="21"/>
      <c r="D703" s="21"/>
      <c r="E703" s="136"/>
      <c r="F703" s="136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</row>
    <row r="704">
      <c r="A704" s="21"/>
      <c r="B704" s="21"/>
      <c r="C704" s="21"/>
      <c r="D704" s="21"/>
      <c r="E704" s="136"/>
      <c r="F704" s="136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</row>
    <row r="705">
      <c r="A705" s="21"/>
      <c r="B705" s="21"/>
      <c r="C705" s="21"/>
      <c r="D705" s="21"/>
      <c r="E705" s="136"/>
      <c r="F705" s="136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</row>
    <row r="706">
      <c r="A706" s="21"/>
      <c r="B706" s="21"/>
      <c r="C706" s="21"/>
      <c r="D706" s="21"/>
      <c r="E706" s="136"/>
      <c r="F706" s="136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</row>
    <row r="707">
      <c r="A707" s="21"/>
      <c r="B707" s="21"/>
      <c r="C707" s="21"/>
      <c r="D707" s="21"/>
      <c r="E707" s="136"/>
      <c r="F707" s="136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</row>
    <row r="708">
      <c r="A708" s="21"/>
      <c r="B708" s="21"/>
      <c r="C708" s="21"/>
      <c r="D708" s="21"/>
      <c r="E708" s="136"/>
      <c r="F708" s="136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</row>
    <row r="709">
      <c r="A709" s="21"/>
      <c r="B709" s="21"/>
      <c r="C709" s="21"/>
      <c r="D709" s="21"/>
      <c r="E709" s="136"/>
      <c r="F709" s="136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</row>
    <row r="710">
      <c r="A710" s="21"/>
      <c r="B710" s="21"/>
      <c r="C710" s="21"/>
      <c r="D710" s="21"/>
      <c r="E710" s="136"/>
      <c r="F710" s="136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</row>
    <row r="711">
      <c r="A711" s="21"/>
      <c r="B711" s="21"/>
      <c r="C711" s="21"/>
      <c r="D711" s="21"/>
      <c r="E711" s="136"/>
      <c r="F711" s="136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</row>
    <row r="712">
      <c r="A712" s="21"/>
      <c r="B712" s="21"/>
      <c r="C712" s="21"/>
      <c r="D712" s="21"/>
      <c r="E712" s="136"/>
      <c r="F712" s="136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</row>
    <row r="713">
      <c r="A713" s="21"/>
      <c r="B713" s="21"/>
      <c r="C713" s="21"/>
      <c r="D713" s="21"/>
      <c r="E713" s="136"/>
      <c r="F713" s="136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</row>
    <row r="714">
      <c r="A714" s="21"/>
      <c r="B714" s="21"/>
      <c r="C714" s="21"/>
      <c r="D714" s="21"/>
      <c r="E714" s="136"/>
      <c r="F714" s="136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</row>
    <row r="715">
      <c r="A715" s="21"/>
      <c r="B715" s="21"/>
      <c r="C715" s="21"/>
      <c r="D715" s="21"/>
      <c r="E715" s="136"/>
      <c r="F715" s="136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</row>
    <row r="716">
      <c r="A716" s="21"/>
      <c r="B716" s="21"/>
      <c r="C716" s="21"/>
      <c r="D716" s="21"/>
      <c r="E716" s="136"/>
      <c r="F716" s="136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</row>
    <row r="717">
      <c r="A717" s="21"/>
      <c r="B717" s="21"/>
      <c r="C717" s="21"/>
      <c r="D717" s="21"/>
      <c r="E717" s="136"/>
      <c r="F717" s="136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</row>
    <row r="718">
      <c r="A718" s="21"/>
      <c r="B718" s="21"/>
      <c r="C718" s="21"/>
      <c r="D718" s="21"/>
      <c r="E718" s="136"/>
      <c r="F718" s="136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</row>
    <row r="719">
      <c r="A719" s="21"/>
      <c r="B719" s="21"/>
      <c r="C719" s="21"/>
      <c r="D719" s="21"/>
      <c r="E719" s="136"/>
      <c r="F719" s="136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</row>
    <row r="720">
      <c r="A720" s="21"/>
      <c r="B720" s="21"/>
      <c r="C720" s="21"/>
      <c r="D720" s="21"/>
      <c r="E720" s="136"/>
      <c r="F720" s="136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</row>
    <row r="721">
      <c r="A721" s="21"/>
      <c r="B721" s="21"/>
      <c r="C721" s="21"/>
      <c r="D721" s="21"/>
      <c r="E721" s="136"/>
      <c r="F721" s="136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</row>
    <row r="722">
      <c r="A722" s="21"/>
      <c r="B722" s="21"/>
      <c r="C722" s="21"/>
      <c r="D722" s="21"/>
      <c r="E722" s="136"/>
      <c r="F722" s="136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</row>
    <row r="723">
      <c r="A723" s="21"/>
      <c r="B723" s="21"/>
      <c r="C723" s="21"/>
      <c r="D723" s="21"/>
      <c r="E723" s="136"/>
      <c r="F723" s="136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</row>
    <row r="724">
      <c r="A724" s="21"/>
      <c r="B724" s="21"/>
      <c r="C724" s="21"/>
      <c r="D724" s="21"/>
      <c r="E724" s="136"/>
      <c r="F724" s="136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</row>
    <row r="725">
      <c r="A725" s="21"/>
      <c r="B725" s="21"/>
      <c r="C725" s="21"/>
      <c r="D725" s="21"/>
      <c r="E725" s="136"/>
      <c r="F725" s="136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</row>
    <row r="726">
      <c r="A726" s="21"/>
      <c r="B726" s="21"/>
      <c r="C726" s="21"/>
      <c r="D726" s="21"/>
      <c r="E726" s="136"/>
      <c r="F726" s="136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</row>
    <row r="727">
      <c r="A727" s="21"/>
      <c r="B727" s="21"/>
      <c r="C727" s="21"/>
      <c r="D727" s="21"/>
      <c r="E727" s="136"/>
      <c r="F727" s="136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</row>
    <row r="728">
      <c r="A728" s="21"/>
      <c r="B728" s="21"/>
      <c r="C728" s="21"/>
      <c r="D728" s="21"/>
      <c r="E728" s="136"/>
      <c r="F728" s="136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</row>
    <row r="729">
      <c r="A729" s="21"/>
      <c r="B729" s="21"/>
      <c r="C729" s="21"/>
      <c r="D729" s="21"/>
      <c r="E729" s="136"/>
      <c r="F729" s="136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</row>
    <row r="730">
      <c r="A730" s="21"/>
      <c r="B730" s="21"/>
      <c r="C730" s="21"/>
      <c r="D730" s="21"/>
      <c r="E730" s="136"/>
      <c r="F730" s="136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</row>
    <row r="731">
      <c r="A731" s="21"/>
      <c r="B731" s="21"/>
      <c r="C731" s="21"/>
      <c r="D731" s="21"/>
      <c r="E731" s="136"/>
      <c r="F731" s="136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</row>
    <row r="732">
      <c r="A732" s="21"/>
      <c r="B732" s="21"/>
      <c r="C732" s="21"/>
      <c r="D732" s="21"/>
      <c r="E732" s="136"/>
      <c r="F732" s="136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</row>
    <row r="733">
      <c r="A733" s="21"/>
      <c r="B733" s="21"/>
      <c r="C733" s="21"/>
      <c r="D733" s="21"/>
      <c r="E733" s="136"/>
      <c r="F733" s="136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</row>
    <row r="734">
      <c r="A734" s="21"/>
      <c r="B734" s="21"/>
      <c r="C734" s="21"/>
      <c r="D734" s="21"/>
      <c r="E734" s="136"/>
      <c r="F734" s="136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</row>
    <row r="735">
      <c r="A735" s="21"/>
      <c r="B735" s="21"/>
      <c r="C735" s="21"/>
      <c r="D735" s="21"/>
      <c r="E735" s="136"/>
      <c r="F735" s="136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</row>
    <row r="736">
      <c r="A736" s="21"/>
      <c r="B736" s="21"/>
      <c r="C736" s="21"/>
      <c r="D736" s="21"/>
      <c r="E736" s="136"/>
      <c r="F736" s="136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</row>
    <row r="737">
      <c r="A737" s="21"/>
      <c r="B737" s="21"/>
      <c r="C737" s="21"/>
      <c r="D737" s="21"/>
      <c r="E737" s="136"/>
      <c r="F737" s="136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</row>
    <row r="738">
      <c r="A738" s="21"/>
      <c r="B738" s="21"/>
      <c r="C738" s="21"/>
      <c r="D738" s="21"/>
      <c r="E738" s="136"/>
      <c r="F738" s="136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</row>
    <row r="739">
      <c r="A739" s="21"/>
      <c r="B739" s="21"/>
      <c r="C739" s="21"/>
      <c r="D739" s="21"/>
      <c r="E739" s="136"/>
      <c r="F739" s="136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</row>
    <row r="740">
      <c r="A740" s="21"/>
      <c r="B740" s="21"/>
      <c r="C740" s="21"/>
      <c r="D740" s="21"/>
      <c r="E740" s="136"/>
      <c r="F740" s="136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</row>
    <row r="741">
      <c r="A741" s="21"/>
      <c r="B741" s="21"/>
      <c r="C741" s="21"/>
      <c r="D741" s="21"/>
      <c r="E741" s="136"/>
      <c r="F741" s="136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</row>
    <row r="742">
      <c r="A742" s="21"/>
      <c r="B742" s="21"/>
      <c r="C742" s="21"/>
      <c r="D742" s="21"/>
      <c r="E742" s="136"/>
      <c r="F742" s="136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</row>
    <row r="743">
      <c r="A743" s="21"/>
      <c r="B743" s="21"/>
      <c r="C743" s="21"/>
      <c r="D743" s="21"/>
      <c r="E743" s="136"/>
      <c r="F743" s="136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</row>
    <row r="744">
      <c r="A744" s="21"/>
      <c r="B744" s="21"/>
      <c r="C744" s="21"/>
      <c r="D744" s="21"/>
      <c r="E744" s="136"/>
      <c r="F744" s="136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</row>
    <row r="745">
      <c r="A745" s="21"/>
      <c r="B745" s="21"/>
      <c r="C745" s="21"/>
      <c r="D745" s="21"/>
      <c r="E745" s="136"/>
      <c r="F745" s="136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</row>
    <row r="746">
      <c r="A746" s="21"/>
      <c r="B746" s="21"/>
      <c r="C746" s="21"/>
      <c r="D746" s="21"/>
      <c r="E746" s="136"/>
      <c r="F746" s="136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</row>
    <row r="747">
      <c r="A747" s="21"/>
      <c r="B747" s="21"/>
      <c r="C747" s="21"/>
      <c r="D747" s="21"/>
      <c r="E747" s="136"/>
      <c r="F747" s="136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</row>
    <row r="748">
      <c r="A748" s="21"/>
      <c r="B748" s="21"/>
      <c r="C748" s="21"/>
      <c r="D748" s="21"/>
      <c r="E748" s="136"/>
      <c r="F748" s="136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</row>
    <row r="749">
      <c r="A749" s="21"/>
      <c r="B749" s="21"/>
      <c r="C749" s="21"/>
      <c r="D749" s="21"/>
      <c r="E749" s="136"/>
      <c r="F749" s="136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</row>
    <row r="750">
      <c r="A750" s="21"/>
      <c r="B750" s="21"/>
      <c r="C750" s="21"/>
      <c r="D750" s="21"/>
      <c r="E750" s="136"/>
      <c r="F750" s="136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</row>
    <row r="751">
      <c r="A751" s="21"/>
      <c r="B751" s="21"/>
      <c r="C751" s="21"/>
      <c r="D751" s="21"/>
      <c r="E751" s="136"/>
      <c r="F751" s="136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</row>
    <row r="752">
      <c r="A752" s="21"/>
      <c r="B752" s="21"/>
      <c r="C752" s="21"/>
      <c r="D752" s="21"/>
      <c r="E752" s="136"/>
      <c r="F752" s="136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</row>
    <row r="753">
      <c r="A753" s="21"/>
      <c r="B753" s="21"/>
      <c r="C753" s="21"/>
      <c r="D753" s="21"/>
      <c r="E753" s="136"/>
      <c r="F753" s="136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</row>
    <row r="754">
      <c r="A754" s="21"/>
      <c r="B754" s="21"/>
      <c r="C754" s="21"/>
      <c r="D754" s="21"/>
      <c r="E754" s="136"/>
      <c r="F754" s="136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</row>
    <row r="755">
      <c r="A755" s="21"/>
      <c r="B755" s="21"/>
      <c r="C755" s="21"/>
      <c r="D755" s="21"/>
      <c r="E755" s="136"/>
      <c r="F755" s="136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</row>
    <row r="756">
      <c r="A756" s="21"/>
      <c r="B756" s="21"/>
      <c r="C756" s="21"/>
      <c r="D756" s="21"/>
      <c r="E756" s="136"/>
      <c r="F756" s="136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</row>
    <row r="757">
      <c r="A757" s="21"/>
      <c r="B757" s="21"/>
      <c r="C757" s="21"/>
      <c r="D757" s="21"/>
      <c r="E757" s="136"/>
      <c r="F757" s="136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</row>
    <row r="758">
      <c r="A758" s="21"/>
      <c r="B758" s="21"/>
      <c r="C758" s="21"/>
      <c r="D758" s="21"/>
      <c r="E758" s="136"/>
      <c r="F758" s="136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</row>
    <row r="759">
      <c r="A759" s="21"/>
      <c r="B759" s="21"/>
      <c r="C759" s="21"/>
      <c r="D759" s="21"/>
      <c r="E759" s="136"/>
      <c r="F759" s="136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</row>
    <row r="760">
      <c r="A760" s="21"/>
      <c r="B760" s="21"/>
      <c r="C760" s="21"/>
      <c r="D760" s="21"/>
      <c r="E760" s="136"/>
      <c r="F760" s="136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</row>
    <row r="761">
      <c r="A761" s="21"/>
      <c r="B761" s="21"/>
      <c r="C761" s="21"/>
      <c r="D761" s="21"/>
      <c r="E761" s="136"/>
      <c r="F761" s="136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</row>
    <row r="762">
      <c r="A762" s="21"/>
      <c r="B762" s="21"/>
      <c r="C762" s="21"/>
      <c r="D762" s="21"/>
      <c r="E762" s="136"/>
      <c r="F762" s="136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</row>
    <row r="763">
      <c r="A763" s="21"/>
      <c r="B763" s="21"/>
      <c r="C763" s="21"/>
      <c r="D763" s="21"/>
      <c r="E763" s="136"/>
      <c r="F763" s="136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</row>
    <row r="764">
      <c r="A764" s="21"/>
      <c r="B764" s="21"/>
      <c r="C764" s="21"/>
      <c r="D764" s="21"/>
      <c r="E764" s="136"/>
      <c r="F764" s="136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</row>
    <row r="765">
      <c r="A765" s="21"/>
      <c r="B765" s="21"/>
      <c r="C765" s="21"/>
      <c r="D765" s="21"/>
      <c r="E765" s="136"/>
      <c r="F765" s="136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</row>
    <row r="766">
      <c r="A766" s="21"/>
      <c r="B766" s="21"/>
      <c r="C766" s="21"/>
      <c r="D766" s="21"/>
      <c r="E766" s="136"/>
      <c r="F766" s="136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</row>
    <row r="767">
      <c r="A767" s="21"/>
      <c r="B767" s="21"/>
      <c r="C767" s="21"/>
      <c r="D767" s="21"/>
      <c r="E767" s="136"/>
      <c r="F767" s="136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</row>
    <row r="768">
      <c r="A768" s="21"/>
      <c r="B768" s="21"/>
      <c r="C768" s="21"/>
      <c r="D768" s="21"/>
      <c r="E768" s="136"/>
      <c r="F768" s="136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</row>
    <row r="769">
      <c r="A769" s="21"/>
      <c r="B769" s="21"/>
      <c r="C769" s="21"/>
      <c r="D769" s="21"/>
      <c r="E769" s="136"/>
      <c r="F769" s="136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</row>
    <row r="770">
      <c r="A770" s="21"/>
      <c r="B770" s="21"/>
      <c r="C770" s="21"/>
      <c r="D770" s="21"/>
      <c r="E770" s="136"/>
      <c r="F770" s="136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</row>
    <row r="771">
      <c r="A771" s="21"/>
      <c r="B771" s="21"/>
      <c r="C771" s="21"/>
      <c r="D771" s="21"/>
      <c r="E771" s="136"/>
      <c r="F771" s="136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</row>
    <row r="772">
      <c r="A772" s="21"/>
      <c r="B772" s="21"/>
      <c r="C772" s="21"/>
      <c r="D772" s="21"/>
      <c r="E772" s="136"/>
      <c r="F772" s="136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</row>
    <row r="773">
      <c r="A773" s="21"/>
      <c r="B773" s="21"/>
      <c r="C773" s="21"/>
      <c r="D773" s="21"/>
      <c r="E773" s="136"/>
      <c r="F773" s="136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</row>
    <row r="774">
      <c r="A774" s="21"/>
      <c r="B774" s="21"/>
      <c r="C774" s="21"/>
      <c r="D774" s="21"/>
      <c r="E774" s="136"/>
      <c r="F774" s="136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</row>
    <row r="775">
      <c r="A775" s="21"/>
      <c r="B775" s="21"/>
      <c r="C775" s="21"/>
      <c r="D775" s="21"/>
      <c r="E775" s="136"/>
      <c r="F775" s="136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</row>
    <row r="776">
      <c r="A776" s="21"/>
      <c r="B776" s="21"/>
      <c r="C776" s="21"/>
      <c r="D776" s="21"/>
      <c r="E776" s="136"/>
      <c r="F776" s="136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</row>
    <row r="777">
      <c r="A777" s="21"/>
      <c r="B777" s="21"/>
      <c r="C777" s="21"/>
      <c r="D777" s="21"/>
      <c r="E777" s="136"/>
      <c r="F777" s="136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</row>
    <row r="778">
      <c r="A778" s="21"/>
      <c r="B778" s="21"/>
      <c r="C778" s="21"/>
      <c r="D778" s="21"/>
      <c r="E778" s="136"/>
      <c r="F778" s="136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</row>
    <row r="779">
      <c r="A779" s="21"/>
      <c r="B779" s="21"/>
      <c r="C779" s="21"/>
      <c r="D779" s="21"/>
      <c r="E779" s="136"/>
      <c r="F779" s="136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</row>
    <row r="780">
      <c r="A780" s="21"/>
      <c r="B780" s="21"/>
      <c r="C780" s="21"/>
      <c r="D780" s="21"/>
      <c r="E780" s="136"/>
      <c r="F780" s="136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</row>
    <row r="781">
      <c r="A781" s="21"/>
      <c r="B781" s="21"/>
      <c r="C781" s="21"/>
      <c r="D781" s="21"/>
      <c r="E781" s="136"/>
      <c r="F781" s="136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</row>
    <row r="782">
      <c r="A782" s="21"/>
      <c r="B782" s="21"/>
      <c r="C782" s="21"/>
      <c r="D782" s="21"/>
      <c r="E782" s="136"/>
      <c r="F782" s="136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</row>
    <row r="783">
      <c r="A783" s="21"/>
      <c r="B783" s="21"/>
      <c r="C783" s="21"/>
      <c r="D783" s="21"/>
      <c r="E783" s="136"/>
      <c r="F783" s="136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</row>
    <row r="784">
      <c r="A784" s="21"/>
      <c r="B784" s="21"/>
      <c r="C784" s="21"/>
      <c r="D784" s="21"/>
      <c r="E784" s="136"/>
      <c r="F784" s="136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</row>
    <row r="785">
      <c r="A785" s="21"/>
      <c r="B785" s="21"/>
      <c r="C785" s="21"/>
      <c r="D785" s="21"/>
      <c r="E785" s="136"/>
      <c r="F785" s="136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</row>
    <row r="786">
      <c r="A786" s="21"/>
      <c r="B786" s="21"/>
      <c r="C786" s="21"/>
      <c r="D786" s="21"/>
      <c r="E786" s="136"/>
      <c r="F786" s="136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</row>
    <row r="787">
      <c r="A787" s="21"/>
      <c r="B787" s="21"/>
      <c r="C787" s="21"/>
      <c r="D787" s="21"/>
      <c r="E787" s="136"/>
      <c r="F787" s="136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</row>
    <row r="788">
      <c r="A788" s="21"/>
      <c r="B788" s="21"/>
      <c r="C788" s="21"/>
      <c r="D788" s="21"/>
      <c r="E788" s="136"/>
      <c r="F788" s="136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</row>
    <row r="789">
      <c r="A789" s="21"/>
      <c r="B789" s="21"/>
      <c r="C789" s="21"/>
      <c r="D789" s="21"/>
      <c r="E789" s="136"/>
      <c r="F789" s="136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</row>
    <row r="790">
      <c r="A790" s="21"/>
      <c r="B790" s="21"/>
      <c r="C790" s="21"/>
      <c r="D790" s="21"/>
      <c r="E790" s="136"/>
      <c r="F790" s="136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</row>
    <row r="791">
      <c r="A791" s="21"/>
      <c r="B791" s="21"/>
      <c r="C791" s="21"/>
      <c r="D791" s="21"/>
      <c r="E791" s="136"/>
      <c r="F791" s="136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</row>
    <row r="792">
      <c r="A792" s="21"/>
      <c r="B792" s="21"/>
      <c r="C792" s="21"/>
      <c r="D792" s="21"/>
      <c r="E792" s="136"/>
      <c r="F792" s="136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</row>
    <row r="793">
      <c r="A793" s="21"/>
      <c r="B793" s="21"/>
      <c r="C793" s="21"/>
      <c r="D793" s="21"/>
      <c r="E793" s="136"/>
      <c r="F793" s="136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</row>
    <row r="794">
      <c r="A794" s="21"/>
      <c r="B794" s="21"/>
      <c r="C794" s="21"/>
      <c r="D794" s="21"/>
      <c r="E794" s="136"/>
      <c r="F794" s="136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</row>
    <row r="795">
      <c r="A795" s="21"/>
      <c r="B795" s="21"/>
      <c r="C795" s="21"/>
      <c r="D795" s="21"/>
      <c r="E795" s="136"/>
      <c r="F795" s="136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</row>
    <row r="796">
      <c r="A796" s="21"/>
      <c r="B796" s="21"/>
      <c r="C796" s="21"/>
      <c r="D796" s="21"/>
      <c r="E796" s="136"/>
      <c r="F796" s="136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</row>
    <row r="797">
      <c r="A797" s="21"/>
      <c r="B797" s="21"/>
      <c r="C797" s="21"/>
      <c r="D797" s="21"/>
      <c r="E797" s="136"/>
      <c r="F797" s="136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</row>
    <row r="798">
      <c r="A798" s="21"/>
      <c r="B798" s="21"/>
      <c r="C798" s="21"/>
      <c r="D798" s="21"/>
      <c r="E798" s="136"/>
      <c r="F798" s="136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</row>
    <row r="799">
      <c r="A799" s="21"/>
      <c r="B799" s="21"/>
      <c r="C799" s="21"/>
      <c r="D799" s="21"/>
      <c r="E799" s="136"/>
      <c r="F799" s="136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</row>
    <row r="800">
      <c r="A800" s="21"/>
      <c r="B800" s="21"/>
      <c r="C800" s="21"/>
      <c r="D800" s="21"/>
      <c r="E800" s="136"/>
      <c r="F800" s="136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</row>
    <row r="801">
      <c r="A801" s="21"/>
      <c r="B801" s="21"/>
      <c r="C801" s="21"/>
      <c r="D801" s="21"/>
      <c r="E801" s="136"/>
      <c r="F801" s="136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</row>
    <row r="802">
      <c r="A802" s="21"/>
      <c r="B802" s="21"/>
      <c r="C802" s="21"/>
      <c r="D802" s="21"/>
      <c r="E802" s="136"/>
      <c r="F802" s="136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</row>
    <row r="803">
      <c r="A803" s="21"/>
      <c r="B803" s="21"/>
      <c r="C803" s="21"/>
      <c r="D803" s="21"/>
      <c r="E803" s="136"/>
      <c r="F803" s="136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</row>
    <row r="804">
      <c r="A804" s="21"/>
      <c r="B804" s="21"/>
      <c r="C804" s="21"/>
      <c r="D804" s="21"/>
      <c r="E804" s="136"/>
      <c r="F804" s="136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</row>
    <row r="805">
      <c r="A805" s="21"/>
      <c r="B805" s="21"/>
      <c r="C805" s="21"/>
      <c r="D805" s="21"/>
      <c r="E805" s="136"/>
      <c r="F805" s="136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</row>
    <row r="806">
      <c r="A806" s="21"/>
      <c r="B806" s="21"/>
      <c r="C806" s="21"/>
      <c r="D806" s="21"/>
      <c r="E806" s="136"/>
      <c r="F806" s="136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</row>
    <row r="807">
      <c r="A807" s="21"/>
      <c r="B807" s="21"/>
      <c r="C807" s="21"/>
      <c r="D807" s="21"/>
      <c r="E807" s="136"/>
      <c r="F807" s="136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</row>
    <row r="808">
      <c r="A808" s="21"/>
      <c r="B808" s="21"/>
      <c r="C808" s="21"/>
      <c r="D808" s="21"/>
      <c r="E808" s="136"/>
      <c r="F808" s="136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</row>
    <row r="809">
      <c r="A809" s="21"/>
      <c r="B809" s="21"/>
      <c r="C809" s="21"/>
      <c r="D809" s="21"/>
      <c r="E809" s="136"/>
      <c r="F809" s="136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</row>
    <row r="810">
      <c r="A810" s="21"/>
      <c r="B810" s="21"/>
      <c r="C810" s="21"/>
      <c r="D810" s="21"/>
      <c r="E810" s="136"/>
      <c r="F810" s="136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</row>
    <row r="811">
      <c r="A811" s="21"/>
      <c r="B811" s="21"/>
      <c r="C811" s="21"/>
      <c r="D811" s="21"/>
      <c r="E811" s="136"/>
      <c r="F811" s="136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</row>
    <row r="812">
      <c r="A812" s="21"/>
      <c r="B812" s="21"/>
      <c r="C812" s="21"/>
      <c r="D812" s="21"/>
      <c r="E812" s="136"/>
      <c r="F812" s="136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</row>
    <row r="813">
      <c r="A813" s="21"/>
      <c r="B813" s="21"/>
      <c r="C813" s="21"/>
      <c r="D813" s="21"/>
      <c r="E813" s="136"/>
      <c r="F813" s="136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</row>
    <row r="814">
      <c r="A814" s="21"/>
      <c r="B814" s="21"/>
      <c r="C814" s="21"/>
      <c r="D814" s="21"/>
      <c r="E814" s="136"/>
      <c r="F814" s="136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</row>
    <row r="815">
      <c r="A815" s="21"/>
      <c r="B815" s="21"/>
      <c r="C815" s="21"/>
      <c r="D815" s="21"/>
      <c r="E815" s="136"/>
      <c r="F815" s="136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</row>
    <row r="816">
      <c r="A816" s="21"/>
      <c r="B816" s="21"/>
      <c r="C816" s="21"/>
      <c r="D816" s="21"/>
      <c r="E816" s="136"/>
      <c r="F816" s="136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</row>
    <row r="817">
      <c r="A817" s="21"/>
      <c r="B817" s="21"/>
      <c r="C817" s="21"/>
      <c r="D817" s="21"/>
      <c r="E817" s="136"/>
      <c r="F817" s="136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</row>
    <row r="818">
      <c r="A818" s="21"/>
      <c r="B818" s="21"/>
      <c r="C818" s="21"/>
      <c r="D818" s="21"/>
      <c r="E818" s="136"/>
      <c r="F818" s="136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</row>
    <row r="819">
      <c r="A819" s="21"/>
      <c r="B819" s="21"/>
      <c r="C819" s="21"/>
      <c r="D819" s="21"/>
      <c r="E819" s="136"/>
      <c r="F819" s="136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</row>
    <row r="820">
      <c r="A820" s="21"/>
      <c r="B820" s="21"/>
      <c r="C820" s="21"/>
      <c r="D820" s="21"/>
      <c r="E820" s="136"/>
      <c r="F820" s="136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</row>
    <row r="821">
      <c r="A821" s="21"/>
      <c r="B821" s="21"/>
      <c r="C821" s="21"/>
      <c r="D821" s="21"/>
      <c r="E821" s="136"/>
      <c r="F821" s="136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</row>
    <row r="822">
      <c r="A822" s="21"/>
      <c r="B822" s="21"/>
      <c r="C822" s="21"/>
      <c r="D822" s="21"/>
      <c r="E822" s="136"/>
      <c r="F822" s="136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</row>
    <row r="823">
      <c r="A823" s="21"/>
      <c r="B823" s="21"/>
      <c r="C823" s="21"/>
      <c r="D823" s="21"/>
      <c r="E823" s="136"/>
      <c r="F823" s="136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</row>
    <row r="824">
      <c r="A824" s="21"/>
      <c r="B824" s="21"/>
      <c r="C824" s="21"/>
      <c r="D824" s="21"/>
      <c r="E824" s="136"/>
      <c r="F824" s="136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</row>
    <row r="825">
      <c r="A825" s="21"/>
      <c r="B825" s="21"/>
      <c r="C825" s="21"/>
      <c r="D825" s="21"/>
      <c r="E825" s="136"/>
      <c r="F825" s="136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</row>
    <row r="826">
      <c r="A826" s="21"/>
      <c r="B826" s="21"/>
      <c r="C826" s="21"/>
      <c r="D826" s="21"/>
      <c r="E826" s="136"/>
      <c r="F826" s="136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</row>
    <row r="827">
      <c r="A827" s="21"/>
      <c r="B827" s="21"/>
      <c r="C827" s="21"/>
      <c r="D827" s="21"/>
      <c r="E827" s="136"/>
      <c r="F827" s="136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</row>
    <row r="828">
      <c r="A828" s="21"/>
      <c r="B828" s="21"/>
      <c r="C828" s="21"/>
      <c r="D828" s="21"/>
      <c r="E828" s="136"/>
      <c r="F828" s="136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</row>
    <row r="829">
      <c r="A829" s="21"/>
      <c r="B829" s="21"/>
      <c r="C829" s="21"/>
      <c r="D829" s="21"/>
      <c r="E829" s="136"/>
      <c r="F829" s="136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</row>
    <row r="830">
      <c r="A830" s="21"/>
      <c r="B830" s="21"/>
      <c r="C830" s="21"/>
      <c r="D830" s="21"/>
      <c r="E830" s="136"/>
      <c r="F830" s="136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</row>
    <row r="831">
      <c r="A831" s="21"/>
      <c r="B831" s="21"/>
      <c r="C831" s="21"/>
      <c r="D831" s="21"/>
      <c r="E831" s="136"/>
      <c r="F831" s="136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</row>
    <row r="832">
      <c r="A832" s="21"/>
      <c r="B832" s="21"/>
      <c r="C832" s="21"/>
      <c r="D832" s="21"/>
      <c r="E832" s="136"/>
      <c r="F832" s="136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</row>
    <row r="833">
      <c r="A833" s="21"/>
      <c r="B833" s="21"/>
      <c r="C833" s="21"/>
      <c r="D833" s="21"/>
      <c r="E833" s="136"/>
      <c r="F833" s="136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</row>
    <row r="834">
      <c r="A834" s="21"/>
      <c r="B834" s="21"/>
      <c r="C834" s="21"/>
      <c r="D834" s="21"/>
      <c r="E834" s="136"/>
      <c r="F834" s="136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</row>
    <row r="835">
      <c r="A835" s="21"/>
      <c r="B835" s="21"/>
      <c r="C835" s="21"/>
      <c r="D835" s="21"/>
      <c r="E835" s="136"/>
      <c r="F835" s="136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</row>
    <row r="836">
      <c r="A836" s="21"/>
      <c r="B836" s="21"/>
      <c r="C836" s="21"/>
      <c r="D836" s="21"/>
      <c r="E836" s="136"/>
      <c r="F836" s="136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</row>
    <row r="837">
      <c r="A837" s="21"/>
      <c r="B837" s="21"/>
      <c r="C837" s="21"/>
      <c r="D837" s="21"/>
      <c r="E837" s="136"/>
      <c r="F837" s="136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</row>
    <row r="838">
      <c r="A838" s="21"/>
      <c r="B838" s="21"/>
      <c r="C838" s="21"/>
      <c r="D838" s="21"/>
      <c r="E838" s="136"/>
      <c r="F838" s="136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</row>
    <row r="839">
      <c r="A839" s="21"/>
      <c r="B839" s="21"/>
      <c r="C839" s="21"/>
      <c r="D839" s="21"/>
      <c r="E839" s="136"/>
      <c r="F839" s="136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</row>
    <row r="840">
      <c r="A840" s="21"/>
      <c r="B840" s="21"/>
      <c r="C840" s="21"/>
      <c r="D840" s="21"/>
      <c r="E840" s="136"/>
      <c r="F840" s="136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</row>
    <row r="841">
      <c r="A841" s="21"/>
      <c r="B841" s="21"/>
      <c r="C841" s="21"/>
      <c r="D841" s="21"/>
      <c r="E841" s="136"/>
      <c r="F841" s="136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</row>
    <row r="842">
      <c r="A842" s="21"/>
      <c r="B842" s="21"/>
      <c r="C842" s="21"/>
      <c r="D842" s="21"/>
      <c r="E842" s="136"/>
      <c r="F842" s="136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</row>
    <row r="843">
      <c r="A843" s="21"/>
      <c r="B843" s="21"/>
      <c r="C843" s="21"/>
      <c r="D843" s="21"/>
      <c r="E843" s="136"/>
      <c r="F843" s="136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</row>
    <row r="844">
      <c r="A844" s="21"/>
      <c r="B844" s="21"/>
      <c r="C844" s="21"/>
      <c r="D844" s="21"/>
      <c r="E844" s="136"/>
      <c r="F844" s="136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</row>
    <row r="845">
      <c r="A845" s="21"/>
      <c r="B845" s="21"/>
      <c r="C845" s="21"/>
      <c r="D845" s="21"/>
      <c r="E845" s="136"/>
      <c r="F845" s="136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</row>
    <row r="846">
      <c r="A846" s="21"/>
      <c r="B846" s="21"/>
      <c r="C846" s="21"/>
      <c r="D846" s="21"/>
      <c r="E846" s="136"/>
      <c r="F846" s="136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</row>
    <row r="847">
      <c r="A847" s="21"/>
      <c r="B847" s="21"/>
      <c r="C847" s="21"/>
      <c r="D847" s="21"/>
      <c r="E847" s="136"/>
      <c r="F847" s="136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</row>
    <row r="848">
      <c r="A848" s="21"/>
      <c r="B848" s="21"/>
      <c r="C848" s="21"/>
      <c r="D848" s="21"/>
      <c r="E848" s="136"/>
      <c r="F848" s="136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</row>
    <row r="849">
      <c r="A849" s="21"/>
      <c r="B849" s="21"/>
      <c r="C849" s="21"/>
      <c r="D849" s="21"/>
      <c r="E849" s="136"/>
      <c r="F849" s="136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</row>
    <row r="850">
      <c r="A850" s="21"/>
      <c r="B850" s="21"/>
      <c r="C850" s="21"/>
      <c r="D850" s="21"/>
      <c r="E850" s="136"/>
      <c r="F850" s="136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</row>
    <row r="851">
      <c r="A851" s="21"/>
      <c r="B851" s="21"/>
      <c r="C851" s="21"/>
      <c r="D851" s="21"/>
      <c r="E851" s="136"/>
      <c r="F851" s="136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</row>
    <row r="852">
      <c r="A852" s="21"/>
      <c r="B852" s="21"/>
      <c r="C852" s="21"/>
      <c r="D852" s="21"/>
      <c r="E852" s="136"/>
      <c r="F852" s="136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</row>
    <row r="853">
      <c r="A853" s="21"/>
      <c r="B853" s="21"/>
      <c r="C853" s="21"/>
      <c r="D853" s="21"/>
      <c r="E853" s="136"/>
      <c r="F853" s="136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</row>
    <row r="854">
      <c r="A854" s="21"/>
      <c r="B854" s="21"/>
      <c r="C854" s="21"/>
      <c r="D854" s="21"/>
      <c r="E854" s="136"/>
      <c r="F854" s="136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</row>
    <row r="855">
      <c r="A855" s="21"/>
      <c r="B855" s="21"/>
      <c r="C855" s="21"/>
      <c r="D855" s="21"/>
      <c r="E855" s="136"/>
      <c r="F855" s="136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</row>
    <row r="856">
      <c r="A856" s="21"/>
      <c r="B856" s="21"/>
      <c r="C856" s="21"/>
      <c r="D856" s="21"/>
      <c r="E856" s="136"/>
      <c r="F856" s="136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</row>
    <row r="857">
      <c r="A857" s="21"/>
      <c r="B857" s="21"/>
      <c r="C857" s="21"/>
      <c r="D857" s="21"/>
      <c r="E857" s="136"/>
      <c r="F857" s="136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</row>
    <row r="858">
      <c r="A858" s="21"/>
      <c r="B858" s="21"/>
      <c r="C858" s="21"/>
      <c r="D858" s="21"/>
      <c r="E858" s="136"/>
      <c r="F858" s="136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</row>
    <row r="859">
      <c r="A859" s="21"/>
      <c r="B859" s="21"/>
      <c r="C859" s="21"/>
      <c r="D859" s="21"/>
      <c r="E859" s="136"/>
      <c r="F859" s="136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</row>
    <row r="860">
      <c r="A860" s="21"/>
      <c r="B860" s="21"/>
      <c r="C860" s="21"/>
      <c r="D860" s="21"/>
      <c r="E860" s="136"/>
      <c r="F860" s="136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</row>
    <row r="861">
      <c r="A861" s="21"/>
      <c r="B861" s="21"/>
      <c r="C861" s="21"/>
      <c r="D861" s="21"/>
      <c r="E861" s="136"/>
      <c r="F861" s="136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</row>
    <row r="862">
      <c r="A862" s="21"/>
      <c r="B862" s="21"/>
      <c r="C862" s="21"/>
      <c r="D862" s="21"/>
      <c r="E862" s="136"/>
      <c r="F862" s="136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</row>
    <row r="863">
      <c r="A863" s="21"/>
      <c r="B863" s="21"/>
      <c r="C863" s="21"/>
      <c r="D863" s="21"/>
      <c r="E863" s="136"/>
      <c r="F863" s="136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</row>
    <row r="864">
      <c r="A864" s="21"/>
      <c r="B864" s="21"/>
      <c r="C864" s="21"/>
      <c r="D864" s="21"/>
      <c r="E864" s="136"/>
      <c r="F864" s="136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</row>
    <row r="865">
      <c r="A865" s="21"/>
      <c r="B865" s="21"/>
      <c r="C865" s="21"/>
      <c r="D865" s="21"/>
      <c r="E865" s="136"/>
      <c r="F865" s="136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</row>
    <row r="866">
      <c r="A866" s="21"/>
      <c r="B866" s="21"/>
      <c r="C866" s="21"/>
      <c r="D866" s="21"/>
      <c r="E866" s="136"/>
      <c r="F866" s="136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</row>
    <row r="867">
      <c r="A867" s="21"/>
      <c r="B867" s="21"/>
      <c r="C867" s="21"/>
      <c r="D867" s="21"/>
      <c r="E867" s="136"/>
      <c r="F867" s="136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</row>
    <row r="868">
      <c r="A868" s="21"/>
      <c r="B868" s="21"/>
      <c r="C868" s="21"/>
      <c r="D868" s="21"/>
      <c r="E868" s="136"/>
      <c r="F868" s="136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</row>
    <row r="869">
      <c r="A869" s="21"/>
      <c r="B869" s="21"/>
      <c r="C869" s="21"/>
      <c r="D869" s="21"/>
      <c r="E869" s="136"/>
      <c r="F869" s="136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</row>
    <row r="870">
      <c r="A870" s="21"/>
      <c r="B870" s="21"/>
      <c r="C870" s="21"/>
      <c r="D870" s="21"/>
      <c r="E870" s="136"/>
      <c r="F870" s="136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</row>
    <row r="871">
      <c r="A871" s="21"/>
      <c r="B871" s="21"/>
      <c r="C871" s="21"/>
      <c r="D871" s="21"/>
      <c r="E871" s="136"/>
      <c r="F871" s="136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</row>
    <row r="872">
      <c r="A872" s="21"/>
      <c r="B872" s="21"/>
      <c r="C872" s="21"/>
      <c r="D872" s="21"/>
      <c r="E872" s="136"/>
      <c r="F872" s="136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</row>
    <row r="873">
      <c r="A873" s="21"/>
      <c r="B873" s="21"/>
      <c r="C873" s="21"/>
      <c r="D873" s="21"/>
      <c r="E873" s="136"/>
      <c r="F873" s="136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</row>
    <row r="874">
      <c r="A874" s="21"/>
      <c r="B874" s="21"/>
      <c r="C874" s="21"/>
      <c r="D874" s="21"/>
      <c r="E874" s="136"/>
      <c r="F874" s="136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</row>
    <row r="875">
      <c r="A875" s="21"/>
      <c r="B875" s="21"/>
      <c r="C875" s="21"/>
      <c r="D875" s="21"/>
      <c r="E875" s="136"/>
      <c r="F875" s="136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</row>
    <row r="876">
      <c r="A876" s="21"/>
      <c r="B876" s="21"/>
      <c r="C876" s="21"/>
      <c r="D876" s="21"/>
      <c r="E876" s="136"/>
      <c r="F876" s="136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</row>
    <row r="877">
      <c r="A877" s="21"/>
      <c r="B877" s="21"/>
      <c r="C877" s="21"/>
      <c r="D877" s="21"/>
      <c r="E877" s="136"/>
      <c r="F877" s="136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</row>
    <row r="878">
      <c r="A878" s="21"/>
      <c r="B878" s="21"/>
      <c r="C878" s="21"/>
      <c r="D878" s="21"/>
      <c r="E878" s="136"/>
      <c r="F878" s="136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</row>
    <row r="879">
      <c r="A879" s="21"/>
      <c r="B879" s="21"/>
      <c r="C879" s="21"/>
      <c r="D879" s="21"/>
      <c r="E879" s="136"/>
      <c r="F879" s="136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</row>
    <row r="880">
      <c r="A880" s="21"/>
      <c r="B880" s="21"/>
      <c r="C880" s="21"/>
      <c r="D880" s="21"/>
      <c r="E880" s="136"/>
      <c r="F880" s="136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</row>
    <row r="881">
      <c r="A881" s="21"/>
      <c r="B881" s="21"/>
      <c r="C881" s="21"/>
      <c r="D881" s="21"/>
      <c r="E881" s="136"/>
      <c r="F881" s="136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</row>
    <row r="882">
      <c r="A882" s="21"/>
      <c r="B882" s="21"/>
      <c r="C882" s="21"/>
      <c r="D882" s="21"/>
      <c r="E882" s="136"/>
      <c r="F882" s="136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</row>
    <row r="883">
      <c r="A883" s="21"/>
      <c r="B883" s="21"/>
      <c r="C883" s="21"/>
      <c r="D883" s="21"/>
      <c r="E883" s="136"/>
      <c r="F883" s="136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</row>
    <row r="884">
      <c r="A884" s="21"/>
      <c r="B884" s="21"/>
      <c r="C884" s="21"/>
      <c r="D884" s="21"/>
      <c r="E884" s="136"/>
      <c r="F884" s="136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</row>
    <row r="885">
      <c r="A885" s="21"/>
      <c r="B885" s="21"/>
      <c r="C885" s="21"/>
      <c r="D885" s="21"/>
      <c r="E885" s="136"/>
      <c r="F885" s="136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</row>
    <row r="886">
      <c r="A886" s="21"/>
      <c r="B886" s="21"/>
      <c r="C886" s="21"/>
      <c r="D886" s="21"/>
      <c r="E886" s="136"/>
      <c r="F886" s="136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</row>
    <row r="887">
      <c r="A887" s="21"/>
      <c r="B887" s="21"/>
      <c r="C887" s="21"/>
      <c r="D887" s="21"/>
      <c r="E887" s="136"/>
      <c r="F887" s="136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</row>
    <row r="888">
      <c r="A888" s="21"/>
      <c r="B888" s="21"/>
      <c r="C888" s="21"/>
      <c r="D888" s="21"/>
      <c r="E888" s="136"/>
      <c r="F888" s="136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</row>
    <row r="889">
      <c r="A889" s="21"/>
      <c r="B889" s="21"/>
      <c r="C889" s="21"/>
      <c r="D889" s="21"/>
      <c r="E889" s="136"/>
      <c r="F889" s="136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</row>
    <row r="890">
      <c r="A890" s="21"/>
      <c r="B890" s="21"/>
      <c r="C890" s="21"/>
      <c r="D890" s="21"/>
      <c r="E890" s="136"/>
      <c r="F890" s="136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</row>
    <row r="891">
      <c r="A891" s="21"/>
      <c r="B891" s="21"/>
      <c r="C891" s="21"/>
      <c r="D891" s="21"/>
      <c r="E891" s="136"/>
      <c r="F891" s="136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</row>
    <row r="892">
      <c r="A892" s="21"/>
      <c r="B892" s="21"/>
      <c r="C892" s="21"/>
      <c r="D892" s="21"/>
      <c r="E892" s="136"/>
      <c r="F892" s="136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</row>
    <row r="893">
      <c r="A893" s="21"/>
      <c r="B893" s="21"/>
      <c r="C893" s="21"/>
      <c r="D893" s="21"/>
      <c r="E893" s="136"/>
      <c r="F893" s="136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</row>
    <row r="894">
      <c r="A894" s="21"/>
      <c r="B894" s="21"/>
      <c r="C894" s="21"/>
      <c r="D894" s="21"/>
      <c r="E894" s="136"/>
      <c r="F894" s="136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</row>
    <row r="895">
      <c r="A895" s="21"/>
      <c r="B895" s="21"/>
      <c r="C895" s="21"/>
      <c r="D895" s="21"/>
      <c r="E895" s="136"/>
      <c r="F895" s="136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</row>
    <row r="896">
      <c r="A896" s="21"/>
      <c r="B896" s="21"/>
      <c r="C896" s="21"/>
      <c r="D896" s="21"/>
      <c r="E896" s="136"/>
      <c r="F896" s="136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</row>
    <row r="897">
      <c r="A897" s="21"/>
      <c r="B897" s="21"/>
      <c r="C897" s="21"/>
      <c r="D897" s="21"/>
      <c r="E897" s="136"/>
      <c r="F897" s="136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</row>
    <row r="898">
      <c r="A898" s="21"/>
      <c r="B898" s="21"/>
      <c r="C898" s="21"/>
      <c r="D898" s="21"/>
      <c r="E898" s="136"/>
      <c r="F898" s="136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</row>
    <row r="899">
      <c r="A899" s="21"/>
      <c r="B899" s="21"/>
      <c r="C899" s="21"/>
      <c r="D899" s="21"/>
      <c r="E899" s="136"/>
      <c r="F899" s="136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</row>
    <row r="900">
      <c r="A900" s="21"/>
      <c r="B900" s="21"/>
      <c r="C900" s="21"/>
      <c r="D900" s="21"/>
      <c r="E900" s="136"/>
      <c r="F900" s="136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</row>
    <row r="901">
      <c r="A901" s="21"/>
      <c r="B901" s="21"/>
      <c r="C901" s="21"/>
      <c r="D901" s="21"/>
      <c r="E901" s="136"/>
      <c r="F901" s="136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</row>
    <row r="902">
      <c r="A902" s="21"/>
      <c r="B902" s="21"/>
      <c r="C902" s="21"/>
      <c r="D902" s="21"/>
      <c r="E902" s="136"/>
      <c r="F902" s="136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</row>
    <row r="903">
      <c r="A903" s="21"/>
      <c r="B903" s="21"/>
      <c r="C903" s="21"/>
      <c r="D903" s="21"/>
      <c r="E903" s="136"/>
      <c r="F903" s="136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</row>
    <row r="904">
      <c r="A904" s="21"/>
      <c r="B904" s="21"/>
      <c r="C904" s="21"/>
      <c r="D904" s="21"/>
      <c r="E904" s="136"/>
      <c r="F904" s="136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</row>
    <row r="905">
      <c r="A905" s="21"/>
      <c r="B905" s="21"/>
      <c r="C905" s="21"/>
      <c r="D905" s="21"/>
      <c r="E905" s="136"/>
      <c r="F905" s="136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</row>
    <row r="906">
      <c r="A906" s="21"/>
      <c r="B906" s="21"/>
      <c r="C906" s="21"/>
      <c r="D906" s="21"/>
      <c r="E906" s="136"/>
      <c r="F906" s="136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</row>
    <row r="907">
      <c r="A907" s="21"/>
      <c r="B907" s="21"/>
      <c r="C907" s="21"/>
      <c r="D907" s="21"/>
      <c r="E907" s="136"/>
      <c r="F907" s="136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</row>
    <row r="908">
      <c r="A908" s="21"/>
      <c r="B908" s="21"/>
      <c r="C908" s="21"/>
      <c r="D908" s="21"/>
      <c r="E908" s="136"/>
      <c r="F908" s="136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</row>
    <row r="909">
      <c r="A909" s="21"/>
      <c r="B909" s="21"/>
      <c r="C909" s="21"/>
      <c r="D909" s="21"/>
      <c r="E909" s="136"/>
      <c r="F909" s="136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</row>
    <row r="910">
      <c r="A910" s="21"/>
      <c r="B910" s="21"/>
      <c r="C910" s="21"/>
      <c r="D910" s="21"/>
      <c r="E910" s="136"/>
      <c r="F910" s="136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</row>
    <row r="911">
      <c r="A911" s="21"/>
      <c r="B911" s="21"/>
      <c r="C911" s="21"/>
      <c r="D911" s="21"/>
      <c r="E911" s="136"/>
      <c r="F911" s="136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</row>
    <row r="912">
      <c r="A912" s="21"/>
      <c r="B912" s="21"/>
      <c r="C912" s="21"/>
      <c r="D912" s="21"/>
      <c r="E912" s="136"/>
      <c r="F912" s="136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</row>
    <row r="913">
      <c r="A913" s="21"/>
      <c r="B913" s="21"/>
      <c r="C913" s="21"/>
      <c r="D913" s="21"/>
      <c r="E913" s="136"/>
      <c r="F913" s="136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</row>
    <row r="914">
      <c r="A914" s="21"/>
      <c r="B914" s="21"/>
      <c r="C914" s="21"/>
      <c r="D914" s="21"/>
      <c r="E914" s="136"/>
      <c r="F914" s="136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</row>
    <row r="915">
      <c r="A915" s="21"/>
      <c r="B915" s="21"/>
      <c r="C915" s="21"/>
      <c r="D915" s="21"/>
      <c r="E915" s="136"/>
      <c r="F915" s="136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</row>
    <row r="916">
      <c r="A916" s="21"/>
      <c r="B916" s="21"/>
      <c r="C916" s="21"/>
      <c r="D916" s="21"/>
      <c r="E916" s="136"/>
      <c r="F916" s="136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</row>
    <row r="917">
      <c r="A917" s="21"/>
      <c r="B917" s="21"/>
      <c r="C917" s="21"/>
      <c r="D917" s="21"/>
      <c r="E917" s="136"/>
      <c r="F917" s="136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</row>
    <row r="918">
      <c r="A918" s="21"/>
      <c r="B918" s="21"/>
      <c r="C918" s="21"/>
      <c r="D918" s="21"/>
      <c r="E918" s="136"/>
      <c r="F918" s="136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</row>
    <row r="919">
      <c r="A919" s="21"/>
      <c r="B919" s="21"/>
      <c r="C919" s="21"/>
      <c r="D919" s="21"/>
      <c r="E919" s="136"/>
      <c r="F919" s="136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</row>
    <row r="920">
      <c r="A920" s="21"/>
      <c r="B920" s="21"/>
      <c r="C920" s="21"/>
      <c r="D920" s="21"/>
      <c r="E920" s="136"/>
      <c r="F920" s="136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</row>
    <row r="921">
      <c r="A921" s="21"/>
      <c r="B921" s="21"/>
      <c r="C921" s="21"/>
      <c r="D921" s="21"/>
      <c r="E921" s="136"/>
      <c r="F921" s="136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</row>
    <row r="922">
      <c r="A922" s="21"/>
      <c r="B922" s="21"/>
      <c r="C922" s="21"/>
      <c r="D922" s="21"/>
      <c r="E922" s="136"/>
      <c r="F922" s="136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</row>
    <row r="923">
      <c r="A923" s="21"/>
      <c r="B923" s="21"/>
      <c r="C923" s="21"/>
      <c r="D923" s="21"/>
      <c r="E923" s="136"/>
      <c r="F923" s="136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</row>
    <row r="924">
      <c r="A924" s="21"/>
      <c r="B924" s="21"/>
      <c r="C924" s="21"/>
      <c r="D924" s="21"/>
      <c r="E924" s="136"/>
      <c r="F924" s="136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</row>
    <row r="925">
      <c r="A925" s="21"/>
      <c r="B925" s="21"/>
      <c r="C925" s="21"/>
      <c r="D925" s="21"/>
      <c r="E925" s="136"/>
      <c r="F925" s="136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</row>
    <row r="926">
      <c r="A926" s="21"/>
      <c r="B926" s="21"/>
      <c r="C926" s="21"/>
      <c r="D926" s="21"/>
      <c r="E926" s="136"/>
      <c r="F926" s="136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</row>
    <row r="927">
      <c r="A927" s="21"/>
      <c r="B927" s="21"/>
      <c r="C927" s="21"/>
      <c r="D927" s="21"/>
      <c r="E927" s="136"/>
      <c r="F927" s="136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</row>
    <row r="928">
      <c r="A928" s="21"/>
      <c r="B928" s="21"/>
      <c r="C928" s="21"/>
      <c r="D928" s="21"/>
      <c r="E928" s="136"/>
      <c r="F928" s="136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</row>
    <row r="929">
      <c r="A929" s="21"/>
      <c r="B929" s="21"/>
      <c r="C929" s="21"/>
      <c r="D929" s="21"/>
      <c r="E929" s="136"/>
      <c r="F929" s="136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</row>
    <row r="930">
      <c r="A930" s="21"/>
      <c r="B930" s="21"/>
      <c r="C930" s="21"/>
      <c r="D930" s="21"/>
      <c r="E930" s="136"/>
      <c r="F930" s="136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</row>
    <row r="931">
      <c r="A931" s="21"/>
      <c r="B931" s="21"/>
      <c r="C931" s="21"/>
      <c r="D931" s="21"/>
      <c r="E931" s="136"/>
      <c r="F931" s="136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</row>
    <row r="932">
      <c r="A932" s="21"/>
      <c r="B932" s="21"/>
      <c r="C932" s="21"/>
      <c r="D932" s="21"/>
      <c r="E932" s="136"/>
      <c r="F932" s="136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</row>
    <row r="933">
      <c r="A933" s="21"/>
      <c r="B933" s="21"/>
      <c r="C933" s="21"/>
      <c r="D933" s="21"/>
      <c r="E933" s="136"/>
      <c r="F933" s="136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</row>
    <row r="934">
      <c r="A934" s="21"/>
      <c r="B934" s="21"/>
      <c r="C934" s="21"/>
      <c r="D934" s="21"/>
      <c r="E934" s="136"/>
      <c r="F934" s="136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</row>
    <row r="935">
      <c r="A935" s="21"/>
      <c r="B935" s="21"/>
      <c r="C935" s="21"/>
      <c r="D935" s="21"/>
      <c r="E935" s="136"/>
      <c r="F935" s="136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</row>
    <row r="936">
      <c r="A936" s="21"/>
      <c r="B936" s="21"/>
      <c r="C936" s="21"/>
      <c r="D936" s="21"/>
      <c r="E936" s="136"/>
      <c r="F936" s="136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</row>
    <row r="937">
      <c r="A937" s="21"/>
      <c r="B937" s="21"/>
      <c r="C937" s="21"/>
      <c r="D937" s="21"/>
      <c r="E937" s="136"/>
      <c r="F937" s="136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</row>
    <row r="938">
      <c r="A938" s="21"/>
      <c r="B938" s="21"/>
      <c r="C938" s="21"/>
      <c r="D938" s="21"/>
      <c r="E938" s="136"/>
      <c r="F938" s="136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</row>
    <row r="939">
      <c r="A939" s="21"/>
      <c r="B939" s="21"/>
      <c r="C939" s="21"/>
      <c r="D939" s="21"/>
      <c r="E939" s="136"/>
      <c r="F939" s="136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</row>
    <row r="940">
      <c r="A940" s="21"/>
      <c r="B940" s="21"/>
      <c r="C940" s="21"/>
      <c r="D940" s="21"/>
      <c r="E940" s="136"/>
      <c r="F940" s="136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</row>
    <row r="941">
      <c r="A941" s="21"/>
      <c r="B941" s="21"/>
      <c r="C941" s="21"/>
      <c r="D941" s="21"/>
      <c r="E941" s="136"/>
      <c r="F941" s="136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</row>
    <row r="942">
      <c r="A942" s="21"/>
      <c r="B942" s="21"/>
      <c r="C942" s="21"/>
      <c r="D942" s="21"/>
      <c r="E942" s="136"/>
      <c r="F942" s="136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</row>
    <row r="943">
      <c r="A943" s="21"/>
      <c r="B943" s="21"/>
      <c r="C943" s="21"/>
      <c r="D943" s="21"/>
      <c r="E943" s="136"/>
      <c r="F943" s="136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</row>
    <row r="944">
      <c r="A944" s="21"/>
      <c r="B944" s="21"/>
      <c r="C944" s="21"/>
      <c r="D944" s="21"/>
      <c r="E944" s="136"/>
      <c r="F944" s="136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</row>
    <row r="945">
      <c r="A945" s="21"/>
      <c r="B945" s="21"/>
      <c r="C945" s="21"/>
      <c r="D945" s="21"/>
      <c r="E945" s="136"/>
      <c r="F945" s="136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</row>
    <row r="946">
      <c r="A946" s="21"/>
      <c r="B946" s="21"/>
      <c r="C946" s="21"/>
      <c r="D946" s="21"/>
      <c r="E946" s="136"/>
      <c r="F946" s="136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</row>
    <row r="947">
      <c r="A947" s="21"/>
      <c r="B947" s="21"/>
      <c r="C947" s="21"/>
      <c r="D947" s="21"/>
      <c r="E947" s="136"/>
      <c r="F947" s="136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</row>
    <row r="948">
      <c r="A948" s="21"/>
      <c r="B948" s="21"/>
      <c r="C948" s="21"/>
      <c r="D948" s="21"/>
      <c r="E948" s="136"/>
      <c r="F948" s="136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</row>
    <row r="949">
      <c r="A949" s="21"/>
      <c r="B949" s="21"/>
      <c r="C949" s="21"/>
      <c r="D949" s="21"/>
      <c r="E949" s="136"/>
      <c r="F949" s="136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</row>
    <row r="950">
      <c r="A950" s="21"/>
      <c r="B950" s="21"/>
      <c r="C950" s="21"/>
      <c r="D950" s="21"/>
      <c r="E950" s="136"/>
      <c r="F950" s="136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</row>
    <row r="951">
      <c r="A951" s="21"/>
      <c r="B951" s="21"/>
      <c r="C951" s="21"/>
      <c r="D951" s="21"/>
      <c r="E951" s="136"/>
      <c r="F951" s="136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</row>
    <row r="952">
      <c r="A952" s="21"/>
      <c r="B952" s="21"/>
      <c r="C952" s="21"/>
      <c r="D952" s="21"/>
      <c r="E952" s="136"/>
      <c r="F952" s="136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</row>
    <row r="953">
      <c r="A953" s="21"/>
      <c r="B953" s="21"/>
      <c r="C953" s="21"/>
      <c r="D953" s="21"/>
      <c r="E953" s="136"/>
      <c r="F953" s="136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</row>
    <row r="954">
      <c r="A954" s="21"/>
      <c r="B954" s="21"/>
      <c r="C954" s="21"/>
      <c r="D954" s="21"/>
      <c r="E954" s="136"/>
      <c r="F954" s="136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</row>
    <row r="955">
      <c r="A955" s="21"/>
      <c r="B955" s="21"/>
      <c r="C955" s="21"/>
      <c r="D955" s="21"/>
      <c r="E955" s="136"/>
      <c r="F955" s="136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</row>
    <row r="956">
      <c r="A956" s="21"/>
      <c r="B956" s="21"/>
      <c r="C956" s="21"/>
      <c r="D956" s="21"/>
      <c r="E956" s="136"/>
      <c r="F956" s="136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</row>
    <row r="957">
      <c r="A957" s="21"/>
      <c r="B957" s="21"/>
      <c r="C957" s="21"/>
      <c r="D957" s="21"/>
      <c r="E957" s="136"/>
      <c r="F957" s="136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</row>
    <row r="958">
      <c r="A958" s="21"/>
      <c r="B958" s="21"/>
      <c r="C958" s="21"/>
      <c r="D958" s="21"/>
      <c r="E958" s="136"/>
      <c r="F958" s="136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</row>
    <row r="959">
      <c r="A959" s="21"/>
      <c r="B959" s="21"/>
      <c r="C959" s="21"/>
      <c r="D959" s="21"/>
      <c r="E959" s="136"/>
      <c r="F959" s="136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</row>
    <row r="960">
      <c r="A960" s="21"/>
      <c r="B960" s="21"/>
      <c r="C960" s="21"/>
      <c r="D960" s="21"/>
      <c r="E960" s="136"/>
      <c r="F960" s="136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</row>
    <row r="961">
      <c r="A961" s="21"/>
      <c r="B961" s="21"/>
      <c r="C961" s="21"/>
      <c r="D961" s="21"/>
      <c r="E961" s="136"/>
      <c r="F961" s="136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</row>
    <row r="962">
      <c r="A962" s="21"/>
      <c r="B962" s="21"/>
      <c r="C962" s="21"/>
      <c r="D962" s="21"/>
      <c r="E962" s="136"/>
      <c r="F962" s="136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</row>
    <row r="963">
      <c r="A963" s="21"/>
      <c r="B963" s="21"/>
      <c r="C963" s="21"/>
      <c r="D963" s="21"/>
      <c r="E963" s="136"/>
      <c r="F963" s="136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</row>
    <row r="964">
      <c r="A964" s="21"/>
      <c r="B964" s="21"/>
      <c r="C964" s="21"/>
      <c r="D964" s="21"/>
      <c r="E964" s="136"/>
      <c r="F964" s="136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</row>
    <row r="965">
      <c r="A965" s="21"/>
      <c r="B965" s="21"/>
      <c r="C965" s="21"/>
      <c r="D965" s="21"/>
      <c r="E965" s="136"/>
      <c r="F965" s="136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</row>
    <row r="966">
      <c r="A966" s="21"/>
      <c r="B966" s="21"/>
      <c r="C966" s="21"/>
      <c r="D966" s="21"/>
      <c r="E966" s="136"/>
      <c r="F966" s="136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</row>
    <row r="967">
      <c r="A967" s="21"/>
      <c r="B967" s="21"/>
      <c r="C967" s="21"/>
      <c r="D967" s="21"/>
      <c r="E967" s="136"/>
      <c r="F967" s="136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</row>
    <row r="968">
      <c r="A968" s="21"/>
      <c r="B968" s="21"/>
      <c r="C968" s="21"/>
      <c r="D968" s="21"/>
      <c r="E968" s="136"/>
      <c r="F968" s="136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</row>
    <row r="969">
      <c r="A969" s="21"/>
      <c r="B969" s="21"/>
      <c r="C969" s="21"/>
      <c r="D969" s="21"/>
      <c r="E969" s="136"/>
      <c r="F969" s="136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</row>
    <row r="970">
      <c r="A970" s="21"/>
      <c r="B970" s="21"/>
      <c r="C970" s="21"/>
      <c r="D970" s="21"/>
      <c r="E970" s="136"/>
      <c r="F970" s="136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</row>
    <row r="971">
      <c r="A971" s="21"/>
      <c r="B971" s="21"/>
      <c r="C971" s="21"/>
      <c r="D971" s="21"/>
      <c r="E971" s="136"/>
      <c r="F971" s="136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</row>
    <row r="972">
      <c r="A972" s="21"/>
      <c r="B972" s="21"/>
      <c r="C972" s="21"/>
      <c r="D972" s="21"/>
      <c r="E972" s="136"/>
      <c r="F972" s="136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</row>
    <row r="973">
      <c r="A973" s="21"/>
      <c r="B973" s="21"/>
      <c r="C973" s="21"/>
      <c r="D973" s="21"/>
      <c r="E973" s="136"/>
      <c r="F973" s="136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</row>
    <row r="974">
      <c r="A974" s="21"/>
      <c r="B974" s="21"/>
      <c r="C974" s="21"/>
      <c r="D974" s="21"/>
      <c r="E974" s="136"/>
      <c r="F974" s="136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</row>
    <row r="975">
      <c r="A975" s="21"/>
      <c r="B975" s="21"/>
      <c r="C975" s="21"/>
      <c r="D975" s="21"/>
      <c r="E975" s="136"/>
      <c r="F975" s="136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</row>
    <row r="976">
      <c r="A976" s="21"/>
      <c r="B976" s="21"/>
      <c r="C976" s="21"/>
      <c r="D976" s="21"/>
      <c r="E976" s="136"/>
      <c r="F976" s="136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</row>
    <row r="977">
      <c r="A977" s="21"/>
      <c r="B977" s="21"/>
      <c r="C977" s="21"/>
      <c r="D977" s="21"/>
      <c r="E977" s="136"/>
      <c r="F977" s="136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</row>
    <row r="978">
      <c r="A978" s="21"/>
      <c r="B978" s="21"/>
      <c r="C978" s="21"/>
      <c r="D978" s="21"/>
      <c r="E978" s="136"/>
      <c r="F978" s="136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</row>
    <row r="979">
      <c r="A979" s="21"/>
      <c r="B979" s="21"/>
      <c r="C979" s="21"/>
      <c r="D979" s="21"/>
      <c r="E979" s="136"/>
      <c r="F979" s="136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</row>
    <row r="980">
      <c r="A980" s="21"/>
      <c r="B980" s="21"/>
      <c r="C980" s="21"/>
      <c r="D980" s="21"/>
      <c r="E980" s="136"/>
      <c r="F980" s="136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</row>
    <row r="981">
      <c r="A981" s="21"/>
      <c r="B981" s="21"/>
      <c r="C981" s="21"/>
      <c r="D981" s="21"/>
      <c r="E981" s="136"/>
      <c r="F981" s="136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</row>
    <row r="982">
      <c r="A982" s="21"/>
      <c r="B982" s="21"/>
      <c r="C982" s="21"/>
      <c r="D982" s="21"/>
      <c r="E982" s="136"/>
      <c r="F982" s="136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</row>
    <row r="983">
      <c r="A983" s="21"/>
      <c r="B983" s="21"/>
      <c r="C983" s="21"/>
      <c r="D983" s="21"/>
      <c r="E983" s="136"/>
      <c r="F983" s="136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</row>
    <row r="984">
      <c r="A984" s="21"/>
      <c r="B984" s="21"/>
      <c r="C984" s="21"/>
      <c r="D984" s="21"/>
      <c r="E984" s="136"/>
      <c r="F984" s="136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</row>
    <row r="985">
      <c r="A985" s="21"/>
      <c r="B985" s="21"/>
      <c r="C985" s="21"/>
      <c r="D985" s="21"/>
      <c r="E985" s="136"/>
      <c r="F985" s="136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</row>
    <row r="986">
      <c r="A986" s="21"/>
      <c r="B986" s="21"/>
      <c r="C986" s="21"/>
      <c r="D986" s="21"/>
      <c r="E986" s="136"/>
      <c r="F986" s="136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</row>
    <row r="987">
      <c r="A987" s="21"/>
      <c r="B987" s="21"/>
      <c r="C987" s="21"/>
      <c r="D987" s="21"/>
      <c r="E987" s="136"/>
      <c r="F987" s="136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</row>
    <row r="988">
      <c r="A988" s="21"/>
      <c r="B988" s="21"/>
      <c r="C988" s="21"/>
      <c r="D988" s="21"/>
      <c r="E988" s="136"/>
      <c r="F988" s="136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</row>
    <row r="989">
      <c r="A989" s="21"/>
      <c r="B989" s="21"/>
      <c r="C989" s="21"/>
      <c r="D989" s="21"/>
      <c r="E989" s="136"/>
      <c r="F989" s="136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</row>
    <row r="990">
      <c r="A990" s="21"/>
      <c r="B990" s="21"/>
      <c r="C990" s="21"/>
      <c r="D990" s="21"/>
      <c r="E990" s="136"/>
      <c r="F990" s="136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</row>
    <row r="991">
      <c r="A991" s="21"/>
      <c r="B991" s="21"/>
      <c r="C991" s="21"/>
      <c r="D991" s="21"/>
      <c r="E991" s="136"/>
      <c r="F991" s="136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</row>
    <row r="992">
      <c r="A992" s="21"/>
      <c r="B992" s="21"/>
      <c r="C992" s="21"/>
      <c r="D992" s="21"/>
      <c r="E992" s="136"/>
      <c r="F992" s="136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</row>
    <row r="993">
      <c r="A993" s="21"/>
      <c r="B993" s="21"/>
      <c r="C993" s="21"/>
      <c r="D993" s="21"/>
      <c r="E993" s="136"/>
      <c r="F993" s="136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</row>
    <row r="994">
      <c r="A994" s="21"/>
      <c r="B994" s="21"/>
      <c r="C994" s="21"/>
      <c r="D994" s="21"/>
      <c r="E994" s="136"/>
      <c r="F994" s="136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</row>
    <row r="995">
      <c r="A995" s="21"/>
      <c r="B995" s="21"/>
      <c r="C995" s="21"/>
      <c r="D995" s="21"/>
      <c r="E995" s="136"/>
      <c r="F995" s="136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</row>
    <row r="996">
      <c r="A996" s="21"/>
      <c r="B996" s="21"/>
      <c r="C996" s="21"/>
      <c r="D996" s="21"/>
      <c r="E996" s="136"/>
      <c r="F996" s="136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</row>
    <row r="997">
      <c r="A997" s="21"/>
      <c r="B997" s="21"/>
      <c r="C997" s="21"/>
      <c r="D997" s="21"/>
      <c r="E997" s="136"/>
      <c r="F997" s="136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</row>
    <row r="998">
      <c r="A998" s="21"/>
      <c r="B998" s="21"/>
      <c r="C998" s="21"/>
      <c r="D998" s="21"/>
      <c r="E998" s="136"/>
      <c r="F998" s="136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</row>
    <row r="999">
      <c r="A999" s="21"/>
      <c r="B999" s="21"/>
      <c r="C999" s="21"/>
      <c r="D999" s="21"/>
      <c r="E999" s="136"/>
      <c r="F999" s="136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</row>
    <row r="1000">
      <c r="A1000" s="21"/>
      <c r="B1000" s="21"/>
      <c r="C1000" s="21"/>
      <c r="D1000" s="21"/>
      <c r="E1000" s="136"/>
      <c r="F1000" s="136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</row>
    <row r="1001">
      <c r="A1001" s="21"/>
      <c r="B1001" s="21"/>
      <c r="C1001" s="21"/>
      <c r="D1001" s="21"/>
      <c r="E1001" s="136"/>
      <c r="F1001" s="136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</row>
    <row r="1002">
      <c r="A1002" s="21"/>
      <c r="B1002" s="21"/>
      <c r="C1002" s="21"/>
      <c r="D1002" s="21"/>
      <c r="E1002" s="136"/>
      <c r="F1002" s="136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</row>
    <row r="1003">
      <c r="A1003" s="21"/>
      <c r="B1003" s="21"/>
      <c r="C1003" s="21"/>
      <c r="D1003" s="21"/>
      <c r="E1003" s="136"/>
      <c r="F1003" s="136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</row>
  </sheetData>
  <mergeCells count="5">
    <mergeCell ref="A1:B1"/>
    <mergeCell ref="E1:I1"/>
    <mergeCell ref="K1:L1"/>
    <mergeCell ref="M1:N1"/>
    <mergeCell ref="K14:L14"/>
  </mergeCells>
  <dataValidations>
    <dataValidation type="list" allowBlank="1" showErrorMessage="1" sqref="A1">
      <formula1>"Jan,Feb,Mar,Apr,May,Jun,Jul,Aug,Sep,Oct,Nov,Dec"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88"/>
    <col customWidth="1" min="2" max="2" width="15.0"/>
    <col customWidth="1" min="3" max="3" width="13.63"/>
    <col customWidth="1" min="4" max="4" width="10.88"/>
    <col customWidth="1" min="5" max="5" width="21.5"/>
    <col customWidth="1" min="7" max="7" width="9.0"/>
    <col customWidth="1" min="8" max="8" width="8.5"/>
    <col customWidth="1" min="9" max="9" width="10.5"/>
    <col customWidth="1" min="10" max="10" width="2.13"/>
    <col customWidth="1" min="11" max="11" width="16.25"/>
    <col customWidth="1" min="12" max="12" width="9.63"/>
    <col customWidth="1" min="13" max="13" width="11.75"/>
    <col customWidth="1" min="14" max="14" width="10.63"/>
    <col customWidth="1" min="15" max="15" width="4.63"/>
    <col customWidth="1" min="16" max="16" width="13.63"/>
    <col customWidth="1" min="18" max="18" width="14.75"/>
    <col customWidth="1" min="19" max="19" width="14.88"/>
  </cols>
  <sheetData>
    <row r="1">
      <c r="A1" s="4" t="s">
        <v>64</v>
      </c>
      <c r="C1" s="7"/>
      <c r="D1" s="9"/>
      <c r="E1" s="13" t="s">
        <v>5</v>
      </c>
      <c r="F1" s="16"/>
      <c r="G1" s="16"/>
      <c r="H1" s="16"/>
      <c r="I1" s="19"/>
      <c r="J1" s="21"/>
      <c r="K1" s="22" t="s">
        <v>9</v>
      </c>
      <c r="M1" s="22" t="s">
        <v>10</v>
      </c>
      <c r="O1" s="7"/>
      <c r="P1" s="7" t="s">
        <v>11</v>
      </c>
      <c r="Q1" s="7" t="s">
        <v>12</v>
      </c>
      <c r="R1" s="7" t="s">
        <v>13</v>
      </c>
      <c r="S1" s="7" t="s">
        <v>14</v>
      </c>
      <c r="T1" s="7">
        <v>194.81</v>
      </c>
      <c r="U1" s="7">
        <v>21.8</v>
      </c>
      <c r="V1" s="21"/>
    </row>
    <row r="2">
      <c r="A2" s="4" t="s">
        <v>0</v>
      </c>
      <c r="B2" s="4" t="s">
        <v>17</v>
      </c>
      <c r="C2" s="4" t="s">
        <v>18</v>
      </c>
      <c r="D2" s="7"/>
      <c r="E2" s="26" t="s">
        <v>20</v>
      </c>
      <c r="F2" s="28" t="s">
        <v>22</v>
      </c>
      <c r="G2" s="30" t="s">
        <v>23</v>
      </c>
      <c r="H2" s="7" t="s">
        <v>24</v>
      </c>
      <c r="I2" s="31" t="s">
        <v>25</v>
      </c>
      <c r="J2" s="21"/>
      <c r="K2" s="28" t="s">
        <v>20</v>
      </c>
      <c r="L2" s="28" t="s">
        <v>27</v>
      </c>
      <c r="M2" s="7" t="s">
        <v>28</v>
      </c>
      <c r="N2" s="7">
        <v>14.99</v>
      </c>
      <c r="O2" s="4"/>
      <c r="P2" s="156">
        <v>20.55</v>
      </c>
      <c r="Q2" s="28">
        <v>1.79</v>
      </c>
      <c r="R2" s="7">
        <v>21.73</v>
      </c>
      <c r="S2" s="7">
        <v>300.0</v>
      </c>
      <c r="T2" s="7">
        <v>130.0</v>
      </c>
      <c r="U2" s="7">
        <v>359.2</v>
      </c>
      <c r="V2" s="21"/>
    </row>
    <row r="3">
      <c r="A3" s="4">
        <v>2025.0</v>
      </c>
      <c r="B3" s="7">
        <f>-2047.08-52.7</f>
        <v>-2099.78</v>
      </c>
      <c r="C3" s="7"/>
      <c r="D3" s="7"/>
      <c r="E3" s="26" t="s">
        <v>30</v>
      </c>
      <c r="F3" s="39">
        <f t="shared" ref="F3:F24" si="1">G3+I3+H3</f>
        <v>550.93</v>
      </c>
      <c r="G3" s="30"/>
      <c r="H3" s="7"/>
      <c r="I3" s="31">
        <v>550.93</v>
      </c>
      <c r="J3" s="4"/>
      <c r="K3" s="28" t="s">
        <v>31</v>
      </c>
      <c r="L3" s="30">
        <v>29.87</v>
      </c>
      <c r="M3" s="7" t="s">
        <v>33</v>
      </c>
      <c r="N3" s="21">
        <f>IF($A$1="Sep",49.99,0)</f>
        <v>0</v>
      </c>
      <c r="O3" s="21"/>
      <c r="P3" s="156">
        <v>8.01</v>
      </c>
      <c r="Q3" s="28">
        <v>60.0</v>
      </c>
      <c r="R3" s="7">
        <v>300.0</v>
      </c>
      <c r="S3" s="7">
        <v>124.82</v>
      </c>
      <c r="T3" s="7">
        <v>40.0</v>
      </c>
      <c r="U3" s="7">
        <v>1.69</v>
      </c>
      <c r="V3" s="21"/>
    </row>
    <row r="4">
      <c r="A4" s="7" t="s">
        <v>34</v>
      </c>
      <c r="B4" s="7">
        <v>-133.47</v>
      </c>
      <c r="C4" s="21">
        <f>1360.14+50+19.99+202.5</f>
        <v>1632.63</v>
      </c>
      <c r="D4" s="21"/>
      <c r="E4" s="26" t="s">
        <v>38</v>
      </c>
      <c r="F4" s="39">
        <f t="shared" si="1"/>
        <v>242</v>
      </c>
      <c r="G4" s="30"/>
      <c r="H4" s="30"/>
      <c r="I4" s="31">
        <f>IF(OR($A$1="Jul",$A$1="Aug",$A$1="Sep"),0,IF($A$1="Oct",484,242))</f>
        <v>242</v>
      </c>
      <c r="J4" s="7"/>
      <c r="K4" s="5" t="s">
        <v>40</v>
      </c>
      <c r="L4" s="30">
        <v>246.04</v>
      </c>
      <c r="M4" s="7" t="s">
        <v>41</v>
      </c>
      <c r="N4" s="7">
        <v>10.99</v>
      </c>
      <c r="O4" s="21"/>
      <c r="P4" s="156">
        <v>11.0</v>
      </c>
      <c r="Q4" s="7">
        <v>59.9</v>
      </c>
      <c r="R4" s="7">
        <v>30.0</v>
      </c>
      <c r="S4" s="7">
        <v>246.04</v>
      </c>
      <c r="T4" s="7">
        <v>4.65</v>
      </c>
      <c r="U4" s="7"/>
      <c r="V4" s="21"/>
    </row>
    <row r="5">
      <c r="A5" s="7" t="s">
        <v>42</v>
      </c>
      <c r="B5" s="7">
        <v>280.2</v>
      </c>
      <c r="C5" s="7"/>
      <c r="D5" s="21"/>
      <c r="E5" s="26" t="s">
        <v>43</v>
      </c>
      <c r="F5" s="39">
        <f t="shared" si="1"/>
        <v>0</v>
      </c>
      <c r="G5" s="30"/>
      <c r="H5" s="7"/>
      <c r="I5" s="31">
        <f>IF(OR($A$1="Jun",$A$1="Jul",$A$1="Aug"),0,150.93)</f>
        <v>0</v>
      </c>
      <c r="J5" s="4"/>
      <c r="K5" s="22" t="s">
        <v>44</v>
      </c>
      <c r="L5" s="39">
        <v>124.82</v>
      </c>
      <c r="M5" s="7" t="s">
        <v>46</v>
      </c>
      <c r="N5" s="7">
        <v>7.99</v>
      </c>
      <c r="O5" s="21"/>
      <c r="P5" s="156">
        <v>19.49</v>
      </c>
      <c r="Q5" s="7">
        <v>112.97</v>
      </c>
      <c r="R5" s="7">
        <v>29.87</v>
      </c>
      <c r="S5" s="7"/>
      <c r="T5" s="7">
        <v>72.12</v>
      </c>
      <c r="U5" s="7"/>
      <c r="V5" s="21"/>
    </row>
    <row r="6">
      <c r="A6" s="4" t="s">
        <v>47</v>
      </c>
      <c r="B6" s="7">
        <v>-573.43</v>
      </c>
      <c r="C6" s="7">
        <v>100.0</v>
      </c>
      <c r="D6" s="21"/>
      <c r="E6" s="26" t="s">
        <v>48</v>
      </c>
      <c r="F6" s="39">
        <f t="shared" si="1"/>
        <v>0</v>
      </c>
      <c r="G6" s="30">
        <f>IF(OR($A$1="May",$A$1="Jun",$A$1="Jul",$A$1="Aug"),0,42.5)</f>
        <v>0</v>
      </c>
      <c r="H6" s="7"/>
      <c r="I6" s="31"/>
      <c r="J6" s="7"/>
      <c r="K6" s="22" t="s">
        <v>49</v>
      </c>
      <c r="L6" s="39">
        <f>238.4</f>
        <v>238.4</v>
      </c>
      <c r="M6" s="7" t="s">
        <v>50</v>
      </c>
      <c r="N6" s="7">
        <v>16.99</v>
      </c>
      <c r="O6" s="21"/>
      <c r="P6" s="30">
        <v>35.46</v>
      </c>
      <c r="Q6" s="7">
        <v>238.4</v>
      </c>
      <c r="R6" s="7"/>
      <c r="S6" s="21"/>
      <c r="T6" s="7">
        <v>25.19</v>
      </c>
      <c r="U6" s="7"/>
      <c r="V6" s="21"/>
    </row>
    <row r="7">
      <c r="A7" s="7" t="s">
        <v>51</v>
      </c>
      <c r="B7" s="7">
        <v>-779.65</v>
      </c>
      <c r="C7" s="7">
        <f>50+724.6</f>
        <v>774.6</v>
      </c>
      <c r="D7" s="21"/>
      <c r="E7" s="26" t="s">
        <v>52</v>
      </c>
      <c r="F7" s="39">
        <f t="shared" si="1"/>
        <v>30</v>
      </c>
      <c r="G7" s="30">
        <f>IF(OR($A$1="Jul",$A$1="Aug"),0,30)</f>
        <v>30</v>
      </c>
      <c r="H7" s="7"/>
      <c r="I7" s="31"/>
      <c r="J7" s="7"/>
      <c r="K7" s="28" t="s">
        <v>53</v>
      </c>
      <c r="L7" s="28">
        <v>308.96</v>
      </c>
      <c r="M7" s="7" t="s">
        <v>54</v>
      </c>
      <c r="N7" s="7">
        <v>1.79</v>
      </c>
      <c r="O7" s="21"/>
      <c r="P7" s="156">
        <v>185.66</v>
      </c>
      <c r="Q7" s="7">
        <v>16.99</v>
      </c>
      <c r="R7" s="7" t="s">
        <v>56</v>
      </c>
      <c r="S7" s="7" t="s">
        <v>57</v>
      </c>
      <c r="T7" s="7">
        <v>8.25</v>
      </c>
      <c r="U7" s="7"/>
      <c r="V7" s="21"/>
    </row>
    <row r="8">
      <c r="A8" s="7" t="s">
        <v>58</v>
      </c>
      <c r="B8" s="7">
        <v>-125.92</v>
      </c>
      <c r="C8" s="7">
        <v>0.0</v>
      </c>
      <c r="D8" s="21"/>
      <c r="E8" s="26" t="s">
        <v>60</v>
      </c>
      <c r="F8" s="39">
        <f t="shared" si="1"/>
        <v>120</v>
      </c>
      <c r="G8" s="30"/>
      <c r="H8" s="21"/>
      <c r="I8" s="31">
        <f>IF(OR($A$1="Jul",$A$1="Aug",$A$1="Sep"),150,IF(OR($A$1="May",$A$1="Jun",$A$1="Oct",$A$1="Nov"),120,100))</f>
        <v>120</v>
      </c>
      <c r="J8" s="60"/>
      <c r="K8" s="5" t="s">
        <v>141</v>
      </c>
      <c r="L8" s="30">
        <f>IF(OR($A$1="Jan",$A$1="Feb",$A$1="Mar",$A$1="Apr",$A$1="May",$A$1="Jun"),112.97,0)</f>
        <v>112.97</v>
      </c>
      <c r="M8" s="7" t="s">
        <v>62</v>
      </c>
      <c r="N8" s="21">
        <f>IF($A$1="Aug",129.99,0)</f>
        <v>0</v>
      </c>
      <c r="O8" s="21"/>
      <c r="P8" s="156">
        <v>53.51</v>
      </c>
      <c r="Q8" s="7">
        <v>88.47</v>
      </c>
      <c r="R8" s="7">
        <v>30.0</v>
      </c>
      <c r="S8" s="7"/>
      <c r="T8" s="7">
        <v>150.93</v>
      </c>
      <c r="U8" s="7"/>
      <c r="V8" s="21"/>
    </row>
    <row r="9">
      <c r="A9" s="7" t="s">
        <v>64</v>
      </c>
      <c r="B9" s="7">
        <v>-139.27</v>
      </c>
      <c r="C9" s="7">
        <v>150.0</v>
      </c>
      <c r="D9" s="21"/>
      <c r="E9" s="26" t="s">
        <v>65</v>
      </c>
      <c r="F9" s="39">
        <f t="shared" si="1"/>
        <v>90</v>
      </c>
      <c r="G9" s="30"/>
      <c r="H9" s="21"/>
      <c r="I9" s="31">
        <f>IF(OR($A$1="Jun",$A$1="Aug",$A$1="Oct"),90,IF(OR($A$1="Apr",$A$1="Dec"),130,IF($A$1="Feb",200,0)))</f>
        <v>90</v>
      </c>
      <c r="J9" s="60"/>
      <c r="K9" s="64" t="s">
        <v>67</v>
      </c>
      <c r="L9" s="68">
        <f>SUM(L3:L8)</f>
        <v>1061.06</v>
      </c>
      <c r="M9" s="69" t="s">
        <v>68</v>
      </c>
      <c r="N9" s="70">
        <f>SUM(N2:N8)</f>
        <v>52.75</v>
      </c>
      <c r="O9" s="21"/>
      <c r="P9" s="156">
        <v>9.24</v>
      </c>
      <c r="Q9" s="7">
        <v>308.96</v>
      </c>
      <c r="R9" s="7">
        <v>2.0</v>
      </c>
      <c r="S9" s="21"/>
      <c r="T9" s="7">
        <v>38.97</v>
      </c>
      <c r="U9" s="7"/>
      <c r="V9" s="21"/>
    </row>
    <row r="10">
      <c r="A10" s="7" t="s">
        <v>70</v>
      </c>
      <c r="B10" s="21"/>
      <c r="C10" s="21"/>
      <c r="D10" s="21"/>
      <c r="E10" s="72" t="s">
        <v>71</v>
      </c>
      <c r="F10" s="39">
        <f t="shared" si="1"/>
        <v>109</v>
      </c>
      <c r="G10" s="39"/>
      <c r="H10" s="21"/>
      <c r="I10" s="73">
        <f>99+10</f>
        <v>109</v>
      </c>
      <c r="J10" s="75"/>
      <c r="K10" s="5" t="s">
        <v>30</v>
      </c>
      <c r="L10" s="76">
        <f>F3</f>
        <v>550.93</v>
      </c>
      <c r="O10" s="21"/>
      <c r="P10" s="156">
        <v>1.5</v>
      </c>
      <c r="Q10" s="7">
        <v>350.0</v>
      </c>
      <c r="R10" s="7">
        <v>40.0</v>
      </c>
      <c r="S10" s="21"/>
      <c r="T10" s="7">
        <v>1.45</v>
      </c>
      <c r="U10" s="7"/>
      <c r="V10" s="21"/>
    </row>
    <row r="11">
      <c r="A11" s="7" t="s">
        <v>2</v>
      </c>
      <c r="B11" s="21"/>
      <c r="C11" s="21"/>
      <c r="D11" s="7"/>
      <c r="E11" s="26" t="s">
        <v>72</v>
      </c>
      <c r="F11" s="39">
        <f t="shared" si="1"/>
        <v>1061.06</v>
      </c>
      <c r="G11" s="30">
        <f>L3</f>
        <v>29.87</v>
      </c>
      <c r="H11" s="21">
        <f>L4+L5</f>
        <v>370.86</v>
      </c>
      <c r="I11" s="31">
        <f>SUM(L6:L8)</f>
        <v>660.33</v>
      </c>
      <c r="J11" s="28"/>
      <c r="K11" s="64" t="s">
        <v>68</v>
      </c>
      <c r="L11" s="68">
        <f>L9+L10</f>
        <v>1611.99</v>
      </c>
      <c r="O11" s="21"/>
      <c r="P11" s="156">
        <v>251.83</v>
      </c>
      <c r="Q11" s="7">
        <v>14.99</v>
      </c>
      <c r="R11" s="7">
        <v>20.0</v>
      </c>
      <c r="S11" s="21"/>
      <c r="T11" s="7">
        <v>48.88</v>
      </c>
      <c r="U11" s="7"/>
      <c r="V11" s="21"/>
    </row>
    <row r="12">
      <c r="A12" s="7" t="s">
        <v>3</v>
      </c>
      <c r="B12" s="21"/>
      <c r="C12" s="21"/>
      <c r="D12" s="21"/>
      <c r="E12" s="72" t="s">
        <v>75</v>
      </c>
      <c r="F12" s="39">
        <f t="shared" si="1"/>
        <v>0</v>
      </c>
      <c r="G12" s="30"/>
      <c r="H12" s="21"/>
      <c r="I12" s="73">
        <f>IF(OR($A$1="Jan",$A$1="Mar",$A$1="May",$A$1="Jul",$A$1="Sep",$A$1="Nov",),50,0)</f>
        <v>0</v>
      </c>
      <c r="J12" s="75"/>
      <c r="K12" s="81"/>
      <c r="L12" s="82"/>
      <c r="O12" s="21"/>
      <c r="P12" s="156">
        <v>31.8</v>
      </c>
      <c r="Q12" s="7">
        <v>92.5</v>
      </c>
      <c r="R12" s="21"/>
      <c r="S12" s="21"/>
      <c r="T12" s="7">
        <v>12.3</v>
      </c>
      <c r="U12" s="7"/>
      <c r="V12" s="21"/>
    </row>
    <row r="13">
      <c r="A13" s="7" t="s">
        <v>76</v>
      </c>
      <c r="B13" s="7"/>
      <c r="C13" s="21"/>
      <c r="D13" s="21"/>
      <c r="E13" s="72" t="s">
        <v>10</v>
      </c>
      <c r="F13" s="39">
        <f t="shared" si="1"/>
        <v>52.75</v>
      </c>
      <c r="G13" s="30"/>
      <c r="H13" s="7"/>
      <c r="I13" s="73">
        <f>SUM(N2:N8)</f>
        <v>52.75</v>
      </c>
      <c r="J13" s="28"/>
      <c r="O13" s="21"/>
      <c r="P13" s="156">
        <v>166.51</v>
      </c>
      <c r="Q13" s="7">
        <v>98.51</v>
      </c>
      <c r="R13" s="21"/>
      <c r="S13" s="21"/>
      <c r="T13" s="7">
        <v>2.45</v>
      </c>
      <c r="U13" s="7"/>
      <c r="V13" s="21"/>
    </row>
    <row r="14">
      <c r="A14" s="4" t="s">
        <v>79</v>
      </c>
      <c r="B14" s="21"/>
      <c r="C14" s="21"/>
      <c r="D14" s="7"/>
      <c r="E14" s="87" t="s">
        <v>81</v>
      </c>
      <c r="F14" s="39">
        <f t="shared" si="1"/>
        <v>60</v>
      </c>
      <c r="G14" s="21"/>
      <c r="H14" s="21"/>
      <c r="I14" s="89">
        <v>60.0</v>
      </c>
      <c r="J14" s="28"/>
      <c r="K14" s="5" t="s">
        <v>82</v>
      </c>
      <c r="M14" s="5"/>
      <c r="N14" s="5"/>
      <c r="O14" s="21"/>
      <c r="P14" s="7">
        <v>17.65</v>
      </c>
      <c r="Q14" s="7">
        <v>98.51</v>
      </c>
      <c r="R14" s="21"/>
      <c r="S14" s="21"/>
      <c r="T14" s="7">
        <v>130.41</v>
      </c>
      <c r="U14" s="21"/>
      <c r="V14" s="21"/>
    </row>
    <row r="15">
      <c r="A15" s="7" t="s">
        <v>83</v>
      </c>
      <c r="B15" s="21"/>
      <c r="C15" s="21"/>
      <c r="D15" s="21"/>
      <c r="E15" s="26" t="s">
        <v>84</v>
      </c>
      <c r="F15" s="39">
        <f t="shared" si="1"/>
        <v>0</v>
      </c>
      <c r="G15" s="30"/>
      <c r="H15" s="7"/>
      <c r="I15" s="31">
        <f>L20+L19</f>
        <v>0</v>
      </c>
      <c r="J15" s="4"/>
      <c r="K15" s="5" t="s">
        <v>86</v>
      </c>
      <c r="L15" s="21">
        <f>IF(OR($A$1="Feb",$A$1="May",$A$1="Aug",$A$1="Nov"),98.1,0)</f>
        <v>0</v>
      </c>
      <c r="M15" s="5"/>
      <c r="N15" s="5"/>
      <c r="O15" s="21"/>
      <c r="P15" s="7">
        <v>26.26</v>
      </c>
      <c r="Q15" s="7">
        <v>146.3</v>
      </c>
      <c r="R15" s="21"/>
      <c r="S15" s="21"/>
      <c r="T15" s="7">
        <v>18.8</v>
      </c>
      <c r="U15" s="21"/>
      <c r="V15" s="21"/>
    </row>
    <row r="16">
      <c r="A16" s="7" t="s">
        <v>68</v>
      </c>
      <c r="B16" s="7">
        <f>SUM(B3:B15)+C16</f>
        <v>-914.09</v>
      </c>
      <c r="C16" s="7">
        <f>SUM(C3:C15)</f>
        <v>2657.23</v>
      </c>
      <c r="D16" s="7"/>
      <c r="E16" s="72" t="s">
        <v>89</v>
      </c>
      <c r="F16" s="39">
        <f t="shared" si="1"/>
        <v>146.9</v>
      </c>
      <c r="G16" s="30"/>
      <c r="H16" s="7"/>
      <c r="I16" s="73">
        <f>IF($A$1="Feb",60.97,59.9) + 87</f>
        <v>146.9</v>
      </c>
      <c r="J16" s="4"/>
      <c r="K16" s="5" t="s">
        <v>63</v>
      </c>
      <c r="L16" s="21">
        <f>IF(OR($A$1="Feb",$A$1="May",$A$1="Aug",$A$1="Nov"),(39.15+82.31),0)</f>
        <v>0</v>
      </c>
      <c r="M16" s="5"/>
      <c r="N16" s="5"/>
      <c r="O16" s="21"/>
      <c r="P16" s="7">
        <v>2.05</v>
      </c>
      <c r="Q16" s="7">
        <v>47.67</v>
      </c>
      <c r="R16" s="21"/>
      <c r="S16" s="21"/>
      <c r="T16" s="21"/>
      <c r="U16" s="21"/>
      <c r="V16" s="21"/>
    </row>
    <row r="17">
      <c r="A17" s="21"/>
      <c r="B17" s="97"/>
      <c r="C17" s="97"/>
      <c r="D17" s="7"/>
      <c r="E17" s="87" t="s">
        <v>86</v>
      </c>
      <c r="F17" s="39">
        <f t="shared" si="1"/>
        <v>0</v>
      </c>
      <c r="G17" s="76"/>
      <c r="H17" s="7"/>
      <c r="I17" s="31">
        <f t="shared" ref="I17:I20" si="2">L15</f>
        <v>0</v>
      </c>
      <c r="J17" s="28"/>
      <c r="K17" s="5" t="s">
        <v>92</v>
      </c>
      <c r="L17" s="7">
        <f>IF($A$1="May",155.05,0)</f>
        <v>0</v>
      </c>
      <c r="M17" s="5"/>
      <c r="N17" s="98"/>
      <c r="O17" s="21"/>
      <c r="P17" s="7">
        <v>50.76</v>
      </c>
      <c r="Q17" s="7">
        <v>7.99</v>
      </c>
      <c r="R17" s="21"/>
      <c r="S17" s="21"/>
      <c r="T17" s="21"/>
      <c r="U17" s="21"/>
      <c r="V17" s="21"/>
    </row>
    <row r="18">
      <c r="A18" s="21"/>
      <c r="B18" s="21"/>
      <c r="C18" s="21"/>
      <c r="D18" s="7"/>
      <c r="E18" s="87" t="s">
        <v>63</v>
      </c>
      <c r="F18" s="39">
        <f t="shared" si="1"/>
        <v>0</v>
      </c>
      <c r="G18" s="7"/>
      <c r="H18" s="30"/>
      <c r="I18" s="31">
        <f t="shared" si="2"/>
        <v>0</v>
      </c>
      <c r="J18" s="4"/>
      <c r="K18" s="5" t="s">
        <v>93</v>
      </c>
      <c r="L18" s="7">
        <f>IF($A$1="May",80,0)</f>
        <v>0</v>
      </c>
      <c r="M18" s="5"/>
      <c r="N18" s="98"/>
      <c r="O18" s="21"/>
      <c r="P18" s="156">
        <v>1.45</v>
      </c>
      <c r="Q18" s="7">
        <v>10.99</v>
      </c>
      <c r="R18" s="21"/>
      <c r="S18" s="21"/>
      <c r="T18" s="21"/>
      <c r="U18" s="21"/>
      <c r="V18" s="21"/>
    </row>
    <row r="19">
      <c r="A19" s="21"/>
      <c r="B19" s="21"/>
      <c r="C19" s="21"/>
      <c r="D19" s="21"/>
      <c r="E19" s="87" t="s">
        <v>92</v>
      </c>
      <c r="F19" s="39">
        <f t="shared" si="1"/>
        <v>0</v>
      </c>
      <c r="G19" s="7"/>
      <c r="H19" s="21"/>
      <c r="I19" s="101">
        <f t="shared" si="2"/>
        <v>0</v>
      </c>
      <c r="J19" s="28"/>
      <c r="K19" s="5" t="s">
        <v>95</v>
      </c>
      <c r="L19" s="7">
        <f>IF($A$1="Sep",449.58,0)</f>
        <v>0</v>
      </c>
      <c r="M19" s="5"/>
      <c r="N19" s="5"/>
      <c r="O19" s="21"/>
      <c r="P19" s="156">
        <v>4.8</v>
      </c>
      <c r="Q19" s="7">
        <v>83.07</v>
      </c>
      <c r="R19" s="21"/>
      <c r="S19" s="21"/>
      <c r="T19" s="21"/>
      <c r="U19" s="21"/>
      <c r="V19" s="21"/>
    </row>
    <row r="20">
      <c r="A20" s="21"/>
      <c r="B20" s="21"/>
      <c r="C20" s="21"/>
      <c r="D20" s="21"/>
      <c r="E20" s="87" t="s">
        <v>96</v>
      </c>
      <c r="F20" s="39">
        <f t="shared" si="1"/>
        <v>0</v>
      </c>
      <c r="G20" s="76"/>
      <c r="H20" s="76"/>
      <c r="I20" s="31">
        <f t="shared" si="2"/>
        <v>0</v>
      </c>
      <c r="J20" s="4"/>
      <c r="K20" s="5" t="s">
        <v>97</v>
      </c>
      <c r="L20" s="7">
        <f>IF($A$1="Jan",126.66,IF(OR($A$1="Feb",$A$1="Apr"),121.82,0))</f>
        <v>0</v>
      </c>
      <c r="O20" s="21"/>
      <c r="P20" s="156">
        <v>50.11</v>
      </c>
      <c r="Q20" s="7">
        <v>10.0</v>
      </c>
      <c r="R20" s="21"/>
      <c r="S20" s="21"/>
      <c r="T20" s="21"/>
      <c r="U20" s="21"/>
      <c r="V20" s="21"/>
    </row>
    <row r="21">
      <c r="A21" s="4"/>
      <c r="B21" s="21"/>
      <c r="C21" s="7"/>
      <c r="D21" s="21"/>
      <c r="E21" s="87" t="s">
        <v>99</v>
      </c>
      <c r="F21" s="39">
        <f t="shared" si="1"/>
        <v>0</v>
      </c>
      <c r="G21" s="30"/>
      <c r="H21" s="30"/>
      <c r="I21" s="89">
        <f>IF($A$1="Jul",730,0)</f>
        <v>0</v>
      </c>
      <c r="J21" s="97"/>
      <c r="K21" s="97"/>
      <c r="L21" s="97"/>
      <c r="M21" s="97"/>
      <c r="N21" s="97"/>
      <c r="O21" s="21"/>
      <c r="P21" s="156">
        <v>11.15</v>
      </c>
      <c r="Q21" s="7">
        <v>550.93</v>
      </c>
      <c r="R21" s="21"/>
      <c r="S21" s="21"/>
      <c r="T21" s="21"/>
      <c r="U21" s="21"/>
      <c r="V21" s="21"/>
    </row>
    <row r="22">
      <c r="A22" s="21"/>
      <c r="B22" s="7"/>
      <c r="C22" s="7"/>
      <c r="D22" s="21"/>
      <c r="E22" s="87" t="s">
        <v>101</v>
      </c>
      <c r="F22" s="39">
        <f t="shared" si="1"/>
        <v>351.73</v>
      </c>
      <c r="G22" s="7">
        <v>21.73</v>
      </c>
      <c r="H22" s="7"/>
      <c r="I22" s="89">
        <f>IF($A$1="Jun",330,0)</f>
        <v>330</v>
      </c>
      <c r="J22" s="60"/>
      <c r="K22" s="97"/>
      <c r="L22" s="97"/>
      <c r="M22" s="97"/>
      <c r="N22" s="97"/>
      <c r="O22" s="21"/>
      <c r="P22" s="7">
        <v>36.34</v>
      </c>
      <c r="Q22" s="7"/>
      <c r="R22" s="21"/>
      <c r="S22" s="21"/>
      <c r="T22" s="21"/>
      <c r="U22" s="21"/>
      <c r="V22" s="21"/>
    </row>
    <row r="23">
      <c r="A23" s="21"/>
      <c r="B23" s="7"/>
      <c r="C23" s="7"/>
      <c r="D23" s="21"/>
      <c r="E23" s="87" t="s">
        <v>102</v>
      </c>
      <c r="F23" s="39">
        <f t="shared" si="1"/>
        <v>600</v>
      </c>
      <c r="G23" s="7">
        <v>300.0</v>
      </c>
      <c r="H23" s="7">
        <v>300.0</v>
      </c>
      <c r="I23" s="89">
        <v>0.0</v>
      </c>
      <c r="J23" s="60"/>
      <c r="K23" s="97"/>
      <c r="L23" s="97"/>
      <c r="M23" s="97"/>
      <c r="N23" s="97"/>
      <c r="O23" s="21"/>
      <c r="P23" s="7">
        <v>0.75</v>
      </c>
      <c r="Q23" s="7"/>
      <c r="R23" s="21"/>
      <c r="S23" s="21"/>
      <c r="T23" s="21"/>
      <c r="U23" s="21"/>
      <c r="V23" s="21"/>
    </row>
    <row r="24">
      <c r="A24" s="21"/>
      <c r="B24" s="7"/>
      <c r="C24" s="21"/>
      <c r="D24" s="21"/>
      <c r="E24" s="108" t="s">
        <v>103</v>
      </c>
      <c r="F24" s="109">
        <f t="shared" si="1"/>
        <v>200</v>
      </c>
      <c r="G24" s="110"/>
      <c r="H24" s="110"/>
      <c r="I24" s="112">
        <f>IF(OR($A$1="Jan",$A$1="Mar",$A$1="May",$A$1="Jul",$A$1="Sep",$A$1="Nov"),100,IF(OR($A$1="Apr",$A$1="Jun",$A$1="Aug",$A$1="Oct",$A$1="Dec"),200,IF(OR($A$1="Feb"),300,0)))</f>
        <v>200</v>
      </c>
      <c r="J24" s="4"/>
      <c r="K24" s="5" t="s">
        <v>104</v>
      </c>
      <c r="L24" s="97"/>
      <c r="M24" s="97"/>
      <c r="N24" s="97"/>
      <c r="O24" s="97"/>
      <c r="P24" s="7">
        <v>167.46</v>
      </c>
      <c r="Q24" s="7"/>
      <c r="R24" s="21"/>
      <c r="S24" s="21"/>
      <c r="T24" s="21"/>
      <c r="U24" s="21"/>
      <c r="V24" s="21"/>
    </row>
    <row r="25">
      <c r="A25" s="113"/>
      <c r="B25" s="7"/>
      <c r="C25" s="21"/>
      <c r="D25" s="21"/>
      <c r="E25" s="114" t="s">
        <v>105</v>
      </c>
      <c r="F25" s="115">
        <f t="shared" ref="F25:I25" si="3">SUM(F3:F24)</f>
        <v>3614.37</v>
      </c>
      <c r="G25" s="115">
        <f t="shared" si="3"/>
        <v>381.6</v>
      </c>
      <c r="H25" s="115">
        <f t="shared" si="3"/>
        <v>670.86</v>
      </c>
      <c r="I25" s="116">
        <f t="shared" si="3"/>
        <v>2561.91</v>
      </c>
      <c r="J25" s="4"/>
      <c r="K25" s="118"/>
      <c r="L25" s="119"/>
      <c r="M25" s="118"/>
      <c r="N25" s="120"/>
      <c r="O25" s="97"/>
      <c r="P25" s="7"/>
      <c r="Q25" s="7"/>
      <c r="R25" s="21"/>
      <c r="S25" s="21"/>
      <c r="T25" s="21"/>
      <c r="U25" s="21"/>
      <c r="V25" s="21"/>
    </row>
    <row r="26">
      <c r="A26" s="113"/>
      <c r="B26" s="21"/>
      <c r="C26" s="21"/>
      <c r="D26" s="21"/>
      <c r="E26" s="121" t="s">
        <v>11</v>
      </c>
      <c r="F26" s="122">
        <f>G26+I26+H26</f>
        <v>953.1</v>
      </c>
      <c r="G26" s="123">
        <v>0.4</v>
      </c>
      <c r="H26" s="123">
        <v>0.3</v>
      </c>
      <c r="I26" s="124">
        <v>952.4</v>
      </c>
      <c r="J26" s="21"/>
      <c r="K26" s="21"/>
      <c r="L26" s="21"/>
      <c r="M26" s="97"/>
      <c r="N26" s="97"/>
      <c r="O26" s="97"/>
      <c r="P26" s="30"/>
      <c r="Q26" s="21"/>
      <c r="R26" s="21"/>
      <c r="S26" s="21"/>
      <c r="T26" s="21"/>
      <c r="U26" s="21"/>
      <c r="V26" s="21"/>
    </row>
    <row r="27">
      <c r="A27" s="21"/>
      <c r="B27" s="21"/>
      <c r="C27" s="21"/>
      <c r="D27" s="21"/>
      <c r="E27" s="125" t="s">
        <v>68</v>
      </c>
      <c r="F27" s="126">
        <f t="shared" ref="F27:I27" si="4">SUM(F25:F26)</f>
        <v>4567.47</v>
      </c>
      <c r="G27" s="126">
        <f t="shared" si="4"/>
        <v>382</v>
      </c>
      <c r="H27" s="126">
        <f t="shared" si="4"/>
        <v>671.16</v>
      </c>
      <c r="I27" s="127">
        <f t="shared" si="4"/>
        <v>3514.31</v>
      </c>
      <c r="J27" s="97"/>
      <c r="K27" s="97"/>
      <c r="L27" s="21"/>
      <c r="M27" s="97"/>
      <c r="N27" s="97"/>
      <c r="O27" s="97"/>
      <c r="P27" s="7"/>
      <c r="Q27" s="21"/>
      <c r="R27" s="21"/>
      <c r="S27" s="21"/>
      <c r="T27" s="21"/>
      <c r="U27" s="21"/>
      <c r="V27" s="21"/>
    </row>
    <row r="28">
      <c r="A28" s="21"/>
      <c r="B28" s="21"/>
      <c r="C28" s="21"/>
      <c r="D28" s="21"/>
      <c r="E28" s="114" t="s">
        <v>106</v>
      </c>
      <c r="F28" s="115">
        <f t="shared" ref="F28:F29" si="6">G28+H28+I28</f>
        <v>3451.4</v>
      </c>
      <c r="G28" s="115">
        <f t="shared" ref="G28:H28" si="5">SUM(R2:R6)</f>
        <v>381.6</v>
      </c>
      <c r="H28" s="115">
        <f t="shared" si="5"/>
        <v>670.86</v>
      </c>
      <c r="I28" s="116">
        <f>SUM(Q2:Q31)</f>
        <v>2398.94</v>
      </c>
      <c r="J28" s="97"/>
      <c r="K28" s="4"/>
      <c r="L28" s="21"/>
      <c r="M28" s="4"/>
      <c r="N28" s="4"/>
      <c r="O28" s="4"/>
      <c r="P28" s="7"/>
      <c r="Q28" s="21"/>
      <c r="R28" s="21"/>
      <c r="S28" s="21"/>
      <c r="T28" s="21"/>
      <c r="U28" s="21"/>
      <c r="V28" s="21"/>
    </row>
    <row r="29">
      <c r="A29" s="97"/>
      <c r="B29" s="21"/>
      <c r="C29" s="21"/>
      <c r="D29" s="21"/>
      <c r="E29" s="129" t="s">
        <v>107</v>
      </c>
      <c r="F29" s="130">
        <f t="shared" si="6"/>
        <v>1255.34</v>
      </c>
      <c r="G29" s="131">
        <f t="shared" ref="G29:H29" si="7">SUM(R8:R20)</f>
        <v>92</v>
      </c>
      <c r="H29" s="131">
        <f t="shared" si="7"/>
        <v>0</v>
      </c>
      <c r="I29" s="132">
        <f>SUM(P2:P51)</f>
        <v>1163.34</v>
      </c>
      <c r="J29" s="97"/>
      <c r="K29" s="4"/>
      <c r="L29" s="21"/>
      <c r="M29" s="4"/>
      <c r="N29" s="4"/>
      <c r="O29" s="4"/>
      <c r="P29" s="7"/>
      <c r="Q29" s="21"/>
      <c r="R29" s="21"/>
      <c r="S29" s="21"/>
      <c r="T29" s="21"/>
      <c r="U29" s="21"/>
      <c r="V29" s="21"/>
    </row>
    <row r="30">
      <c r="A30" s="97"/>
      <c r="B30" s="7"/>
      <c r="C30" s="21"/>
      <c r="D30" s="21"/>
      <c r="E30" s="133" t="s">
        <v>108</v>
      </c>
      <c r="F30" s="134">
        <f t="shared" ref="F30:I30" si="8">SUM(F28:F29)</f>
        <v>4706.74</v>
      </c>
      <c r="G30" s="134">
        <f t="shared" si="8"/>
        <v>473.6</v>
      </c>
      <c r="H30" s="134">
        <f t="shared" si="8"/>
        <v>670.86</v>
      </c>
      <c r="I30" s="135">
        <f t="shared" si="8"/>
        <v>3562.28</v>
      </c>
      <c r="J30" s="97"/>
      <c r="K30" s="4"/>
      <c r="L30" s="7"/>
      <c r="M30" s="4"/>
      <c r="N30" s="4"/>
      <c r="O30" s="4"/>
      <c r="P30" s="7"/>
      <c r="Q30" s="21"/>
      <c r="R30" s="21"/>
      <c r="S30" s="21"/>
      <c r="T30" s="21"/>
      <c r="U30" s="21"/>
      <c r="V30" s="21"/>
    </row>
    <row r="31">
      <c r="A31" s="21"/>
      <c r="B31" s="21"/>
      <c r="C31" s="21"/>
      <c r="D31" s="7"/>
      <c r="E31" s="114" t="s">
        <v>111</v>
      </c>
      <c r="F31" s="115">
        <f t="shared" ref="F31:F32" si="10">G31+H31+I31</f>
        <v>162.97</v>
      </c>
      <c r="G31" s="115">
        <f t="shared" ref="G31:I31" si="9">G25-G28</f>
        <v>0</v>
      </c>
      <c r="H31" s="115">
        <f t="shared" si="9"/>
        <v>0</v>
      </c>
      <c r="I31" s="116">
        <f t="shared" si="9"/>
        <v>162.97</v>
      </c>
      <c r="J31" s="97"/>
      <c r="K31" s="4"/>
      <c r="L31" s="7"/>
      <c r="M31" s="4"/>
      <c r="N31" s="107"/>
      <c r="O31" s="107"/>
      <c r="P31" s="7"/>
      <c r="Q31" s="21"/>
      <c r="R31" s="21"/>
      <c r="S31" s="21"/>
      <c r="T31" s="21"/>
      <c r="U31" s="21"/>
      <c r="V31" s="21"/>
    </row>
    <row r="32">
      <c r="A32" s="21"/>
      <c r="B32" s="137"/>
      <c r="C32" s="137"/>
      <c r="D32" s="97"/>
      <c r="E32" s="129" t="s">
        <v>112</v>
      </c>
      <c r="F32" s="130">
        <f t="shared" si="10"/>
        <v>-302.24</v>
      </c>
      <c r="G32" s="131">
        <f t="shared" ref="G32:I32" si="11">G26-G29</f>
        <v>-91.6</v>
      </c>
      <c r="H32" s="131">
        <f t="shared" si="11"/>
        <v>0.3</v>
      </c>
      <c r="I32" s="132">
        <f t="shared" si="11"/>
        <v>-210.94</v>
      </c>
      <c r="J32" s="97"/>
      <c r="K32" s="4"/>
      <c r="L32" s="7"/>
      <c r="M32" s="4"/>
      <c r="N32" s="107"/>
      <c r="O32" s="107"/>
      <c r="P32" s="7"/>
      <c r="Q32" s="21"/>
      <c r="R32" s="21"/>
      <c r="S32" s="21"/>
      <c r="T32" s="21"/>
      <c r="U32" s="21"/>
      <c r="V32" s="21"/>
    </row>
    <row r="33">
      <c r="A33" s="21"/>
      <c r="B33" s="21"/>
      <c r="C33" s="21"/>
      <c r="D33" s="97"/>
      <c r="E33" s="133" t="s">
        <v>68</v>
      </c>
      <c r="F33" s="134">
        <f t="shared" ref="F33:I33" si="12">SUM(F31:F32)</f>
        <v>-139.27</v>
      </c>
      <c r="G33" s="134">
        <f t="shared" si="12"/>
        <v>-91.6</v>
      </c>
      <c r="H33" s="134">
        <f t="shared" si="12"/>
        <v>0.3</v>
      </c>
      <c r="I33" s="135">
        <f t="shared" si="12"/>
        <v>-47.97</v>
      </c>
      <c r="J33" s="97"/>
      <c r="K33" s="4"/>
      <c r="L33" s="7"/>
      <c r="M33" s="4"/>
      <c r="N33" s="4"/>
      <c r="O33" s="4"/>
      <c r="P33" s="7"/>
      <c r="Q33" s="21"/>
      <c r="R33" s="21"/>
      <c r="S33" s="21"/>
      <c r="T33" s="21"/>
      <c r="U33" s="21"/>
      <c r="V33" s="21"/>
    </row>
    <row r="34">
      <c r="A34" s="21"/>
      <c r="B34" s="21"/>
      <c r="C34" s="21"/>
      <c r="D34" s="21"/>
      <c r="E34" s="4" t="s">
        <v>115</v>
      </c>
      <c r="F34" s="21">
        <f>G34+I34+H34</f>
        <v>3792.65</v>
      </c>
      <c r="G34" s="7">
        <v>452.53</v>
      </c>
      <c r="H34" s="7">
        <v>433.9</v>
      </c>
      <c r="I34" s="7">
        <f>2756.22+150</f>
        <v>2906.22</v>
      </c>
      <c r="J34" s="97"/>
      <c r="K34" s="97"/>
      <c r="L34" s="21"/>
      <c r="M34" s="97"/>
      <c r="N34" s="97"/>
      <c r="O34" s="21"/>
      <c r="P34" s="7"/>
      <c r="Q34" s="21"/>
      <c r="R34" s="21"/>
      <c r="S34" s="21"/>
      <c r="T34" s="21"/>
      <c r="U34" s="21"/>
      <c r="V34" s="21"/>
    </row>
    <row r="35">
      <c r="A35" s="21"/>
      <c r="B35" s="21"/>
      <c r="C35" s="21"/>
      <c r="D35" s="21"/>
      <c r="E35" s="4" t="s">
        <v>116</v>
      </c>
      <c r="F35" s="21">
        <f t="shared" ref="F35:I35" si="13">F34-F27</f>
        <v>-774.82</v>
      </c>
      <c r="G35" s="7">
        <f t="shared" si="13"/>
        <v>70.53</v>
      </c>
      <c r="H35" s="7">
        <f t="shared" si="13"/>
        <v>-237.26</v>
      </c>
      <c r="I35" s="7">
        <f t="shared" si="13"/>
        <v>-608.09</v>
      </c>
      <c r="J35" s="97"/>
      <c r="K35" s="97"/>
      <c r="L35" s="21"/>
      <c r="M35" s="7"/>
      <c r="N35" s="21"/>
      <c r="O35" s="21"/>
      <c r="P35" s="7"/>
      <c r="Q35" s="21"/>
      <c r="R35" s="21"/>
      <c r="S35" s="21"/>
      <c r="T35" s="21"/>
      <c r="U35" s="21"/>
      <c r="V35" s="21"/>
    </row>
    <row r="36">
      <c r="A36" s="21"/>
      <c r="B36" s="21"/>
      <c r="C36" s="21"/>
      <c r="D36" s="21"/>
      <c r="E36" s="4" t="s">
        <v>117</v>
      </c>
      <c r="F36" s="21">
        <f t="shared" ref="F36:I36" si="14">F34-F30</f>
        <v>-914.09</v>
      </c>
      <c r="G36" s="21">
        <f t="shared" si="14"/>
        <v>-21.07</v>
      </c>
      <c r="H36" s="21">
        <f t="shared" si="14"/>
        <v>-236.96</v>
      </c>
      <c r="I36" s="21">
        <f t="shared" si="14"/>
        <v>-656.06</v>
      </c>
      <c r="J36" s="97"/>
      <c r="K36" s="97"/>
      <c r="L36" s="21"/>
      <c r="M36" s="21"/>
      <c r="N36" s="21"/>
      <c r="O36" s="21"/>
      <c r="P36" s="7"/>
      <c r="Q36" s="21"/>
      <c r="R36" s="21"/>
      <c r="S36" s="21"/>
      <c r="T36" s="21"/>
      <c r="U36" s="21"/>
      <c r="V36" s="21"/>
    </row>
    <row r="37">
      <c r="A37" s="21"/>
      <c r="B37" s="21"/>
      <c r="C37" s="21"/>
      <c r="D37" s="21"/>
      <c r="E37" s="97"/>
      <c r="F37" s="97"/>
      <c r="G37" s="97"/>
      <c r="H37" s="60"/>
      <c r="I37" s="97"/>
      <c r="J37" s="97"/>
      <c r="K37" s="97"/>
      <c r="L37" s="21"/>
      <c r="M37" s="21"/>
      <c r="N37" s="21"/>
      <c r="O37" s="21"/>
      <c r="P37" s="7"/>
      <c r="Q37" s="21"/>
      <c r="R37" s="21"/>
      <c r="S37" s="21"/>
      <c r="T37" s="21"/>
      <c r="U37" s="21"/>
      <c r="V37" s="21"/>
    </row>
    <row r="38">
      <c r="A38" s="21"/>
      <c r="B38" s="21"/>
      <c r="C38" s="21"/>
      <c r="D38" s="21"/>
      <c r="E38" s="97"/>
      <c r="F38" s="97"/>
      <c r="G38" s="97"/>
      <c r="H38" s="7"/>
      <c r="I38" s="97"/>
      <c r="J38" s="21"/>
      <c r="K38" s="21"/>
      <c r="L38" s="21"/>
      <c r="M38" s="21"/>
      <c r="N38" s="21"/>
      <c r="O38" s="21"/>
      <c r="P38" s="7"/>
      <c r="Q38" s="21"/>
      <c r="R38" s="21"/>
      <c r="S38" s="21"/>
      <c r="T38" s="21"/>
      <c r="U38" s="21"/>
      <c r="V38" s="21"/>
    </row>
    <row r="39">
      <c r="A39" s="21"/>
      <c r="B39" s="21"/>
      <c r="C39" s="21"/>
      <c r="D39" s="21"/>
      <c r="E39" s="97"/>
      <c r="F39" s="97"/>
      <c r="G39" s="97"/>
      <c r="H39" s="21"/>
      <c r="I39" s="97"/>
      <c r="J39" s="21"/>
      <c r="K39" s="21"/>
      <c r="L39" s="21"/>
      <c r="M39" s="21"/>
      <c r="N39" s="21"/>
      <c r="O39" s="21"/>
      <c r="P39" s="7"/>
      <c r="Q39" s="21"/>
      <c r="R39" s="21"/>
      <c r="S39" s="21"/>
      <c r="T39" s="21"/>
      <c r="U39" s="21"/>
      <c r="V39" s="21"/>
    </row>
    <row r="40">
      <c r="A40" s="21"/>
      <c r="B40" s="21"/>
      <c r="C40" s="21"/>
      <c r="D40" s="21"/>
      <c r="E40" s="97"/>
      <c r="F40" s="97"/>
      <c r="G40" s="97"/>
      <c r="H40" s="21"/>
      <c r="I40" s="97"/>
      <c r="J40" s="21"/>
      <c r="K40" s="21"/>
      <c r="L40" s="21"/>
      <c r="M40" s="21"/>
      <c r="N40" s="21"/>
      <c r="O40" s="21"/>
      <c r="P40" s="7"/>
      <c r="Q40" s="21"/>
      <c r="R40" s="21"/>
      <c r="S40" s="21"/>
      <c r="T40" s="21"/>
      <c r="U40" s="21"/>
      <c r="V40" s="21"/>
    </row>
    <row r="41">
      <c r="A41" s="21"/>
      <c r="B41" s="21"/>
      <c r="C41" s="21"/>
      <c r="D41" s="21"/>
      <c r="E41" s="97"/>
      <c r="F41" s="97"/>
      <c r="G41" s="97"/>
      <c r="H41" s="21"/>
      <c r="I41" s="97"/>
      <c r="J41" s="21"/>
      <c r="K41" s="21"/>
      <c r="L41" s="21"/>
      <c r="M41" s="21"/>
      <c r="N41" s="21"/>
      <c r="O41" s="21"/>
      <c r="P41" s="7"/>
      <c r="Q41" s="97"/>
      <c r="R41" s="21"/>
      <c r="S41" s="21"/>
      <c r="T41" s="21"/>
      <c r="U41" s="21"/>
      <c r="V41" s="21"/>
    </row>
    <row r="42">
      <c r="A42" s="21"/>
      <c r="B42" s="21"/>
      <c r="C42" s="21"/>
      <c r="D42" s="21"/>
      <c r="E42" s="136"/>
      <c r="F42" s="136"/>
      <c r="G42" s="21"/>
      <c r="H42" s="21"/>
      <c r="I42" s="21"/>
      <c r="J42" s="21"/>
      <c r="K42" s="21"/>
      <c r="L42" s="21"/>
      <c r="M42" s="21"/>
      <c r="N42" s="21"/>
      <c r="O42" s="21"/>
      <c r="P42" s="7"/>
      <c r="Q42" s="97"/>
      <c r="R42" s="21"/>
      <c r="S42" s="21"/>
      <c r="T42" s="21"/>
      <c r="U42" s="21"/>
      <c r="V42" s="21"/>
    </row>
    <row r="43">
      <c r="A43" s="21"/>
      <c r="B43" s="21"/>
      <c r="C43" s="21"/>
      <c r="D43" s="21"/>
      <c r="E43" s="136"/>
      <c r="F43" s="136"/>
      <c r="G43" s="21"/>
      <c r="H43" s="21"/>
      <c r="I43" s="21"/>
      <c r="J43" s="21"/>
      <c r="K43" s="21"/>
      <c r="L43" s="21"/>
      <c r="M43" s="21"/>
      <c r="N43" s="21"/>
      <c r="O43" s="21"/>
      <c r="P43" s="7"/>
      <c r="Q43" s="97"/>
      <c r="R43" s="21"/>
      <c r="S43" s="21"/>
      <c r="T43" s="21"/>
      <c r="U43" s="21"/>
      <c r="V43" s="21"/>
    </row>
    <row r="44">
      <c r="A44" s="21"/>
      <c r="B44" s="21"/>
      <c r="C44" s="21"/>
      <c r="D44" s="21"/>
      <c r="E44" s="136"/>
      <c r="F44" s="136"/>
      <c r="G44" s="21"/>
      <c r="H44" s="21"/>
      <c r="I44" s="21"/>
      <c r="J44" s="21"/>
      <c r="K44" s="21"/>
      <c r="L44" s="21"/>
      <c r="M44" s="21"/>
      <c r="N44" s="21"/>
      <c r="O44" s="21"/>
      <c r="P44" s="7"/>
      <c r="Q44" s="97"/>
      <c r="R44" s="21"/>
      <c r="S44" s="21"/>
      <c r="T44" s="21"/>
      <c r="U44" s="21"/>
      <c r="V44" s="21"/>
    </row>
    <row r="45">
      <c r="A45" s="21"/>
      <c r="B45" s="21"/>
      <c r="C45" s="21"/>
      <c r="D45" s="21"/>
      <c r="E45" s="136"/>
      <c r="F45" s="136"/>
      <c r="G45" s="21"/>
      <c r="H45" s="21"/>
      <c r="I45" s="21"/>
      <c r="J45" s="21"/>
      <c r="K45" s="21"/>
      <c r="L45" s="21"/>
      <c r="M45" s="21"/>
      <c r="N45" s="21"/>
      <c r="O45" s="21"/>
      <c r="P45" s="7"/>
      <c r="Q45" s="97"/>
      <c r="R45" s="21"/>
      <c r="S45" s="21"/>
      <c r="T45" s="21"/>
      <c r="U45" s="21"/>
      <c r="V45" s="21"/>
    </row>
    <row r="46">
      <c r="A46" s="21"/>
      <c r="B46" s="21"/>
      <c r="C46" s="21"/>
      <c r="D46" s="21"/>
      <c r="E46" s="136"/>
      <c r="F46" s="136"/>
      <c r="G46" s="21"/>
      <c r="H46" s="21"/>
      <c r="I46" s="21"/>
      <c r="J46" s="21"/>
      <c r="K46" s="21"/>
      <c r="L46" s="21"/>
      <c r="M46" s="21"/>
      <c r="N46" s="21"/>
      <c r="O46" s="21"/>
      <c r="P46" s="7"/>
      <c r="Q46" s="97"/>
      <c r="R46" s="21"/>
      <c r="S46" s="21"/>
      <c r="T46" s="21"/>
      <c r="U46" s="21"/>
      <c r="V46" s="21"/>
    </row>
    <row r="47">
      <c r="A47" s="21"/>
      <c r="B47" s="21"/>
      <c r="C47" s="21"/>
      <c r="D47" s="21"/>
      <c r="E47" s="136"/>
      <c r="F47" s="136"/>
      <c r="G47" s="21"/>
      <c r="H47" s="21"/>
      <c r="I47" s="21"/>
      <c r="J47" s="21"/>
      <c r="K47" s="21"/>
      <c r="L47" s="21"/>
      <c r="M47" s="21"/>
      <c r="N47" s="21"/>
      <c r="O47" s="21"/>
      <c r="P47" s="7"/>
      <c r="Q47" s="97"/>
      <c r="R47" s="21"/>
      <c r="S47" s="21"/>
      <c r="T47" s="21"/>
      <c r="U47" s="21"/>
      <c r="V47" s="21"/>
    </row>
    <row r="48">
      <c r="A48" s="21"/>
      <c r="B48" s="21"/>
      <c r="C48" s="21"/>
      <c r="D48" s="21"/>
      <c r="E48" s="136"/>
      <c r="F48" s="136"/>
      <c r="G48" s="21"/>
      <c r="H48" s="21"/>
      <c r="I48" s="21"/>
      <c r="J48" s="21"/>
      <c r="K48" s="21"/>
      <c r="L48" s="21"/>
      <c r="M48" s="21"/>
      <c r="N48" s="21"/>
      <c r="O48" s="21"/>
      <c r="P48" s="7"/>
      <c r="Q48" s="97"/>
      <c r="R48" s="21"/>
      <c r="S48" s="21"/>
      <c r="T48" s="21"/>
      <c r="U48" s="21"/>
      <c r="V48" s="21"/>
    </row>
    <row r="49">
      <c r="A49" s="21"/>
      <c r="B49" s="21"/>
      <c r="C49" s="21"/>
      <c r="D49" s="21"/>
      <c r="E49" s="136"/>
      <c r="F49" s="136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97"/>
      <c r="R49" s="21"/>
      <c r="S49" s="21"/>
      <c r="T49" s="21"/>
      <c r="U49" s="21"/>
      <c r="V49" s="21"/>
    </row>
    <row r="50">
      <c r="A50" s="21"/>
      <c r="B50" s="21"/>
      <c r="C50" s="21"/>
      <c r="D50" s="21"/>
      <c r="E50" s="136"/>
      <c r="F50" s="136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</row>
    <row r="51">
      <c r="A51" s="21"/>
      <c r="B51" s="21"/>
      <c r="C51" s="21"/>
      <c r="D51" s="21"/>
      <c r="E51" s="136"/>
      <c r="F51" s="136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</row>
    <row r="52">
      <c r="A52" s="21"/>
      <c r="B52" s="21"/>
      <c r="C52" s="21"/>
      <c r="D52" s="21"/>
      <c r="E52" s="136"/>
      <c r="F52" s="136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</row>
    <row r="53">
      <c r="A53" s="21"/>
      <c r="B53" s="21"/>
      <c r="C53" s="21"/>
      <c r="D53" s="21"/>
      <c r="E53" s="136"/>
      <c r="F53" s="136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</row>
    <row r="54">
      <c r="A54" s="21"/>
      <c r="B54" s="21"/>
      <c r="C54" s="21"/>
      <c r="D54" s="21"/>
      <c r="E54" s="136"/>
      <c r="F54" s="136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</row>
    <row r="55">
      <c r="A55" s="21"/>
      <c r="B55" s="21"/>
      <c r="C55" s="21"/>
      <c r="D55" s="21"/>
      <c r="E55" s="136"/>
      <c r="F55" s="136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</row>
    <row r="56">
      <c r="A56" s="21"/>
      <c r="B56" s="21"/>
      <c r="C56" s="21"/>
      <c r="D56" s="21"/>
      <c r="E56" s="136"/>
      <c r="F56" s="136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</row>
    <row r="57">
      <c r="A57" s="21"/>
      <c r="B57" s="21"/>
      <c r="C57" s="21"/>
      <c r="D57" s="21"/>
      <c r="E57" s="136"/>
      <c r="F57" s="136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</row>
    <row r="58">
      <c r="A58" s="21"/>
      <c r="B58" s="21"/>
      <c r="C58" s="21"/>
      <c r="D58" s="21"/>
      <c r="E58" s="136"/>
      <c r="F58" s="136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</row>
    <row r="59">
      <c r="A59" s="21"/>
      <c r="B59" s="21"/>
      <c r="C59" s="21"/>
      <c r="D59" s="21"/>
      <c r="E59" s="136"/>
      <c r="F59" s="136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</row>
    <row r="60">
      <c r="A60" s="21"/>
      <c r="B60" s="21"/>
      <c r="C60" s="21"/>
      <c r="D60" s="21"/>
      <c r="E60" s="136"/>
      <c r="F60" s="136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</row>
    <row r="61">
      <c r="A61" s="21"/>
      <c r="B61" s="21"/>
      <c r="C61" s="21"/>
      <c r="D61" s="21"/>
      <c r="E61" s="136"/>
      <c r="F61" s="136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</row>
    <row r="62">
      <c r="A62" s="21"/>
      <c r="B62" s="21"/>
      <c r="C62" s="21"/>
      <c r="D62" s="21"/>
      <c r="E62" s="136"/>
      <c r="F62" s="136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</row>
    <row r="63">
      <c r="A63" s="21"/>
      <c r="B63" s="21"/>
      <c r="C63" s="21"/>
      <c r="D63" s="21"/>
      <c r="E63" s="136"/>
      <c r="F63" s="136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</row>
    <row r="64">
      <c r="A64" s="21"/>
      <c r="B64" s="21"/>
      <c r="C64" s="21"/>
      <c r="D64" s="21"/>
      <c r="E64" s="136"/>
      <c r="F64" s="136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</row>
    <row r="65">
      <c r="A65" s="21"/>
      <c r="B65" s="21"/>
      <c r="C65" s="21"/>
      <c r="D65" s="21"/>
      <c r="E65" s="136"/>
      <c r="F65" s="136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</row>
    <row r="66">
      <c r="A66" s="21"/>
      <c r="B66" s="21"/>
      <c r="C66" s="21"/>
      <c r="D66" s="21"/>
      <c r="E66" s="136"/>
      <c r="F66" s="136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</row>
    <row r="67">
      <c r="A67" s="21"/>
      <c r="B67" s="21"/>
      <c r="C67" s="21"/>
      <c r="D67" s="21"/>
      <c r="E67" s="136"/>
      <c r="F67" s="136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</row>
    <row r="68">
      <c r="A68" s="21"/>
      <c r="B68" s="21"/>
      <c r="C68" s="21"/>
      <c r="D68" s="21"/>
      <c r="E68" s="136"/>
      <c r="F68" s="136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</row>
    <row r="69">
      <c r="A69" s="21"/>
      <c r="B69" s="21"/>
      <c r="C69" s="21"/>
      <c r="D69" s="21"/>
      <c r="E69" s="136"/>
      <c r="F69" s="136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</row>
    <row r="70">
      <c r="A70" s="21"/>
      <c r="B70" s="21"/>
      <c r="C70" s="21"/>
      <c r="D70" s="21"/>
      <c r="E70" s="136"/>
      <c r="F70" s="136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</row>
    <row r="71">
      <c r="A71" s="21"/>
      <c r="B71" s="21"/>
      <c r="C71" s="21"/>
      <c r="D71" s="21"/>
      <c r="E71" s="136"/>
      <c r="F71" s="136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</row>
    <row r="72">
      <c r="A72" s="21"/>
      <c r="B72" s="21"/>
      <c r="C72" s="21"/>
      <c r="D72" s="21"/>
      <c r="E72" s="136"/>
      <c r="F72" s="136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</row>
    <row r="73">
      <c r="A73" s="21"/>
      <c r="B73" s="21"/>
      <c r="C73" s="21"/>
      <c r="D73" s="21"/>
      <c r="E73" s="136"/>
      <c r="F73" s="136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</row>
    <row r="74">
      <c r="A74" s="21"/>
      <c r="B74" s="21"/>
      <c r="C74" s="21"/>
      <c r="D74" s="21"/>
      <c r="E74" s="136"/>
      <c r="F74" s="136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</row>
    <row r="75">
      <c r="A75" s="21"/>
      <c r="B75" s="21"/>
      <c r="C75" s="21"/>
      <c r="D75" s="21"/>
      <c r="E75" s="136"/>
      <c r="F75" s="136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</row>
    <row r="76">
      <c r="A76" s="21"/>
      <c r="B76" s="21"/>
      <c r="C76" s="21"/>
      <c r="D76" s="21"/>
      <c r="E76" s="136"/>
      <c r="F76" s="136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</row>
    <row r="77">
      <c r="A77" s="21"/>
      <c r="B77" s="21"/>
      <c r="C77" s="21"/>
      <c r="D77" s="21"/>
      <c r="E77" s="136"/>
      <c r="F77" s="136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</row>
    <row r="78">
      <c r="A78" s="21"/>
      <c r="B78" s="21"/>
      <c r="C78" s="21"/>
      <c r="D78" s="21"/>
      <c r="E78" s="136"/>
      <c r="F78" s="136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</row>
    <row r="79">
      <c r="A79" s="21"/>
      <c r="B79" s="21"/>
      <c r="C79" s="21"/>
      <c r="D79" s="21"/>
      <c r="E79" s="136"/>
      <c r="F79" s="136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</row>
    <row r="80">
      <c r="A80" s="21"/>
      <c r="B80" s="21"/>
      <c r="C80" s="21"/>
      <c r="D80" s="21"/>
      <c r="E80" s="136"/>
      <c r="F80" s="136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</row>
    <row r="81">
      <c r="A81" s="21"/>
      <c r="B81" s="21"/>
      <c r="C81" s="21"/>
      <c r="D81" s="21"/>
      <c r="E81" s="136"/>
      <c r="F81" s="136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</row>
    <row r="82">
      <c r="A82" s="21"/>
      <c r="B82" s="21"/>
      <c r="C82" s="21"/>
      <c r="D82" s="21"/>
      <c r="E82" s="136"/>
      <c r="F82" s="136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</row>
    <row r="83">
      <c r="A83" s="21"/>
      <c r="B83" s="21"/>
      <c r="C83" s="21"/>
      <c r="D83" s="21"/>
      <c r="E83" s="136"/>
      <c r="F83" s="136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</row>
    <row r="84">
      <c r="A84" s="21"/>
      <c r="B84" s="21"/>
      <c r="C84" s="21"/>
      <c r="D84" s="21"/>
      <c r="E84" s="136"/>
      <c r="F84" s="136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</row>
    <row r="85">
      <c r="A85" s="21"/>
      <c r="B85" s="21"/>
      <c r="C85" s="21"/>
      <c r="D85" s="21"/>
      <c r="E85" s="136"/>
      <c r="F85" s="136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</row>
    <row r="86">
      <c r="A86" s="21"/>
      <c r="B86" s="21"/>
      <c r="C86" s="21"/>
      <c r="D86" s="21"/>
      <c r="E86" s="136"/>
      <c r="F86" s="136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</row>
    <row r="87">
      <c r="A87" s="21"/>
      <c r="B87" s="21"/>
      <c r="C87" s="21"/>
      <c r="D87" s="21"/>
      <c r="E87" s="136"/>
      <c r="F87" s="136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</row>
    <row r="88">
      <c r="A88" s="21"/>
      <c r="B88" s="21"/>
      <c r="C88" s="21"/>
      <c r="D88" s="21"/>
      <c r="E88" s="136"/>
      <c r="F88" s="136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</row>
    <row r="89">
      <c r="A89" s="21"/>
      <c r="B89" s="21"/>
      <c r="C89" s="21"/>
      <c r="D89" s="21"/>
      <c r="E89" s="136"/>
      <c r="F89" s="136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</row>
    <row r="90">
      <c r="A90" s="21"/>
      <c r="B90" s="21"/>
      <c r="C90" s="21"/>
      <c r="D90" s="21"/>
      <c r="E90" s="136"/>
      <c r="F90" s="136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>
      <c r="A91" s="21"/>
      <c r="B91" s="21"/>
      <c r="C91" s="21"/>
      <c r="D91" s="21"/>
      <c r="E91" s="136"/>
      <c r="F91" s="136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</row>
    <row r="92">
      <c r="A92" s="21"/>
      <c r="B92" s="21"/>
      <c r="C92" s="21"/>
      <c r="D92" s="21"/>
      <c r="E92" s="136"/>
      <c r="F92" s="136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</row>
    <row r="93">
      <c r="A93" s="21"/>
      <c r="B93" s="21"/>
      <c r="C93" s="21"/>
      <c r="D93" s="21"/>
      <c r="E93" s="136"/>
      <c r="F93" s="136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</row>
    <row r="94">
      <c r="A94" s="21"/>
      <c r="B94" s="21"/>
      <c r="C94" s="21"/>
      <c r="D94" s="21"/>
      <c r="E94" s="136"/>
      <c r="F94" s="136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>
      <c r="A95" s="21"/>
      <c r="B95" s="21"/>
      <c r="C95" s="21"/>
      <c r="D95" s="21"/>
      <c r="E95" s="136"/>
      <c r="F95" s="136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>
      <c r="A96" s="21"/>
      <c r="B96" s="21"/>
      <c r="C96" s="21"/>
      <c r="D96" s="21"/>
      <c r="E96" s="136"/>
      <c r="F96" s="136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>
      <c r="A97" s="21"/>
      <c r="B97" s="21"/>
      <c r="C97" s="21"/>
      <c r="D97" s="21"/>
      <c r="E97" s="136"/>
      <c r="F97" s="136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>
      <c r="A98" s="21"/>
      <c r="B98" s="21"/>
      <c r="C98" s="21"/>
      <c r="D98" s="21"/>
      <c r="E98" s="136"/>
      <c r="F98" s="136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>
      <c r="A99" s="21"/>
      <c r="B99" s="21"/>
      <c r="C99" s="21"/>
      <c r="D99" s="21"/>
      <c r="E99" s="136"/>
      <c r="F99" s="136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>
      <c r="A100" s="21"/>
      <c r="B100" s="21"/>
      <c r="C100" s="21"/>
      <c r="D100" s="21"/>
      <c r="E100" s="136"/>
      <c r="F100" s="136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>
      <c r="A101" s="21"/>
      <c r="B101" s="21"/>
      <c r="C101" s="21"/>
      <c r="D101" s="21"/>
      <c r="E101" s="136"/>
      <c r="F101" s="136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>
      <c r="A102" s="21"/>
      <c r="B102" s="21"/>
      <c r="C102" s="21"/>
      <c r="D102" s="21"/>
      <c r="E102" s="136"/>
      <c r="F102" s="136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  <row r="103">
      <c r="A103" s="21"/>
      <c r="B103" s="21"/>
      <c r="C103" s="21"/>
      <c r="D103" s="21"/>
      <c r="E103" s="136"/>
      <c r="F103" s="136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</row>
    <row r="104">
      <c r="A104" s="21"/>
      <c r="B104" s="21"/>
      <c r="C104" s="21"/>
      <c r="D104" s="21"/>
      <c r="E104" s="136"/>
      <c r="F104" s="136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</row>
    <row r="105">
      <c r="A105" s="21"/>
      <c r="B105" s="21"/>
      <c r="C105" s="21"/>
      <c r="D105" s="21"/>
      <c r="E105" s="136"/>
      <c r="F105" s="136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</row>
    <row r="106">
      <c r="A106" s="21"/>
      <c r="B106" s="21"/>
      <c r="C106" s="21"/>
      <c r="D106" s="21"/>
      <c r="E106" s="136"/>
      <c r="F106" s="136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</row>
    <row r="107">
      <c r="A107" s="21"/>
      <c r="B107" s="21"/>
      <c r="C107" s="21"/>
      <c r="D107" s="21"/>
      <c r="E107" s="136"/>
      <c r="F107" s="136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</row>
    <row r="108">
      <c r="A108" s="21"/>
      <c r="B108" s="21"/>
      <c r="C108" s="21"/>
      <c r="D108" s="21"/>
      <c r="E108" s="136"/>
      <c r="F108" s="136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</row>
    <row r="109">
      <c r="A109" s="21"/>
      <c r="B109" s="21"/>
      <c r="C109" s="21"/>
      <c r="D109" s="21"/>
      <c r="E109" s="136"/>
      <c r="F109" s="136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</row>
    <row r="110">
      <c r="A110" s="21"/>
      <c r="B110" s="21"/>
      <c r="C110" s="21"/>
      <c r="D110" s="21"/>
      <c r="E110" s="136"/>
      <c r="F110" s="136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</row>
    <row r="111">
      <c r="A111" s="21"/>
      <c r="B111" s="21"/>
      <c r="C111" s="21"/>
      <c r="D111" s="21"/>
      <c r="E111" s="136"/>
      <c r="F111" s="136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</row>
    <row r="112">
      <c r="A112" s="21"/>
      <c r="B112" s="21"/>
      <c r="C112" s="21"/>
      <c r="D112" s="21"/>
      <c r="E112" s="136"/>
      <c r="F112" s="136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</row>
    <row r="113">
      <c r="A113" s="21"/>
      <c r="B113" s="21"/>
      <c r="C113" s="21"/>
      <c r="D113" s="21"/>
      <c r="E113" s="136"/>
      <c r="F113" s="136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</row>
    <row r="114">
      <c r="A114" s="21"/>
      <c r="B114" s="21"/>
      <c r="C114" s="21"/>
      <c r="D114" s="21"/>
      <c r="E114" s="136"/>
      <c r="F114" s="136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</row>
    <row r="115">
      <c r="A115" s="21"/>
      <c r="B115" s="21"/>
      <c r="C115" s="21"/>
      <c r="D115" s="21"/>
      <c r="E115" s="136"/>
      <c r="F115" s="136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</row>
    <row r="116">
      <c r="A116" s="21"/>
      <c r="B116" s="21"/>
      <c r="C116" s="21"/>
      <c r="D116" s="21"/>
      <c r="E116" s="136"/>
      <c r="F116" s="136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</row>
    <row r="117">
      <c r="A117" s="21"/>
      <c r="B117" s="21"/>
      <c r="C117" s="21"/>
      <c r="D117" s="21"/>
      <c r="E117" s="136"/>
      <c r="F117" s="136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</row>
    <row r="118">
      <c r="A118" s="21"/>
      <c r="B118" s="21"/>
      <c r="C118" s="21"/>
      <c r="D118" s="21"/>
      <c r="E118" s="136"/>
      <c r="F118" s="136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</row>
    <row r="119">
      <c r="A119" s="21"/>
      <c r="B119" s="21"/>
      <c r="C119" s="21"/>
      <c r="D119" s="21"/>
      <c r="E119" s="136"/>
      <c r="F119" s="136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</row>
    <row r="120">
      <c r="A120" s="21"/>
      <c r="B120" s="21"/>
      <c r="C120" s="21"/>
      <c r="D120" s="21"/>
      <c r="E120" s="136"/>
      <c r="F120" s="136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</row>
    <row r="121">
      <c r="A121" s="21"/>
      <c r="B121" s="21"/>
      <c r="C121" s="21"/>
      <c r="D121" s="21"/>
      <c r="E121" s="136"/>
      <c r="F121" s="136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</row>
    <row r="122">
      <c r="A122" s="21"/>
      <c r="B122" s="21"/>
      <c r="C122" s="21"/>
      <c r="D122" s="21"/>
      <c r="E122" s="136"/>
      <c r="F122" s="136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</row>
    <row r="123">
      <c r="A123" s="21"/>
      <c r="B123" s="21"/>
      <c r="C123" s="21"/>
      <c r="D123" s="21"/>
      <c r="E123" s="136"/>
      <c r="F123" s="136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</row>
    <row r="124">
      <c r="A124" s="21"/>
      <c r="B124" s="21"/>
      <c r="C124" s="21"/>
      <c r="D124" s="21"/>
      <c r="E124" s="136"/>
      <c r="F124" s="136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</row>
    <row r="125">
      <c r="A125" s="21"/>
      <c r="B125" s="21"/>
      <c r="C125" s="21"/>
      <c r="D125" s="21"/>
      <c r="E125" s="136"/>
      <c r="F125" s="136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</row>
    <row r="126">
      <c r="A126" s="21"/>
      <c r="B126" s="21"/>
      <c r="C126" s="21"/>
      <c r="D126" s="21"/>
      <c r="E126" s="136"/>
      <c r="F126" s="136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</row>
    <row r="127">
      <c r="A127" s="21"/>
      <c r="B127" s="21"/>
      <c r="C127" s="21"/>
      <c r="D127" s="21"/>
      <c r="E127" s="136"/>
      <c r="F127" s="136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</row>
    <row r="128">
      <c r="A128" s="21"/>
      <c r="B128" s="21"/>
      <c r="C128" s="21"/>
      <c r="D128" s="21"/>
      <c r="E128" s="136"/>
      <c r="F128" s="136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</row>
    <row r="129">
      <c r="A129" s="21"/>
      <c r="B129" s="21"/>
      <c r="C129" s="21"/>
      <c r="D129" s="21"/>
      <c r="E129" s="136"/>
      <c r="F129" s="136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</row>
    <row r="130">
      <c r="A130" s="21"/>
      <c r="B130" s="21"/>
      <c r="C130" s="21"/>
      <c r="D130" s="21"/>
      <c r="E130" s="136"/>
      <c r="F130" s="136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</row>
    <row r="131">
      <c r="A131" s="21"/>
      <c r="B131" s="21"/>
      <c r="C131" s="21"/>
      <c r="D131" s="21"/>
      <c r="E131" s="136"/>
      <c r="F131" s="136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</row>
    <row r="132">
      <c r="A132" s="21"/>
      <c r="B132" s="21"/>
      <c r="C132" s="21"/>
      <c r="D132" s="21"/>
      <c r="E132" s="136"/>
      <c r="F132" s="136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</row>
    <row r="133">
      <c r="A133" s="21"/>
      <c r="B133" s="21"/>
      <c r="C133" s="21"/>
      <c r="D133" s="21"/>
      <c r="E133" s="136"/>
      <c r="F133" s="136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</row>
    <row r="134">
      <c r="A134" s="21"/>
      <c r="B134" s="21"/>
      <c r="C134" s="21"/>
      <c r="D134" s="21"/>
      <c r="E134" s="136"/>
      <c r="F134" s="136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</row>
    <row r="135">
      <c r="A135" s="21"/>
      <c r="B135" s="21"/>
      <c r="C135" s="21"/>
      <c r="D135" s="21"/>
      <c r="E135" s="136"/>
      <c r="F135" s="136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</row>
    <row r="136">
      <c r="A136" s="21"/>
      <c r="B136" s="21"/>
      <c r="C136" s="21"/>
      <c r="D136" s="21"/>
      <c r="E136" s="136"/>
      <c r="F136" s="136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</row>
    <row r="137">
      <c r="A137" s="21"/>
      <c r="B137" s="21"/>
      <c r="C137" s="21"/>
      <c r="D137" s="21"/>
      <c r="E137" s="136"/>
      <c r="F137" s="136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</row>
    <row r="138">
      <c r="A138" s="21"/>
      <c r="B138" s="21"/>
      <c r="C138" s="21"/>
      <c r="D138" s="21"/>
      <c r="E138" s="136"/>
      <c r="F138" s="136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</row>
    <row r="139">
      <c r="A139" s="21"/>
      <c r="B139" s="21"/>
      <c r="C139" s="21"/>
      <c r="D139" s="21"/>
      <c r="E139" s="136"/>
      <c r="F139" s="136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</row>
    <row r="140">
      <c r="A140" s="21"/>
      <c r="B140" s="21"/>
      <c r="C140" s="21"/>
      <c r="D140" s="21"/>
      <c r="E140" s="136"/>
      <c r="F140" s="136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</row>
    <row r="141">
      <c r="A141" s="21"/>
      <c r="B141" s="21"/>
      <c r="C141" s="21"/>
      <c r="D141" s="21"/>
      <c r="E141" s="136"/>
      <c r="F141" s="136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</row>
    <row r="142">
      <c r="A142" s="21"/>
      <c r="B142" s="21"/>
      <c r="C142" s="21"/>
      <c r="D142" s="21"/>
      <c r="E142" s="136"/>
      <c r="F142" s="136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</row>
    <row r="143">
      <c r="A143" s="21"/>
      <c r="B143" s="21"/>
      <c r="C143" s="21"/>
      <c r="D143" s="21"/>
      <c r="E143" s="136"/>
      <c r="F143" s="136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</row>
    <row r="144">
      <c r="A144" s="21"/>
      <c r="B144" s="21"/>
      <c r="C144" s="21"/>
      <c r="D144" s="21"/>
      <c r="E144" s="136"/>
      <c r="F144" s="136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</row>
    <row r="145">
      <c r="A145" s="21"/>
      <c r="B145" s="21"/>
      <c r="C145" s="21"/>
      <c r="D145" s="21"/>
      <c r="E145" s="136"/>
      <c r="F145" s="136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</row>
    <row r="146">
      <c r="A146" s="21"/>
      <c r="B146" s="21"/>
      <c r="C146" s="21"/>
      <c r="D146" s="21"/>
      <c r="E146" s="136"/>
      <c r="F146" s="136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</row>
    <row r="147">
      <c r="A147" s="21"/>
      <c r="B147" s="21"/>
      <c r="C147" s="21"/>
      <c r="D147" s="21"/>
      <c r="E147" s="136"/>
      <c r="F147" s="136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</row>
    <row r="148">
      <c r="A148" s="21"/>
      <c r="B148" s="21"/>
      <c r="C148" s="21"/>
      <c r="D148" s="21"/>
      <c r="E148" s="136"/>
      <c r="F148" s="136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</row>
    <row r="149">
      <c r="A149" s="21"/>
      <c r="B149" s="21"/>
      <c r="C149" s="21"/>
      <c r="D149" s="21"/>
      <c r="E149" s="136"/>
      <c r="F149" s="136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</row>
    <row r="150">
      <c r="A150" s="21"/>
      <c r="B150" s="21"/>
      <c r="C150" s="21"/>
      <c r="D150" s="21"/>
      <c r="E150" s="136"/>
      <c r="F150" s="136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</row>
    <row r="151">
      <c r="A151" s="21"/>
      <c r="B151" s="21"/>
      <c r="C151" s="21"/>
      <c r="D151" s="21"/>
      <c r="E151" s="136"/>
      <c r="F151" s="136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</row>
    <row r="152">
      <c r="A152" s="21"/>
      <c r="B152" s="21"/>
      <c r="C152" s="21"/>
      <c r="D152" s="21"/>
      <c r="E152" s="136"/>
      <c r="F152" s="136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</row>
    <row r="153">
      <c r="A153" s="21"/>
      <c r="B153" s="21"/>
      <c r="C153" s="21"/>
      <c r="D153" s="21"/>
      <c r="E153" s="136"/>
      <c r="F153" s="136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</row>
    <row r="154">
      <c r="A154" s="21"/>
      <c r="B154" s="21"/>
      <c r="C154" s="21"/>
      <c r="D154" s="21"/>
      <c r="E154" s="136"/>
      <c r="F154" s="136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</row>
    <row r="155">
      <c r="A155" s="21"/>
      <c r="B155" s="21"/>
      <c r="C155" s="21"/>
      <c r="D155" s="21"/>
      <c r="E155" s="136"/>
      <c r="F155" s="136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</row>
    <row r="156">
      <c r="A156" s="21"/>
      <c r="B156" s="21"/>
      <c r="C156" s="21"/>
      <c r="D156" s="21"/>
      <c r="E156" s="136"/>
      <c r="F156" s="136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</row>
    <row r="157">
      <c r="A157" s="21"/>
      <c r="B157" s="21"/>
      <c r="C157" s="21"/>
      <c r="D157" s="21"/>
      <c r="E157" s="136"/>
      <c r="F157" s="136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</row>
    <row r="158">
      <c r="A158" s="21"/>
      <c r="B158" s="21"/>
      <c r="C158" s="21"/>
      <c r="D158" s="21"/>
      <c r="E158" s="136"/>
      <c r="F158" s="136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</row>
    <row r="159">
      <c r="A159" s="21"/>
      <c r="B159" s="21"/>
      <c r="C159" s="21"/>
      <c r="D159" s="21"/>
      <c r="E159" s="136"/>
      <c r="F159" s="136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</row>
    <row r="160">
      <c r="A160" s="21"/>
      <c r="B160" s="21"/>
      <c r="C160" s="21"/>
      <c r="D160" s="21"/>
      <c r="E160" s="136"/>
      <c r="F160" s="136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</row>
    <row r="161">
      <c r="A161" s="21"/>
      <c r="B161" s="21"/>
      <c r="C161" s="21"/>
      <c r="D161" s="21"/>
      <c r="E161" s="136"/>
      <c r="F161" s="136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</row>
    <row r="162">
      <c r="A162" s="21"/>
      <c r="B162" s="21"/>
      <c r="C162" s="21"/>
      <c r="D162" s="21"/>
      <c r="E162" s="136"/>
      <c r="F162" s="136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</row>
    <row r="163">
      <c r="A163" s="21"/>
      <c r="B163" s="21"/>
      <c r="C163" s="21"/>
      <c r="D163" s="21"/>
      <c r="E163" s="136"/>
      <c r="F163" s="136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</row>
    <row r="164">
      <c r="A164" s="21"/>
      <c r="B164" s="21"/>
      <c r="C164" s="21"/>
      <c r="D164" s="21"/>
      <c r="E164" s="136"/>
      <c r="F164" s="136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</row>
    <row r="165">
      <c r="A165" s="21"/>
      <c r="B165" s="21"/>
      <c r="C165" s="21"/>
      <c r="D165" s="21"/>
      <c r="E165" s="136"/>
      <c r="F165" s="136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</row>
    <row r="166">
      <c r="A166" s="21"/>
      <c r="B166" s="21"/>
      <c r="C166" s="21"/>
      <c r="D166" s="21"/>
      <c r="E166" s="136"/>
      <c r="F166" s="136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</row>
    <row r="167">
      <c r="A167" s="21"/>
      <c r="B167" s="21"/>
      <c r="C167" s="21"/>
      <c r="D167" s="21"/>
      <c r="E167" s="136"/>
      <c r="F167" s="136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</row>
    <row r="168">
      <c r="A168" s="21"/>
      <c r="B168" s="21"/>
      <c r="C168" s="21"/>
      <c r="D168" s="21"/>
      <c r="E168" s="136"/>
      <c r="F168" s="136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</row>
    <row r="169">
      <c r="A169" s="21"/>
      <c r="B169" s="21"/>
      <c r="C169" s="21"/>
      <c r="D169" s="21"/>
      <c r="E169" s="136"/>
      <c r="F169" s="136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</row>
    <row r="170">
      <c r="A170" s="21"/>
      <c r="B170" s="21"/>
      <c r="C170" s="21"/>
      <c r="D170" s="21"/>
      <c r="E170" s="136"/>
      <c r="F170" s="136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</row>
    <row r="171">
      <c r="A171" s="21"/>
      <c r="B171" s="21"/>
      <c r="C171" s="21"/>
      <c r="D171" s="21"/>
      <c r="E171" s="136"/>
      <c r="F171" s="136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</row>
    <row r="172">
      <c r="A172" s="21"/>
      <c r="B172" s="21"/>
      <c r="C172" s="21"/>
      <c r="D172" s="21"/>
      <c r="E172" s="136"/>
      <c r="F172" s="136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</row>
    <row r="173">
      <c r="A173" s="21"/>
      <c r="B173" s="21"/>
      <c r="C173" s="21"/>
      <c r="D173" s="21"/>
      <c r="E173" s="136"/>
      <c r="F173" s="136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</row>
    <row r="174">
      <c r="A174" s="21"/>
      <c r="B174" s="21"/>
      <c r="C174" s="21"/>
      <c r="D174" s="21"/>
      <c r="E174" s="136"/>
      <c r="F174" s="136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</row>
    <row r="175">
      <c r="A175" s="21"/>
      <c r="B175" s="21"/>
      <c r="C175" s="21"/>
      <c r="D175" s="21"/>
      <c r="E175" s="136"/>
      <c r="F175" s="136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</row>
    <row r="176">
      <c r="A176" s="21"/>
      <c r="B176" s="21"/>
      <c r="C176" s="21"/>
      <c r="D176" s="21"/>
      <c r="E176" s="136"/>
      <c r="F176" s="136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</row>
    <row r="177">
      <c r="A177" s="21"/>
      <c r="B177" s="21"/>
      <c r="C177" s="21"/>
      <c r="D177" s="21"/>
      <c r="E177" s="136"/>
      <c r="F177" s="136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</row>
    <row r="178">
      <c r="A178" s="21"/>
      <c r="B178" s="21"/>
      <c r="C178" s="21"/>
      <c r="D178" s="21"/>
      <c r="E178" s="136"/>
      <c r="F178" s="136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</row>
    <row r="179">
      <c r="A179" s="21"/>
      <c r="B179" s="21"/>
      <c r="C179" s="21"/>
      <c r="D179" s="21"/>
      <c r="E179" s="136"/>
      <c r="F179" s="136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</row>
    <row r="180">
      <c r="A180" s="21"/>
      <c r="B180" s="21"/>
      <c r="C180" s="21"/>
      <c r="D180" s="21"/>
      <c r="E180" s="136"/>
      <c r="F180" s="136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</row>
    <row r="181">
      <c r="A181" s="21"/>
      <c r="B181" s="21"/>
      <c r="C181" s="21"/>
      <c r="D181" s="21"/>
      <c r="E181" s="136"/>
      <c r="F181" s="136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</row>
    <row r="182">
      <c r="A182" s="21"/>
      <c r="B182" s="21"/>
      <c r="C182" s="21"/>
      <c r="D182" s="21"/>
      <c r="E182" s="136"/>
      <c r="F182" s="136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</row>
    <row r="183">
      <c r="A183" s="21"/>
      <c r="B183" s="21"/>
      <c r="C183" s="21"/>
      <c r="D183" s="21"/>
      <c r="E183" s="136"/>
      <c r="F183" s="136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</row>
    <row r="184">
      <c r="A184" s="21"/>
      <c r="B184" s="21"/>
      <c r="C184" s="21"/>
      <c r="D184" s="21"/>
      <c r="E184" s="136"/>
      <c r="F184" s="136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</row>
    <row r="185">
      <c r="A185" s="21"/>
      <c r="B185" s="21"/>
      <c r="C185" s="21"/>
      <c r="D185" s="21"/>
      <c r="E185" s="136"/>
      <c r="F185" s="136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</row>
    <row r="186">
      <c r="A186" s="21"/>
      <c r="B186" s="21"/>
      <c r="C186" s="21"/>
      <c r="D186" s="21"/>
      <c r="E186" s="136"/>
      <c r="F186" s="136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</row>
    <row r="187">
      <c r="A187" s="21"/>
      <c r="B187" s="21"/>
      <c r="C187" s="21"/>
      <c r="D187" s="21"/>
      <c r="E187" s="136"/>
      <c r="F187" s="136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</row>
    <row r="188">
      <c r="A188" s="21"/>
      <c r="B188" s="21"/>
      <c r="C188" s="21"/>
      <c r="D188" s="21"/>
      <c r="E188" s="136"/>
      <c r="F188" s="136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</row>
    <row r="189">
      <c r="A189" s="21"/>
      <c r="B189" s="21"/>
      <c r="C189" s="21"/>
      <c r="D189" s="21"/>
      <c r="E189" s="136"/>
      <c r="F189" s="136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</row>
    <row r="190">
      <c r="A190" s="21"/>
      <c r="B190" s="21"/>
      <c r="C190" s="21"/>
      <c r="D190" s="21"/>
      <c r="E190" s="136"/>
      <c r="F190" s="136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</row>
    <row r="191">
      <c r="A191" s="21"/>
      <c r="B191" s="21"/>
      <c r="C191" s="21"/>
      <c r="D191" s="21"/>
      <c r="E191" s="136"/>
      <c r="F191" s="136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</row>
    <row r="192">
      <c r="A192" s="21"/>
      <c r="B192" s="21"/>
      <c r="C192" s="21"/>
      <c r="D192" s="21"/>
      <c r="E192" s="136"/>
      <c r="F192" s="136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</row>
    <row r="193">
      <c r="A193" s="21"/>
      <c r="B193" s="21"/>
      <c r="C193" s="21"/>
      <c r="D193" s="21"/>
      <c r="E193" s="136"/>
      <c r="F193" s="136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</row>
    <row r="194">
      <c r="A194" s="21"/>
      <c r="B194" s="21"/>
      <c r="C194" s="21"/>
      <c r="D194" s="21"/>
      <c r="E194" s="136"/>
      <c r="F194" s="136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</row>
    <row r="195">
      <c r="A195" s="21"/>
      <c r="B195" s="21"/>
      <c r="C195" s="21"/>
      <c r="D195" s="21"/>
      <c r="E195" s="136"/>
      <c r="F195" s="136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</row>
    <row r="196">
      <c r="A196" s="21"/>
      <c r="B196" s="21"/>
      <c r="C196" s="21"/>
      <c r="D196" s="21"/>
      <c r="E196" s="136"/>
      <c r="F196" s="136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</row>
    <row r="197">
      <c r="A197" s="21"/>
      <c r="B197" s="21"/>
      <c r="C197" s="21"/>
      <c r="D197" s="21"/>
      <c r="E197" s="136"/>
      <c r="F197" s="136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</row>
    <row r="198">
      <c r="A198" s="21"/>
      <c r="B198" s="21"/>
      <c r="C198" s="21"/>
      <c r="D198" s="21"/>
      <c r="E198" s="136"/>
      <c r="F198" s="136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</row>
    <row r="199">
      <c r="A199" s="21"/>
      <c r="B199" s="21"/>
      <c r="C199" s="21"/>
      <c r="D199" s="21"/>
      <c r="E199" s="136"/>
      <c r="F199" s="136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</row>
    <row r="200">
      <c r="A200" s="21"/>
      <c r="B200" s="21"/>
      <c r="C200" s="21"/>
      <c r="D200" s="21"/>
      <c r="E200" s="136"/>
      <c r="F200" s="136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</row>
    <row r="201">
      <c r="A201" s="21"/>
      <c r="B201" s="21"/>
      <c r="C201" s="21"/>
      <c r="D201" s="21"/>
      <c r="E201" s="136"/>
      <c r="F201" s="136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</row>
    <row r="202">
      <c r="A202" s="21"/>
      <c r="B202" s="21"/>
      <c r="C202" s="21"/>
      <c r="D202" s="21"/>
      <c r="E202" s="136"/>
      <c r="F202" s="136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</row>
    <row r="203">
      <c r="A203" s="21"/>
      <c r="B203" s="21"/>
      <c r="C203" s="21"/>
      <c r="D203" s="21"/>
      <c r="E203" s="136"/>
      <c r="F203" s="136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</row>
    <row r="204">
      <c r="A204" s="21"/>
      <c r="B204" s="21"/>
      <c r="C204" s="21"/>
      <c r="D204" s="21"/>
      <c r="E204" s="136"/>
      <c r="F204" s="136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</row>
    <row r="205">
      <c r="A205" s="21"/>
      <c r="B205" s="21"/>
      <c r="C205" s="21"/>
      <c r="D205" s="21"/>
      <c r="E205" s="136"/>
      <c r="F205" s="136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</row>
    <row r="206">
      <c r="A206" s="21"/>
      <c r="B206" s="21"/>
      <c r="C206" s="21"/>
      <c r="D206" s="21"/>
      <c r="E206" s="136"/>
      <c r="F206" s="136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</row>
    <row r="207">
      <c r="A207" s="21"/>
      <c r="B207" s="21"/>
      <c r="C207" s="21"/>
      <c r="D207" s="21"/>
      <c r="E207" s="136"/>
      <c r="F207" s="136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</row>
    <row r="208">
      <c r="A208" s="21"/>
      <c r="B208" s="21"/>
      <c r="C208" s="21"/>
      <c r="D208" s="21"/>
      <c r="E208" s="136"/>
      <c r="F208" s="136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</row>
    <row r="209">
      <c r="A209" s="21"/>
      <c r="B209" s="21"/>
      <c r="C209" s="21"/>
      <c r="D209" s="21"/>
      <c r="E209" s="136"/>
      <c r="F209" s="136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</row>
    <row r="210">
      <c r="A210" s="21"/>
      <c r="B210" s="21"/>
      <c r="C210" s="21"/>
      <c r="D210" s="21"/>
      <c r="E210" s="136"/>
      <c r="F210" s="136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</row>
    <row r="211">
      <c r="A211" s="21"/>
      <c r="B211" s="21"/>
      <c r="C211" s="21"/>
      <c r="D211" s="21"/>
      <c r="E211" s="136"/>
      <c r="F211" s="136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</row>
    <row r="212">
      <c r="A212" s="21"/>
      <c r="B212" s="21"/>
      <c r="C212" s="21"/>
      <c r="D212" s="21"/>
      <c r="E212" s="136"/>
      <c r="F212" s="136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</row>
    <row r="213">
      <c r="A213" s="21"/>
      <c r="B213" s="21"/>
      <c r="C213" s="21"/>
      <c r="D213" s="21"/>
      <c r="E213" s="136"/>
      <c r="F213" s="136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</row>
    <row r="214">
      <c r="A214" s="21"/>
      <c r="B214" s="21"/>
      <c r="C214" s="21"/>
      <c r="D214" s="21"/>
      <c r="E214" s="136"/>
      <c r="F214" s="136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</row>
    <row r="215">
      <c r="A215" s="21"/>
      <c r="B215" s="21"/>
      <c r="C215" s="21"/>
      <c r="D215" s="21"/>
      <c r="E215" s="136"/>
      <c r="F215" s="136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</row>
    <row r="216">
      <c r="A216" s="21"/>
      <c r="B216" s="21"/>
      <c r="C216" s="21"/>
      <c r="D216" s="21"/>
      <c r="E216" s="136"/>
      <c r="F216" s="136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</row>
    <row r="217">
      <c r="A217" s="21"/>
      <c r="B217" s="21"/>
      <c r="C217" s="21"/>
      <c r="D217" s="21"/>
      <c r="E217" s="136"/>
      <c r="F217" s="136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</row>
    <row r="218">
      <c r="A218" s="21"/>
      <c r="B218" s="21"/>
      <c r="C218" s="21"/>
      <c r="D218" s="21"/>
      <c r="E218" s="136"/>
      <c r="F218" s="136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</row>
    <row r="219">
      <c r="A219" s="21"/>
      <c r="B219" s="21"/>
      <c r="C219" s="21"/>
      <c r="D219" s="21"/>
      <c r="E219" s="136"/>
      <c r="F219" s="136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</row>
    <row r="220">
      <c r="A220" s="21"/>
      <c r="B220" s="21"/>
      <c r="C220" s="21"/>
      <c r="D220" s="21"/>
      <c r="E220" s="136"/>
      <c r="F220" s="136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</row>
    <row r="221">
      <c r="A221" s="21"/>
      <c r="B221" s="21"/>
      <c r="C221" s="21"/>
      <c r="D221" s="21"/>
      <c r="E221" s="136"/>
      <c r="F221" s="136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</row>
    <row r="222">
      <c r="A222" s="21"/>
      <c r="B222" s="21"/>
      <c r="C222" s="21"/>
      <c r="D222" s="21"/>
      <c r="E222" s="136"/>
      <c r="F222" s="136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</row>
    <row r="223">
      <c r="A223" s="21"/>
      <c r="B223" s="21"/>
      <c r="C223" s="21"/>
      <c r="D223" s="21"/>
      <c r="E223" s="136"/>
      <c r="F223" s="136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</row>
    <row r="224">
      <c r="A224" s="21"/>
      <c r="B224" s="21"/>
      <c r="C224" s="21"/>
      <c r="D224" s="21"/>
      <c r="E224" s="136"/>
      <c r="F224" s="136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</row>
    <row r="225">
      <c r="A225" s="21"/>
      <c r="B225" s="21"/>
      <c r="C225" s="21"/>
      <c r="D225" s="21"/>
      <c r="E225" s="136"/>
      <c r="F225" s="136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</row>
    <row r="226">
      <c r="A226" s="21"/>
      <c r="B226" s="21"/>
      <c r="C226" s="21"/>
      <c r="D226" s="21"/>
      <c r="E226" s="136"/>
      <c r="F226" s="136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</row>
    <row r="227">
      <c r="A227" s="21"/>
      <c r="B227" s="21"/>
      <c r="C227" s="21"/>
      <c r="D227" s="21"/>
      <c r="E227" s="136"/>
      <c r="F227" s="136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</row>
    <row r="228">
      <c r="A228" s="21"/>
      <c r="B228" s="21"/>
      <c r="C228" s="21"/>
      <c r="D228" s="21"/>
      <c r="E228" s="136"/>
      <c r="F228" s="136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</row>
    <row r="229">
      <c r="A229" s="21"/>
      <c r="B229" s="21"/>
      <c r="C229" s="21"/>
      <c r="D229" s="21"/>
      <c r="E229" s="136"/>
      <c r="F229" s="136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</row>
    <row r="230">
      <c r="A230" s="21"/>
      <c r="B230" s="21"/>
      <c r="C230" s="21"/>
      <c r="D230" s="21"/>
      <c r="E230" s="136"/>
      <c r="F230" s="136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</row>
    <row r="231">
      <c r="A231" s="21"/>
      <c r="B231" s="21"/>
      <c r="C231" s="21"/>
      <c r="D231" s="21"/>
      <c r="E231" s="136"/>
      <c r="F231" s="136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</row>
    <row r="232">
      <c r="A232" s="21"/>
      <c r="B232" s="21"/>
      <c r="C232" s="21"/>
      <c r="D232" s="21"/>
      <c r="E232" s="136"/>
      <c r="F232" s="136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</row>
    <row r="233">
      <c r="A233" s="21"/>
      <c r="B233" s="21"/>
      <c r="C233" s="21"/>
      <c r="D233" s="21"/>
      <c r="E233" s="136"/>
      <c r="F233" s="136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</row>
    <row r="234">
      <c r="A234" s="21"/>
      <c r="B234" s="21"/>
      <c r="C234" s="21"/>
      <c r="D234" s="21"/>
      <c r="E234" s="136"/>
      <c r="F234" s="136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</row>
    <row r="235">
      <c r="A235" s="21"/>
      <c r="B235" s="21"/>
      <c r="C235" s="21"/>
      <c r="D235" s="21"/>
      <c r="E235" s="136"/>
      <c r="F235" s="136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</row>
    <row r="236">
      <c r="A236" s="21"/>
      <c r="B236" s="21"/>
      <c r="C236" s="21"/>
      <c r="D236" s="21"/>
      <c r="E236" s="136"/>
      <c r="F236" s="136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</row>
    <row r="237">
      <c r="A237" s="21"/>
      <c r="B237" s="21"/>
      <c r="C237" s="21"/>
      <c r="D237" s="21"/>
      <c r="E237" s="136"/>
      <c r="F237" s="136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</row>
    <row r="238">
      <c r="A238" s="21"/>
      <c r="B238" s="21"/>
      <c r="C238" s="21"/>
      <c r="D238" s="21"/>
      <c r="E238" s="136"/>
      <c r="F238" s="136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</row>
    <row r="239">
      <c r="A239" s="21"/>
      <c r="B239" s="21"/>
      <c r="C239" s="21"/>
      <c r="D239" s="21"/>
      <c r="E239" s="136"/>
      <c r="F239" s="136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</row>
    <row r="240">
      <c r="A240" s="21"/>
      <c r="B240" s="21"/>
      <c r="C240" s="21"/>
      <c r="D240" s="21"/>
      <c r="E240" s="136"/>
      <c r="F240" s="136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</row>
    <row r="241">
      <c r="A241" s="21"/>
      <c r="B241" s="21"/>
      <c r="C241" s="21"/>
      <c r="D241" s="21"/>
      <c r="E241" s="136"/>
      <c r="F241" s="136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</row>
    <row r="242">
      <c r="A242" s="21"/>
      <c r="B242" s="21"/>
      <c r="C242" s="21"/>
      <c r="D242" s="21"/>
      <c r="E242" s="136"/>
      <c r="F242" s="136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</row>
    <row r="243">
      <c r="A243" s="21"/>
      <c r="B243" s="21"/>
      <c r="C243" s="21"/>
      <c r="D243" s="21"/>
      <c r="E243" s="136"/>
      <c r="F243" s="136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</row>
    <row r="244">
      <c r="A244" s="21"/>
      <c r="B244" s="21"/>
      <c r="C244" s="21"/>
      <c r="D244" s="21"/>
      <c r="E244" s="136"/>
      <c r="F244" s="136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</row>
    <row r="245">
      <c r="A245" s="21"/>
      <c r="B245" s="21"/>
      <c r="C245" s="21"/>
      <c r="D245" s="21"/>
      <c r="E245" s="136"/>
      <c r="F245" s="136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</row>
    <row r="246">
      <c r="A246" s="21"/>
      <c r="B246" s="21"/>
      <c r="C246" s="21"/>
      <c r="D246" s="21"/>
      <c r="E246" s="136"/>
      <c r="F246" s="136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</row>
    <row r="247">
      <c r="A247" s="21"/>
      <c r="B247" s="21"/>
      <c r="C247" s="21"/>
      <c r="D247" s="21"/>
      <c r="E247" s="136"/>
      <c r="F247" s="136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</row>
    <row r="248">
      <c r="A248" s="21"/>
      <c r="B248" s="21"/>
      <c r="C248" s="21"/>
      <c r="D248" s="21"/>
      <c r="E248" s="136"/>
      <c r="F248" s="136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</row>
    <row r="249">
      <c r="A249" s="21"/>
      <c r="B249" s="21"/>
      <c r="C249" s="21"/>
      <c r="D249" s="21"/>
      <c r="E249" s="136"/>
      <c r="F249" s="136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</row>
    <row r="250">
      <c r="A250" s="21"/>
      <c r="B250" s="21"/>
      <c r="C250" s="21"/>
      <c r="D250" s="21"/>
      <c r="E250" s="136"/>
      <c r="F250" s="136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</row>
    <row r="251">
      <c r="A251" s="21"/>
      <c r="B251" s="21"/>
      <c r="C251" s="21"/>
      <c r="D251" s="21"/>
      <c r="E251" s="136"/>
      <c r="F251" s="136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</row>
    <row r="252">
      <c r="A252" s="21"/>
      <c r="B252" s="21"/>
      <c r="C252" s="21"/>
      <c r="D252" s="21"/>
      <c r="E252" s="136"/>
      <c r="F252" s="136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</row>
    <row r="253">
      <c r="A253" s="21"/>
      <c r="B253" s="21"/>
      <c r="C253" s="21"/>
      <c r="D253" s="21"/>
      <c r="E253" s="136"/>
      <c r="F253" s="136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</row>
    <row r="254">
      <c r="A254" s="21"/>
      <c r="B254" s="21"/>
      <c r="C254" s="21"/>
      <c r="D254" s="21"/>
      <c r="E254" s="136"/>
      <c r="F254" s="136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</row>
    <row r="255">
      <c r="A255" s="21"/>
      <c r="B255" s="21"/>
      <c r="C255" s="21"/>
      <c r="D255" s="21"/>
      <c r="E255" s="136"/>
      <c r="F255" s="136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</row>
    <row r="256">
      <c r="A256" s="21"/>
      <c r="B256" s="21"/>
      <c r="C256" s="21"/>
      <c r="D256" s="21"/>
      <c r="E256" s="136"/>
      <c r="F256" s="136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</row>
    <row r="257">
      <c r="A257" s="21"/>
      <c r="B257" s="21"/>
      <c r="C257" s="21"/>
      <c r="D257" s="21"/>
      <c r="E257" s="136"/>
      <c r="F257" s="136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</row>
    <row r="258">
      <c r="A258" s="21"/>
      <c r="B258" s="21"/>
      <c r="C258" s="21"/>
      <c r="D258" s="21"/>
      <c r="E258" s="136"/>
      <c r="F258" s="136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</row>
    <row r="259">
      <c r="A259" s="21"/>
      <c r="B259" s="21"/>
      <c r="C259" s="21"/>
      <c r="D259" s="21"/>
      <c r="E259" s="136"/>
      <c r="F259" s="136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</row>
    <row r="260">
      <c r="A260" s="21"/>
      <c r="B260" s="21"/>
      <c r="C260" s="21"/>
      <c r="D260" s="21"/>
      <c r="E260" s="136"/>
      <c r="F260" s="136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</row>
    <row r="261">
      <c r="A261" s="21"/>
      <c r="B261" s="21"/>
      <c r="C261" s="21"/>
      <c r="D261" s="21"/>
      <c r="E261" s="136"/>
      <c r="F261" s="136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</row>
    <row r="262">
      <c r="A262" s="21"/>
      <c r="B262" s="21"/>
      <c r="C262" s="21"/>
      <c r="D262" s="21"/>
      <c r="E262" s="136"/>
      <c r="F262" s="136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</row>
    <row r="263">
      <c r="A263" s="21"/>
      <c r="B263" s="21"/>
      <c r="C263" s="21"/>
      <c r="D263" s="21"/>
      <c r="E263" s="136"/>
      <c r="F263" s="136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</row>
    <row r="264">
      <c r="A264" s="21"/>
      <c r="B264" s="21"/>
      <c r="C264" s="21"/>
      <c r="D264" s="21"/>
      <c r="E264" s="136"/>
      <c r="F264" s="136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</row>
    <row r="265">
      <c r="A265" s="21"/>
      <c r="B265" s="21"/>
      <c r="C265" s="21"/>
      <c r="D265" s="21"/>
      <c r="E265" s="136"/>
      <c r="F265" s="136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</row>
    <row r="266">
      <c r="A266" s="21"/>
      <c r="B266" s="21"/>
      <c r="C266" s="21"/>
      <c r="D266" s="21"/>
      <c r="E266" s="136"/>
      <c r="F266" s="136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</row>
    <row r="267">
      <c r="A267" s="21"/>
      <c r="B267" s="21"/>
      <c r="C267" s="21"/>
      <c r="D267" s="21"/>
      <c r="E267" s="136"/>
      <c r="F267" s="136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</row>
    <row r="268">
      <c r="A268" s="21"/>
      <c r="B268" s="21"/>
      <c r="C268" s="21"/>
      <c r="D268" s="21"/>
      <c r="E268" s="136"/>
      <c r="F268" s="136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</row>
    <row r="269">
      <c r="A269" s="21"/>
      <c r="B269" s="21"/>
      <c r="C269" s="21"/>
      <c r="D269" s="21"/>
      <c r="E269" s="136"/>
      <c r="F269" s="136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</row>
    <row r="270">
      <c r="A270" s="21"/>
      <c r="B270" s="21"/>
      <c r="C270" s="21"/>
      <c r="D270" s="21"/>
      <c r="E270" s="136"/>
      <c r="F270" s="136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</row>
    <row r="271">
      <c r="A271" s="21"/>
      <c r="B271" s="21"/>
      <c r="C271" s="21"/>
      <c r="D271" s="21"/>
      <c r="E271" s="136"/>
      <c r="F271" s="136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</row>
    <row r="272">
      <c r="A272" s="21"/>
      <c r="B272" s="21"/>
      <c r="C272" s="21"/>
      <c r="D272" s="21"/>
      <c r="E272" s="136"/>
      <c r="F272" s="136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</row>
    <row r="273">
      <c r="A273" s="21"/>
      <c r="B273" s="21"/>
      <c r="C273" s="21"/>
      <c r="D273" s="21"/>
      <c r="E273" s="136"/>
      <c r="F273" s="136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</row>
    <row r="274">
      <c r="A274" s="21"/>
      <c r="B274" s="21"/>
      <c r="C274" s="21"/>
      <c r="D274" s="21"/>
      <c r="E274" s="136"/>
      <c r="F274" s="136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</row>
    <row r="275">
      <c r="A275" s="21"/>
      <c r="B275" s="21"/>
      <c r="C275" s="21"/>
      <c r="D275" s="21"/>
      <c r="E275" s="136"/>
      <c r="F275" s="136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</row>
    <row r="276">
      <c r="A276" s="21"/>
      <c r="B276" s="21"/>
      <c r="C276" s="21"/>
      <c r="D276" s="21"/>
      <c r="E276" s="136"/>
      <c r="F276" s="136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</row>
    <row r="277">
      <c r="A277" s="21"/>
      <c r="B277" s="21"/>
      <c r="C277" s="21"/>
      <c r="D277" s="21"/>
      <c r="E277" s="136"/>
      <c r="F277" s="136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</row>
    <row r="278">
      <c r="A278" s="21"/>
      <c r="B278" s="21"/>
      <c r="C278" s="21"/>
      <c r="D278" s="21"/>
      <c r="E278" s="136"/>
      <c r="F278" s="136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</row>
    <row r="279">
      <c r="A279" s="21"/>
      <c r="B279" s="21"/>
      <c r="C279" s="21"/>
      <c r="D279" s="21"/>
      <c r="E279" s="136"/>
      <c r="F279" s="136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</row>
    <row r="280">
      <c r="A280" s="21"/>
      <c r="B280" s="21"/>
      <c r="C280" s="21"/>
      <c r="D280" s="21"/>
      <c r="E280" s="136"/>
      <c r="F280" s="136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</row>
    <row r="281">
      <c r="A281" s="21"/>
      <c r="B281" s="21"/>
      <c r="C281" s="21"/>
      <c r="D281" s="21"/>
      <c r="E281" s="136"/>
      <c r="F281" s="136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</row>
    <row r="282">
      <c r="A282" s="21"/>
      <c r="B282" s="21"/>
      <c r="C282" s="21"/>
      <c r="D282" s="21"/>
      <c r="E282" s="136"/>
      <c r="F282" s="136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</row>
    <row r="283">
      <c r="A283" s="21"/>
      <c r="B283" s="21"/>
      <c r="C283" s="21"/>
      <c r="D283" s="21"/>
      <c r="E283" s="136"/>
      <c r="F283" s="136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</row>
    <row r="284">
      <c r="A284" s="21"/>
      <c r="B284" s="21"/>
      <c r="C284" s="21"/>
      <c r="D284" s="21"/>
      <c r="E284" s="136"/>
      <c r="F284" s="136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</row>
    <row r="285">
      <c r="A285" s="21"/>
      <c r="B285" s="21"/>
      <c r="C285" s="21"/>
      <c r="D285" s="21"/>
      <c r="E285" s="136"/>
      <c r="F285" s="136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</row>
    <row r="286">
      <c r="A286" s="21"/>
      <c r="B286" s="21"/>
      <c r="C286" s="21"/>
      <c r="D286" s="21"/>
      <c r="E286" s="136"/>
      <c r="F286" s="136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</row>
    <row r="287">
      <c r="A287" s="21"/>
      <c r="B287" s="21"/>
      <c r="C287" s="21"/>
      <c r="D287" s="21"/>
      <c r="E287" s="136"/>
      <c r="F287" s="136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</row>
    <row r="288">
      <c r="A288" s="21"/>
      <c r="B288" s="21"/>
      <c r="C288" s="21"/>
      <c r="D288" s="21"/>
      <c r="E288" s="136"/>
      <c r="F288" s="136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</row>
    <row r="289">
      <c r="A289" s="21"/>
      <c r="B289" s="21"/>
      <c r="C289" s="21"/>
      <c r="D289" s="21"/>
      <c r="E289" s="136"/>
      <c r="F289" s="136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</row>
    <row r="290">
      <c r="A290" s="21"/>
      <c r="B290" s="21"/>
      <c r="C290" s="21"/>
      <c r="D290" s="21"/>
      <c r="E290" s="136"/>
      <c r="F290" s="136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</row>
    <row r="291">
      <c r="A291" s="21"/>
      <c r="B291" s="21"/>
      <c r="C291" s="21"/>
      <c r="D291" s="21"/>
      <c r="E291" s="136"/>
      <c r="F291" s="136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</row>
    <row r="292">
      <c r="A292" s="21"/>
      <c r="B292" s="21"/>
      <c r="C292" s="21"/>
      <c r="D292" s="21"/>
      <c r="E292" s="136"/>
      <c r="F292" s="136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</row>
    <row r="293">
      <c r="A293" s="21"/>
      <c r="B293" s="21"/>
      <c r="C293" s="21"/>
      <c r="D293" s="21"/>
      <c r="E293" s="136"/>
      <c r="F293" s="136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</row>
    <row r="294">
      <c r="A294" s="21"/>
      <c r="B294" s="21"/>
      <c r="C294" s="21"/>
      <c r="D294" s="21"/>
      <c r="E294" s="136"/>
      <c r="F294" s="136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</row>
    <row r="295">
      <c r="A295" s="21"/>
      <c r="B295" s="21"/>
      <c r="C295" s="21"/>
      <c r="D295" s="21"/>
      <c r="E295" s="136"/>
      <c r="F295" s="136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</row>
    <row r="296">
      <c r="A296" s="21"/>
      <c r="B296" s="21"/>
      <c r="C296" s="21"/>
      <c r="D296" s="21"/>
      <c r="E296" s="136"/>
      <c r="F296" s="136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</row>
    <row r="297">
      <c r="A297" s="21"/>
      <c r="B297" s="21"/>
      <c r="C297" s="21"/>
      <c r="D297" s="21"/>
      <c r="E297" s="136"/>
      <c r="F297" s="136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</row>
    <row r="298">
      <c r="A298" s="21"/>
      <c r="B298" s="21"/>
      <c r="C298" s="21"/>
      <c r="D298" s="21"/>
      <c r="E298" s="136"/>
      <c r="F298" s="136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</row>
    <row r="299">
      <c r="A299" s="21"/>
      <c r="B299" s="21"/>
      <c r="C299" s="21"/>
      <c r="D299" s="21"/>
      <c r="E299" s="136"/>
      <c r="F299" s="136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</row>
    <row r="300">
      <c r="A300" s="21"/>
      <c r="B300" s="21"/>
      <c r="C300" s="21"/>
      <c r="D300" s="21"/>
      <c r="E300" s="136"/>
      <c r="F300" s="136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</row>
    <row r="301">
      <c r="A301" s="21"/>
      <c r="B301" s="21"/>
      <c r="C301" s="21"/>
      <c r="D301" s="21"/>
      <c r="E301" s="136"/>
      <c r="F301" s="136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</row>
    <row r="302">
      <c r="A302" s="21"/>
      <c r="B302" s="21"/>
      <c r="C302" s="21"/>
      <c r="D302" s="21"/>
      <c r="E302" s="136"/>
      <c r="F302" s="136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</row>
    <row r="303">
      <c r="A303" s="21"/>
      <c r="B303" s="21"/>
      <c r="C303" s="21"/>
      <c r="D303" s="21"/>
      <c r="E303" s="136"/>
      <c r="F303" s="136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</row>
    <row r="304">
      <c r="A304" s="21"/>
      <c r="B304" s="21"/>
      <c r="C304" s="21"/>
      <c r="D304" s="21"/>
      <c r="E304" s="136"/>
      <c r="F304" s="136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</row>
    <row r="305">
      <c r="A305" s="21"/>
      <c r="B305" s="21"/>
      <c r="C305" s="21"/>
      <c r="D305" s="21"/>
      <c r="E305" s="136"/>
      <c r="F305" s="136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</row>
    <row r="306">
      <c r="A306" s="21"/>
      <c r="B306" s="21"/>
      <c r="C306" s="21"/>
      <c r="D306" s="21"/>
      <c r="E306" s="136"/>
      <c r="F306" s="136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</row>
    <row r="307">
      <c r="A307" s="21"/>
      <c r="B307" s="21"/>
      <c r="C307" s="21"/>
      <c r="D307" s="21"/>
      <c r="E307" s="136"/>
      <c r="F307" s="136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</row>
    <row r="308">
      <c r="A308" s="21"/>
      <c r="B308" s="21"/>
      <c r="C308" s="21"/>
      <c r="D308" s="21"/>
      <c r="E308" s="136"/>
      <c r="F308" s="136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</row>
    <row r="309">
      <c r="A309" s="21"/>
      <c r="B309" s="21"/>
      <c r="C309" s="21"/>
      <c r="D309" s="21"/>
      <c r="E309" s="136"/>
      <c r="F309" s="136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</row>
    <row r="310">
      <c r="A310" s="21"/>
      <c r="B310" s="21"/>
      <c r="C310" s="21"/>
      <c r="D310" s="21"/>
      <c r="E310" s="136"/>
      <c r="F310" s="136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</row>
    <row r="311">
      <c r="A311" s="21"/>
      <c r="B311" s="21"/>
      <c r="C311" s="21"/>
      <c r="D311" s="21"/>
      <c r="E311" s="136"/>
      <c r="F311" s="136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</row>
    <row r="312">
      <c r="A312" s="21"/>
      <c r="B312" s="21"/>
      <c r="C312" s="21"/>
      <c r="D312" s="21"/>
      <c r="E312" s="136"/>
      <c r="F312" s="136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</row>
    <row r="313">
      <c r="A313" s="21"/>
      <c r="B313" s="21"/>
      <c r="C313" s="21"/>
      <c r="D313" s="21"/>
      <c r="E313" s="136"/>
      <c r="F313" s="136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</row>
    <row r="314">
      <c r="A314" s="21"/>
      <c r="B314" s="21"/>
      <c r="C314" s="21"/>
      <c r="D314" s="21"/>
      <c r="E314" s="136"/>
      <c r="F314" s="136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</row>
    <row r="315">
      <c r="A315" s="21"/>
      <c r="B315" s="21"/>
      <c r="C315" s="21"/>
      <c r="D315" s="21"/>
      <c r="E315" s="136"/>
      <c r="F315" s="136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</row>
    <row r="316">
      <c r="A316" s="21"/>
      <c r="B316" s="21"/>
      <c r="C316" s="21"/>
      <c r="D316" s="21"/>
      <c r="E316" s="136"/>
      <c r="F316" s="136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</row>
    <row r="317">
      <c r="A317" s="21"/>
      <c r="B317" s="21"/>
      <c r="C317" s="21"/>
      <c r="D317" s="21"/>
      <c r="E317" s="136"/>
      <c r="F317" s="136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</row>
    <row r="318">
      <c r="A318" s="21"/>
      <c r="B318" s="21"/>
      <c r="C318" s="21"/>
      <c r="D318" s="21"/>
      <c r="E318" s="136"/>
      <c r="F318" s="136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</row>
    <row r="319">
      <c r="A319" s="21"/>
      <c r="B319" s="21"/>
      <c r="C319" s="21"/>
      <c r="D319" s="21"/>
      <c r="E319" s="136"/>
      <c r="F319" s="136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</row>
    <row r="320">
      <c r="A320" s="21"/>
      <c r="B320" s="21"/>
      <c r="C320" s="21"/>
      <c r="D320" s="21"/>
      <c r="E320" s="136"/>
      <c r="F320" s="136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</row>
    <row r="321">
      <c r="A321" s="21"/>
      <c r="B321" s="21"/>
      <c r="C321" s="21"/>
      <c r="D321" s="21"/>
      <c r="E321" s="136"/>
      <c r="F321" s="136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</row>
    <row r="322">
      <c r="A322" s="21"/>
      <c r="B322" s="21"/>
      <c r="C322" s="21"/>
      <c r="D322" s="21"/>
      <c r="E322" s="136"/>
      <c r="F322" s="136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</row>
    <row r="323">
      <c r="A323" s="21"/>
      <c r="B323" s="21"/>
      <c r="C323" s="21"/>
      <c r="D323" s="21"/>
      <c r="E323" s="136"/>
      <c r="F323" s="136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</row>
    <row r="324">
      <c r="A324" s="21"/>
      <c r="B324" s="21"/>
      <c r="C324" s="21"/>
      <c r="D324" s="21"/>
      <c r="E324" s="136"/>
      <c r="F324" s="136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</row>
    <row r="325">
      <c r="A325" s="21"/>
      <c r="B325" s="21"/>
      <c r="C325" s="21"/>
      <c r="D325" s="21"/>
      <c r="E325" s="136"/>
      <c r="F325" s="136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</row>
    <row r="326">
      <c r="A326" s="21"/>
      <c r="B326" s="21"/>
      <c r="C326" s="21"/>
      <c r="D326" s="21"/>
      <c r="E326" s="136"/>
      <c r="F326" s="136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</row>
    <row r="327">
      <c r="A327" s="21"/>
      <c r="B327" s="21"/>
      <c r="C327" s="21"/>
      <c r="D327" s="21"/>
      <c r="E327" s="136"/>
      <c r="F327" s="136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</row>
    <row r="328">
      <c r="A328" s="21"/>
      <c r="B328" s="21"/>
      <c r="C328" s="21"/>
      <c r="D328" s="21"/>
      <c r="E328" s="136"/>
      <c r="F328" s="136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</row>
    <row r="329">
      <c r="A329" s="21"/>
      <c r="B329" s="21"/>
      <c r="C329" s="21"/>
      <c r="D329" s="21"/>
      <c r="E329" s="136"/>
      <c r="F329" s="136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</row>
    <row r="330">
      <c r="A330" s="21"/>
      <c r="B330" s="21"/>
      <c r="C330" s="21"/>
      <c r="D330" s="21"/>
      <c r="E330" s="136"/>
      <c r="F330" s="136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</row>
    <row r="331">
      <c r="A331" s="21"/>
      <c r="B331" s="21"/>
      <c r="C331" s="21"/>
      <c r="D331" s="21"/>
      <c r="E331" s="136"/>
      <c r="F331" s="136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</row>
    <row r="332">
      <c r="A332" s="21"/>
      <c r="B332" s="21"/>
      <c r="C332" s="21"/>
      <c r="D332" s="21"/>
      <c r="E332" s="136"/>
      <c r="F332" s="136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</row>
    <row r="333">
      <c r="A333" s="21"/>
      <c r="B333" s="21"/>
      <c r="C333" s="21"/>
      <c r="D333" s="21"/>
      <c r="E333" s="136"/>
      <c r="F333" s="136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</row>
    <row r="334">
      <c r="A334" s="21"/>
      <c r="B334" s="21"/>
      <c r="C334" s="21"/>
      <c r="D334" s="21"/>
      <c r="E334" s="136"/>
      <c r="F334" s="136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</row>
    <row r="335">
      <c r="A335" s="21"/>
      <c r="B335" s="21"/>
      <c r="C335" s="21"/>
      <c r="D335" s="21"/>
      <c r="E335" s="136"/>
      <c r="F335" s="136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</row>
    <row r="336">
      <c r="A336" s="21"/>
      <c r="B336" s="21"/>
      <c r="C336" s="21"/>
      <c r="D336" s="21"/>
      <c r="E336" s="136"/>
      <c r="F336" s="136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</row>
    <row r="337">
      <c r="A337" s="21"/>
      <c r="B337" s="21"/>
      <c r="C337" s="21"/>
      <c r="D337" s="21"/>
      <c r="E337" s="136"/>
      <c r="F337" s="136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</row>
    <row r="338">
      <c r="A338" s="21"/>
      <c r="B338" s="21"/>
      <c r="C338" s="21"/>
      <c r="D338" s="21"/>
      <c r="E338" s="136"/>
      <c r="F338" s="136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</row>
    <row r="339">
      <c r="A339" s="21"/>
      <c r="B339" s="21"/>
      <c r="C339" s="21"/>
      <c r="D339" s="21"/>
      <c r="E339" s="136"/>
      <c r="F339" s="136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</row>
    <row r="340">
      <c r="A340" s="21"/>
      <c r="B340" s="21"/>
      <c r="C340" s="21"/>
      <c r="D340" s="21"/>
      <c r="E340" s="136"/>
      <c r="F340" s="136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</row>
    <row r="341">
      <c r="A341" s="21"/>
      <c r="B341" s="21"/>
      <c r="C341" s="21"/>
      <c r="D341" s="21"/>
      <c r="E341" s="136"/>
      <c r="F341" s="136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</row>
    <row r="342">
      <c r="A342" s="21"/>
      <c r="B342" s="21"/>
      <c r="C342" s="21"/>
      <c r="D342" s="21"/>
      <c r="E342" s="136"/>
      <c r="F342" s="136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</row>
    <row r="343">
      <c r="A343" s="21"/>
      <c r="B343" s="21"/>
      <c r="C343" s="21"/>
      <c r="D343" s="21"/>
      <c r="E343" s="136"/>
      <c r="F343" s="136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</row>
    <row r="344">
      <c r="A344" s="21"/>
      <c r="B344" s="21"/>
      <c r="C344" s="21"/>
      <c r="D344" s="21"/>
      <c r="E344" s="136"/>
      <c r="F344" s="136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</row>
    <row r="345">
      <c r="A345" s="21"/>
      <c r="B345" s="21"/>
      <c r="C345" s="21"/>
      <c r="D345" s="21"/>
      <c r="E345" s="136"/>
      <c r="F345" s="136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</row>
    <row r="346">
      <c r="A346" s="21"/>
      <c r="B346" s="21"/>
      <c r="C346" s="21"/>
      <c r="D346" s="21"/>
      <c r="E346" s="136"/>
      <c r="F346" s="136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</row>
    <row r="347">
      <c r="A347" s="21"/>
      <c r="B347" s="21"/>
      <c r="C347" s="21"/>
      <c r="D347" s="21"/>
      <c r="E347" s="136"/>
      <c r="F347" s="136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</row>
    <row r="348">
      <c r="A348" s="21"/>
      <c r="B348" s="21"/>
      <c r="C348" s="21"/>
      <c r="D348" s="21"/>
      <c r="E348" s="136"/>
      <c r="F348" s="136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</row>
    <row r="349">
      <c r="A349" s="21"/>
      <c r="B349" s="21"/>
      <c r="C349" s="21"/>
      <c r="D349" s="21"/>
      <c r="E349" s="136"/>
      <c r="F349" s="136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</row>
    <row r="350">
      <c r="A350" s="21"/>
      <c r="B350" s="21"/>
      <c r="C350" s="21"/>
      <c r="D350" s="21"/>
      <c r="E350" s="136"/>
      <c r="F350" s="136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</row>
    <row r="351">
      <c r="A351" s="21"/>
      <c r="B351" s="21"/>
      <c r="C351" s="21"/>
      <c r="D351" s="21"/>
      <c r="E351" s="136"/>
      <c r="F351" s="136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</row>
    <row r="352">
      <c r="A352" s="21"/>
      <c r="B352" s="21"/>
      <c r="C352" s="21"/>
      <c r="D352" s="21"/>
      <c r="E352" s="136"/>
      <c r="F352" s="136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</row>
    <row r="353">
      <c r="A353" s="21"/>
      <c r="B353" s="21"/>
      <c r="C353" s="21"/>
      <c r="D353" s="21"/>
      <c r="E353" s="136"/>
      <c r="F353" s="136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</row>
    <row r="354">
      <c r="A354" s="21"/>
      <c r="B354" s="21"/>
      <c r="C354" s="21"/>
      <c r="D354" s="21"/>
      <c r="E354" s="136"/>
      <c r="F354" s="136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</row>
    <row r="355">
      <c r="A355" s="21"/>
      <c r="B355" s="21"/>
      <c r="C355" s="21"/>
      <c r="D355" s="21"/>
      <c r="E355" s="136"/>
      <c r="F355" s="136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</row>
    <row r="356">
      <c r="A356" s="21"/>
      <c r="B356" s="21"/>
      <c r="C356" s="21"/>
      <c r="D356" s="21"/>
      <c r="E356" s="136"/>
      <c r="F356" s="136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</row>
    <row r="357">
      <c r="A357" s="21"/>
      <c r="B357" s="21"/>
      <c r="C357" s="21"/>
      <c r="D357" s="21"/>
      <c r="E357" s="136"/>
      <c r="F357" s="136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</row>
    <row r="358">
      <c r="A358" s="21"/>
      <c r="B358" s="21"/>
      <c r="C358" s="21"/>
      <c r="D358" s="21"/>
      <c r="E358" s="136"/>
      <c r="F358" s="136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</row>
    <row r="359">
      <c r="A359" s="21"/>
      <c r="B359" s="21"/>
      <c r="C359" s="21"/>
      <c r="D359" s="21"/>
      <c r="E359" s="136"/>
      <c r="F359" s="136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</row>
    <row r="360">
      <c r="A360" s="21"/>
      <c r="B360" s="21"/>
      <c r="C360" s="21"/>
      <c r="D360" s="21"/>
      <c r="E360" s="136"/>
      <c r="F360" s="136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</row>
    <row r="361">
      <c r="A361" s="21"/>
      <c r="B361" s="21"/>
      <c r="C361" s="21"/>
      <c r="D361" s="21"/>
      <c r="E361" s="136"/>
      <c r="F361" s="136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</row>
    <row r="362">
      <c r="A362" s="21"/>
      <c r="B362" s="21"/>
      <c r="C362" s="21"/>
      <c r="D362" s="21"/>
      <c r="E362" s="136"/>
      <c r="F362" s="136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</row>
    <row r="363">
      <c r="A363" s="21"/>
      <c r="B363" s="21"/>
      <c r="C363" s="21"/>
      <c r="D363" s="21"/>
      <c r="E363" s="136"/>
      <c r="F363" s="136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</row>
    <row r="364">
      <c r="A364" s="21"/>
      <c r="B364" s="21"/>
      <c r="C364" s="21"/>
      <c r="D364" s="21"/>
      <c r="E364" s="136"/>
      <c r="F364" s="136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</row>
    <row r="365">
      <c r="A365" s="21"/>
      <c r="B365" s="21"/>
      <c r="C365" s="21"/>
      <c r="D365" s="21"/>
      <c r="E365" s="136"/>
      <c r="F365" s="136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</row>
    <row r="366">
      <c r="A366" s="21"/>
      <c r="B366" s="21"/>
      <c r="C366" s="21"/>
      <c r="D366" s="21"/>
      <c r="E366" s="136"/>
      <c r="F366" s="136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</row>
    <row r="367">
      <c r="A367" s="21"/>
      <c r="B367" s="21"/>
      <c r="C367" s="21"/>
      <c r="D367" s="21"/>
      <c r="E367" s="136"/>
      <c r="F367" s="136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</row>
    <row r="368">
      <c r="A368" s="21"/>
      <c r="B368" s="21"/>
      <c r="C368" s="21"/>
      <c r="D368" s="21"/>
      <c r="E368" s="136"/>
      <c r="F368" s="136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</row>
    <row r="369">
      <c r="A369" s="21"/>
      <c r="B369" s="21"/>
      <c r="C369" s="21"/>
      <c r="D369" s="21"/>
      <c r="E369" s="136"/>
      <c r="F369" s="136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</row>
    <row r="370">
      <c r="A370" s="21"/>
      <c r="B370" s="21"/>
      <c r="C370" s="21"/>
      <c r="D370" s="21"/>
      <c r="E370" s="136"/>
      <c r="F370" s="136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</row>
    <row r="371">
      <c r="A371" s="21"/>
      <c r="B371" s="21"/>
      <c r="C371" s="21"/>
      <c r="D371" s="21"/>
      <c r="E371" s="136"/>
      <c r="F371" s="136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</row>
    <row r="372">
      <c r="A372" s="21"/>
      <c r="B372" s="21"/>
      <c r="C372" s="21"/>
      <c r="D372" s="21"/>
      <c r="E372" s="136"/>
      <c r="F372" s="136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</row>
    <row r="373">
      <c r="A373" s="21"/>
      <c r="B373" s="21"/>
      <c r="C373" s="21"/>
      <c r="D373" s="21"/>
      <c r="E373" s="136"/>
      <c r="F373" s="136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</row>
    <row r="374">
      <c r="A374" s="21"/>
      <c r="B374" s="21"/>
      <c r="C374" s="21"/>
      <c r="D374" s="21"/>
      <c r="E374" s="136"/>
      <c r="F374" s="136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</row>
    <row r="375">
      <c r="A375" s="21"/>
      <c r="B375" s="21"/>
      <c r="C375" s="21"/>
      <c r="D375" s="21"/>
      <c r="E375" s="136"/>
      <c r="F375" s="136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</row>
    <row r="376">
      <c r="A376" s="21"/>
      <c r="B376" s="21"/>
      <c r="C376" s="21"/>
      <c r="D376" s="21"/>
      <c r="E376" s="136"/>
      <c r="F376" s="136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</row>
    <row r="377">
      <c r="A377" s="21"/>
      <c r="B377" s="21"/>
      <c r="C377" s="21"/>
      <c r="D377" s="21"/>
      <c r="E377" s="136"/>
      <c r="F377" s="136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</row>
    <row r="378">
      <c r="A378" s="21"/>
      <c r="B378" s="21"/>
      <c r="C378" s="21"/>
      <c r="D378" s="21"/>
      <c r="E378" s="136"/>
      <c r="F378" s="136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</row>
    <row r="379">
      <c r="A379" s="21"/>
      <c r="B379" s="21"/>
      <c r="C379" s="21"/>
      <c r="D379" s="21"/>
      <c r="E379" s="136"/>
      <c r="F379" s="136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</row>
    <row r="380">
      <c r="A380" s="21"/>
      <c r="B380" s="21"/>
      <c r="C380" s="21"/>
      <c r="D380" s="21"/>
      <c r="E380" s="136"/>
      <c r="F380" s="136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</row>
    <row r="381">
      <c r="A381" s="21"/>
      <c r="B381" s="21"/>
      <c r="C381" s="21"/>
      <c r="D381" s="21"/>
      <c r="E381" s="136"/>
      <c r="F381" s="136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</row>
    <row r="382">
      <c r="A382" s="21"/>
      <c r="B382" s="21"/>
      <c r="C382" s="21"/>
      <c r="D382" s="21"/>
      <c r="E382" s="136"/>
      <c r="F382" s="136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</row>
    <row r="383">
      <c r="A383" s="21"/>
      <c r="B383" s="21"/>
      <c r="C383" s="21"/>
      <c r="D383" s="21"/>
      <c r="E383" s="136"/>
      <c r="F383" s="136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</row>
    <row r="384">
      <c r="A384" s="21"/>
      <c r="B384" s="21"/>
      <c r="C384" s="21"/>
      <c r="D384" s="21"/>
      <c r="E384" s="136"/>
      <c r="F384" s="136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</row>
    <row r="385">
      <c r="A385" s="21"/>
      <c r="B385" s="21"/>
      <c r="C385" s="21"/>
      <c r="D385" s="21"/>
      <c r="E385" s="136"/>
      <c r="F385" s="136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</row>
    <row r="386">
      <c r="A386" s="21"/>
      <c r="B386" s="21"/>
      <c r="C386" s="21"/>
      <c r="D386" s="21"/>
      <c r="E386" s="136"/>
      <c r="F386" s="136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</row>
    <row r="387">
      <c r="A387" s="21"/>
      <c r="B387" s="21"/>
      <c r="C387" s="21"/>
      <c r="D387" s="21"/>
      <c r="E387" s="136"/>
      <c r="F387" s="136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</row>
    <row r="388">
      <c r="A388" s="21"/>
      <c r="B388" s="21"/>
      <c r="C388" s="21"/>
      <c r="D388" s="21"/>
      <c r="E388" s="136"/>
      <c r="F388" s="136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</row>
    <row r="389">
      <c r="A389" s="21"/>
      <c r="B389" s="21"/>
      <c r="C389" s="21"/>
      <c r="D389" s="21"/>
      <c r="E389" s="136"/>
      <c r="F389" s="136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</row>
    <row r="390">
      <c r="A390" s="21"/>
      <c r="B390" s="21"/>
      <c r="C390" s="21"/>
      <c r="D390" s="21"/>
      <c r="E390" s="136"/>
      <c r="F390" s="136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</row>
    <row r="391">
      <c r="A391" s="21"/>
      <c r="B391" s="21"/>
      <c r="C391" s="21"/>
      <c r="D391" s="21"/>
      <c r="E391" s="136"/>
      <c r="F391" s="136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</row>
    <row r="392">
      <c r="A392" s="21"/>
      <c r="B392" s="21"/>
      <c r="C392" s="21"/>
      <c r="D392" s="21"/>
      <c r="E392" s="136"/>
      <c r="F392" s="136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</row>
    <row r="393">
      <c r="A393" s="21"/>
      <c r="B393" s="21"/>
      <c r="C393" s="21"/>
      <c r="D393" s="21"/>
      <c r="E393" s="136"/>
      <c r="F393" s="136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</row>
    <row r="394">
      <c r="A394" s="21"/>
      <c r="B394" s="21"/>
      <c r="C394" s="21"/>
      <c r="D394" s="21"/>
      <c r="E394" s="136"/>
      <c r="F394" s="136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</row>
    <row r="395">
      <c r="A395" s="21"/>
      <c r="B395" s="21"/>
      <c r="C395" s="21"/>
      <c r="D395" s="21"/>
      <c r="E395" s="136"/>
      <c r="F395" s="136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</row>
    <row r="396">
      <c r="A396" s="21"/>
      <c r="B396" s="21"/>
      <c r="C396" s="21"/>
      <c r="D396" s="21"/>
      <c r="E396" s="136"/>
      <c r="F396" s="136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</row>
    <row r="397">
      <c r="A397" s="21"/>
      <c r="B397" s="21"/>
      <c r="C397" s="21"/>
      <c r="D397" s="21"/>
      <c r="E397" s="136"/>
      <c r="F397" s="136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</row>
    <row r="398">
      <c r="A398" s="21"/>
      <c r="B398" s="21"/>
      <c r="C398" s="21"/>
      <c r="D398" s="21"/>
      <c r="E398" s="136"/>
      <c r="F398" s="136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</row>
    <row r="399">
      <c r="A399" s="21"/>
      <c r="B399" s="21"/>
      <c r="C399" s="21"/>
      <c r="D399" s="21"/>
      <c r="E399" s="136"/>
      <c r="F399" s="136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</row>
    <row r="400">
      <c r="A400" s="21"/>
      <c r="B400" s="21"/>
      <c r="C400" s="21"/>
      <c r="D400" s="21"/>
      <c r="E400" s="136"/>
      <c r="F400" s="136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</row>
    <row r="401">
      <c r="A401" s="21"/>
      <c r="B401" s="21"/>
      <c r="C401" s="21"/>
      <c r="D401" s="21"/>
      <c r="E401" s="136"/>
      <c r="F401" s="136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</row>
    <row r="402">
      <c r="A402" s="21"/>
      <c r="B402" s="21"/>
      <c r="C402" s="21"/>
      <c r="D402" s="21"/>
      <c r="E402" s="136"/>
      <c r="F402" s="136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</row>
    <row r="403">
      <c r="A403" s="21"/>
      <c r="B403" s="21"/>
      <c r="C403" s="21"/>
      <c r="D403" s="21"/>
      <c r="E403" s="136"/>
      <c r="F403" s="136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</row>
    <row r="404">
      <c r="A404" s="21"/>
      <c r="B404" s="21"/>
      <c r="C404" s="21"/>
      <c r="D404" s="21"/>
      <c r="E404" s="136"/>
      <c r="F404" s="136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</row>
    <row r="405">
      <c r="A405" s="21"/>
      <c r="B405" s="21"/>
      <c r="C405" s="21"/>
      <c r="D405" s="21"/>
      <c r="E405" s="136"/>
      <c r="F405" s="136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</row>
    <row r="406">
      <c r="A406" s="21"/>
      <c r="B406" s="21"/>
      <c r="C406" s="21"/>
      <c r="D406" s="21"/>
      <c r="E406" s="136"/>
      <c r="F406" s="136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</row>
    <row r="407">
      <c r="A407" s="21"/>
      <c r="B407" s="21"/>
      <c r="C407" s="21"/>
      <c r="D407" s="21"/>
      <c r="E407" s="136"/>
      <c r="F407" s="136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</row>
    <row r="408">
      <c r="A408" s="21"/>
      <c r="B408" s="21"/>
      <c r="C408" s="21"/>
      <c r="D408" s="21"/>
      <c r="E408" s="136"/>
      <c r="F408" s="136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</row>
    <row r="409">
      <c r="A409" s="21"/>
      <c r="B409" s="21"/>
      <c r="C409" s="21"/>
      <c r="D409" s="21"/>
      <c r="E409" s="136"/>
      <c r="F409" s="136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</row>
    <row r="410">
      <c r="A410" s="21"/>
      <c r="B410" s="21"/>
      <c r="C410" s="21"/>
      <c r="D410" s="21"/>
      <c r="E410" s="136"/>
      <c r="F410" s="136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</row>
    <row r="411">
      <c r="A411" s="21"/>
      <c r="B411" s="21"/>
      <c r="C411" s="21"/>
      <c r="D411" s="21"/>
      <c r="E411" s="136"/>
      <c r="F411" s="136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</row>
    <row r="412">
      <c r="A412" s="21"/>
      <c r="B412" s="21"/>
      <c r="C412" s="21"/>
      <c r="D412" s="21"/>
      <c r="E412" s="136"/>
      <c r="F412" s="136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</row>
    <row r="413">
      <c r="A413" s="21"/>
      <c r="B413" s="21"/>
      <c r="C413" s="21"/>
      <c r="D413" s="21"/>
      <c r="E413" s="136"/>
      <c r="F413" s="136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</row>
    <row r="414">
      <c r="A414" s="21"/>
      <c r="B414" s="21"/>
      <c r="C414" s="21"/>
      <c r="D414" s="21"/>
      <c r="E414" s="136"/>
      <c r="F414" s="136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</row>
    <row r="415">
      <c r="A415" s="21"/>
      <c r="B415" s="21"/>
      <c r="C415" s="21"/>
      <c r="D415" s="21"/>
      <c r="E415" s="136"/>
      <c r="F415" s="136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</row>
    <row r="416">
      <c r="A416" s="21"/>
      <c r="B416" s="21"/>
      <c r="C416" s="21"/>
      <c r="D416" s="21"/>
      <c r="E416" s="136"/>
      <c r="F416" s="136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</row>
    <row r="417">
      <c r="A417" s="21"/>
      <c r="B417" s="21"/>
      <c r="C417" s="21"/>
      <c r="D417" s="21"/>
      <c r="E417" s="136"/>
      <c r="F417" s="136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</row>
    <row r="418">
      <c r="A418" s="21"/>
      <c r="B418" s="21"/>
      <c r="C418" s="21"/>
      <c r="D418" s="21"/>
      <c r="E418" s="136"/>
      <c r="F418" s="136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</row>
    <row r="419">
      <c r="A419" s="21"/>
      <c r="B419" s="21"/>
      <c r="C419" s="21"/>
      <c r="D419" s="21"/>
      <c r="E419" s="136"/>
      <c r="F419" s="136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</row>
    <row r="420">
      <c r="A420" s="21"/>
      <c r="B420" s="21"/>
      <c r="C420" s="21"/>
      <c r="D420" s="21"/>
      <c r="E420" s="136"/>
      <c r="F420" s="136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</row>
    <row r="421">
      <c r="A421" s="21"/>
      <c r="B421" s="21"/>
      <c r="C421" s="21"/>
      <c r="D421" s="21"/>
      <c r="E421" s="136"/>
      <c r="F421" s="136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</row>
    <row r="422">
      <c r="A422" s="21"/>
      <c r="B422" s="21"/>
      <c r="C422" s="21"/>
      <c r="D422" s="21"/>
      <c r="E422" s="136"/>
      <c r="F422" s="136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</row>
    <row r="423">
      <c r="A423" s="21"/>
      <c r="B423" s="21"/>
      <c r="C423" s="21"/>
      <c r="D423" s="21"/>
      <c r="E423" s="136"/>
      <c r="F423" s="136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</row>
    <row r="424">
      <c r="A424" s="21"/>
      <c r="B424" s="21"/>
      <c r="C424" s="21"/>
      <c r="D424" s="21"/>
      <c r="E424" s="136"/>
      <c r="F424" s="136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</row>
    <row r="425">
      <c r="A425" s="21"/>
      <c r="B425" s="21"/>
      <c r="C425" s="21"/>
      <c r="D425" s="21"/>
      <c r="E425" s="136"/>
      <c r="F425" s="136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</row>
    <row r="426">
      <c r="A426" s="21"/>
      <c r="B426" s="21"/>
      <c r="C426" s="21"/>
      <c r="D426" s="21"/>
      <c r="E426" s="136"/>
      <c r="F426" s="136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</row>
    <row r="427">
      <c r="A427" s="21"/>
      <c r="B427" s="21"/>
      <c r="C427" s="21"/>
      <c r="D427" s="21"/>
      <c r="E427" s="136"/>
      <c r="F427" s="136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</row>
    <row r="428">
      <c r="A428" s="21"/>
      <c r="B428" s="21"/>
      <c r="C428" s="21"/>
      <c r="D428" s="21"/>
      <c r="E428" s="136"/>
      <c r="F428" s="136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</row>
    <row r="429">
      <c r="A429" s="21"/>
      <c r="B429" s="21"/>
      <c r="C429" s="21"/>
      <c r="D429" s="21"/>
      <c r="E429" s="136"/>
      <c r="F429" s="136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</row>
    <row r="430">
      <c r="A430" s="21"/>
      <c r="B430" s="21"/>
      <c r="C430" s="21"/>
      <c r="D430" s="21"/>
      <c r="E430" s="136"/>
      <c r="F430" s="136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</row>
    <row r="431">
      <c r="A431" s="21"/>
      <c r="B431" s="21"/>
      <c r="C431" s="21"/>
      <c r="D431" s="21"/>
      <c r="E431" s="136"/>
      <c r="F431" s="136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</row>
    <row r="432">
      <c r="A432" s="21"/>
      <c r="B432" s="21"/>
      <c r="C432" s="21"/>
      <c r="D432" s="21"/>
      <c r="E432" s="136"/>
      <c r="F432" s="136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</row>
    <row r="433">
      <c r="A433" s="21"/>
      <c r="B433" s="21"/>
      <c r="C433" s="21"/>
      <c r="D433" s="21"/>
      <c r="E433" s="136"/>
      <c r="F433" s="136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</row>
    <row r="434">
      <c r="A434" s="21"/>
      <c r="B434" s="21"/>
      <c r="C434" s="21"/>
      <c r="D434" s="21"/>
      <c r="E434" s="136"/>
      <c r="F434" s="136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</row>
    <row r="435">
      <c r="A435" s="21"/>
      <c r="B435" s="21"/>
      <c r="C435" s="21"/>
      <c r="D435" s="21"/>
      <c r="E435" s="136"/>
      <c r="F435" s="136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</row>
    <row r="436">
      <c r="A436" s="21"/>
      <c r="B436" s="21"/>
      <c r="C436" s="21"/>
      <c r="D436" s="21"/>
      <c r="E436" s="136"/>
      <c r="F436" s="136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</row>
    <row r="437">
      <c r="A437" s="21"/>
      <c r="B437" s="21"/>
      <c r="C437" s="21"/>
      <c r="D437" s="21"/>
      <c r="E437" s="136"/>
      <c r="F437" s="136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</row>
    <row r="438">
      <c r="A438" s="21"/>
      <c r="B438" s="21"/>
      <c r="C438" s="21"/>
      <c r="D438" s="21"/>
      <c r="E438" s="136"/>
      <c r="F438" s="136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</row>
    <row r="439">
      <c r="A439" s="21"/>
      <c r="B439" s="21"/>
      <c r="C439" s="21"/>
      <c r="D439" s="21"/>
      <c r="E439" s="136"/>
      <c r="F439" s="136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</row>
    <row r="440">
      <c r="A440" s="21"/>
      <c r="B440" s="21"/>
      <c r="C440" s="21"/>
      <c r="D440" s="21"/>
      <c r="E440" s="136"/>
      <c r="F440" s="136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</row>
    <row r="441">
      <c r="A441" s="21"/>
      <c r="B441" s="21"/>
      <c r="C441" s="21"/>
      <c r="D441" s="21"/>
      <c r="E441" s="136"/>
      <c r="F441" s="136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</row>
    <row r="442">
      <c r="A442" s="21"/>
      <c r="B442" s="21"/>
      <c r="C442" s="21"/>
      <c r="D442" s="21"/>
      <c r="E442" s="136"/>
      <c r="F442" s="136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</row>
    <row r="443">
      <c r="A443" s="21"/>
      <c r="B443" s="21"/>
      <c r="C443" s="21"/>
      <c r="D443" s="21"/>
      <c r="E443" s="136"/>
      <c r="F443" s="136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</row>
    <row r="444">
      <c r="A444" s="21"/>
      <c r="B444" s="21"/>
      <c r="C444" s="21"/>
      <c r="D444" s="21"/>
      <c r="E444" s="136"/>
      <c r="F444" s="136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</row>
    <row r="445">
      <c r="A445" s="21"/>
      <c r="B445" s="21"/>
      <c r="C445" s="21"/>
      <c r="D445" s="21"/>
      <c r="E445" s="136"/>
      <c r="F445" s="136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</row>
    <row r="446">
      <c r="A446" s="21"/>
      <c r="B446" s="21"/>
      <c r="C446" s="21"/>
      <c r="D446" s="21"/>
      <c r="E446" s="136"/>
      <c r="F446" s="136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</row>
    <row r="447">
      <c r="A447" s="21"/>
      <c r="B447" s="21"/>
      <c r="C447" s="21"/>
      <c r="D447" s="21"/>
      <c r="E447" s="136"/>
      <c r="F447" s="136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</row>
    <row r="448">
      <c r="A448" s="21"/>
      <c r="B448" s="21"/>
      <c r="C448" s="21"/>
      <c r="D448" s="21"/>
      <c r="E448" s="136"/>
      <c r="F448" s="136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</row>
    <row r="449">
      <c r="A449" s="21"/>
      <c r="B449" s="21"/>
      <c r="C449" s="21"/>
      <c r="D449" s="21"/>
      <c r="E449" s="136"/>
      <c r="F449" s="136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</row>
    <row r="450">
      <c r="A450" s="21"/>
      <c r="B450" s="21"/>
      <c r="C450" s="21"/>
      <c r="D450" s="21"/>
      <c r="E450" s="136"/>
      <c r="F450" s="136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</row>
    <row r="451">
      <c r="A451" s="21"/>
      <c r="B451" s="21"/>
      <c r="C451" s="21"/>
      <c r="D451" s="21"/>
      <c r="E451" s="136"/>
      <c r="F451" s="136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</row>
    <row r="452">
      <c r="A452" s="21"/>
      <c r="B452" s="21"/>
      <c r="C452" s="21"/>
      <c r="D452" s="21"/>
      <c r="E452" s="136"/>
      <c r="F452" s="136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</row>
    <row r="453">
      <c r="A453" s="21"/>
      <c r="B453" s="21"/>
      <c r="C453" s="21"/>
      <c r="D453" s="21"/>
      <c r="E453" s="136"/>
      <c r="F453" s="136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</row>
    <row r="454">
      <c r="A454" s="21"/>
      <c r="B454" s="21"/>
      <c r="C454" s="21"/>
      <c r="D454" s="21"/>
      <c r="E454" s="136"/>
      <c r="F454" s="136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</row>
    <row r="455">
      <c r="A455" s="21"/>
      <c r="B455" s="21"/>
      <c r="C455" s="21"/>
      <c r="D455" s="21"/>
      <c r="E455" s="136"/>
      <c r="F455" s="136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</row>
    <row r="456">
      <c r="A456" s="21"/>
      <c r="B456" s="21"/>
      <c r="C456" s="21"/>
      <c r="D456" s="21"/>
      <c r="E456" s="136"/>
      <c r="F456" s="136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</row>
    <row r="457">
      <c r="A457" s="21"/>
      <c r="B457" s="21"/>
      <c r="C457" s="21"/>
      <c r="D457" s="21"/>
      <c r="E457" s="136"/>
      <c r="F457" s="136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</row>
    <row r="458">
      <c r="A458" s="21"/>
      <c r="B458" s="21"/>
      <c r="C458" s="21"/>
      <c r="D458" s="21"/>
      <c r="E458" s="136"/>
      <c r="F458" s="136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</row>
    <row r="459">
      <c r="A459" s="21"/>
      <c r="B459" s="21"/>
      <c r="C459" s="21"/>
      <c r="D459" s="21"/>
      <c r="E459" s="136"/>
      <c r="F459" s="136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</row>
    <row r="460">
      <c r="A460" s="21"/>
      <c r="B460" s="21"/>
      <c r="C460" s="21"/>
      <c r="D460" s="21"/>
      <c r="E460" s="136"/>
      <c r="F460" s="136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</row>
    <row r="461">
      <c r="A461" s="21"/>
      <c r="B461" s="21"/>
      <c r="C461" s="21"/>
      <c r="D461" s="21"/>
      <c r="E461" s="136"/>
      <c r="F461" s="136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</row>
    <row r="462">
      <c r="A462" s="21"/>
      <c r="B462" s="21"/>
      <c r="C462" s="21"/>
      <c r="D462" s="21"/>
      <c r="E462" s="136"/>
      <c r="F462" s="136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</row>
    <row r="463">
      <c r="A463" s="21"/>
      <c r="B463" s="21"/>
      <c r="C463" s="21"/>
      <c r="D463" s="21"/>
      <c r="E463" s="136"/>
      <c r="F463" s="136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</row>
    <row r="464">
      <c r="A464" s="21"/>
      <c r="B464" s="21"/>
      <c r="C464" s="21"/>
      <c r="D464" s="21"/>
      <c r="E464" s="136"/>
      <c r="F464" s="136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</row>
    <row r="465">
      <c r="A465" s="21"/>
      <c r="B465" s="21"/>
      <c r="C465" s="21"/>
      <c r="D465" s="21"/>
      <c r="E465" s="136"/>
      <c r="F465" s="136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</row>
    <row r="466">
      <c r="A466" s="21"/>
      <c r="B466" s="21"/>
      <c r="C466" s="21"/>
      <c r="D466" s="21"/>
      <c r="E466" s="136"/>
      <c r="F466" s="136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</row>
    <row r="467">
      <c r="A467" s="21"/>
      <c r="B467" s="21"/>
      <c r="C467" s="21"/>
      <c r="D467" s="21"/>
      <c r="E467" s="136"/>
      <c r="F467" s="136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</row>
    <row r="468">
      <c r="A468" s="21"/>
      <c r="B468" s="21"/>
      <c r="C468" s="21"/>
      <c r="D468" s="21"/>
      <c r="E468" s="136"/>
      <c r="F468" s="136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</row>
    <row r="469">
      <c r="A469" s="21"/>
      <c r="B469" s="21"/>
      <c r="C469" s="21"/>
      <c r="D469" s="21"/>
      <c r="E469" s="136"/>
      <c r="F469" s="136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</row>
    <row r="470">
      <c r="A470" s="21"/>
      <c r="B470" s="21"/>
      <c r="C470" s="21"/>
      <c r="D470" s="21"/>
      <c r="E470" s="136"/>
      <c r="F470" s="136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</row>
    <row r="471">
      <c r="A471" s="21"/>
      <c r="B471" s="21"/>
      <c r="C471" s="21"/>
      <c r="D471" s="21"/>
      <c r="E471" s="136"/>
      <c r="F471" s="136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</row>
    <row r="472">
      <c r="A472" s="21"/>
      <c r="B472" s="21"/>
      <c r="C472" s="21"/>
      <c r="D472" s="21"/>
      <c r="E472" s="136"/>
      <c r="F472" s="136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</row>
    <row r="473">
      <c r="A473" s="21"/>
      <c r="B473" s="21"/>
      <c r="C473" s="21"/>
      <c r="D473" s="21"/>
      <c r="E473" s="136"/>
      <c r="F473" s="136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</row>
    <row r="474">
      <c r="A474" s="21"/>
      <c r="B474" s="21"/>
      <c r="C474" s="21"/>
      <c r="D474" s="21"/>
      <c r="E474" s="136"/>
      <c r="F474" s="136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</row>
    <row r="475">
      <c r="A475" s="21"/>
      <c r="B475" s="21"/>
      <c r="C475" s="21"/>
      <c r="D475" s="21"/>
      <c r="E475" s="136"/>
      <c r="F475" s="136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</row>
    <row r="476">
      <c r="A476" s="21"/>
      <c r="B476" s="21"/>
      <c r="C476" s="21"/>
      <c r="D476" s="21"/>
      <c r="E476" s="136"/>
      <c r="F476" s="136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</row>
    <row r="477">
      <c r="A477" s="21"/>
      <c r="B477" s="21"/>
      <c r="C477" s="21"/>
      <c r="D477" s="21"/>
      <c r="E477" s="136"/>
      <c r="F477" s="136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</row>
    <row r="478">
      <c r="A478" s="21"/>
      <c r="B478" s="21"/>
      <c r="C478" s="21"/>
      <c r="D478" s="21"/>
      <c r="E478" s="136"/>
      <c r="F478" s="136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</row>
    <row r="479">
      <c r="A479" s="21"/>
      <c r="B479" s="21"/>
      <c r="C479" s="21"/>
      <c r="D479" s="21"/>
      <c r="E479" s="136"/>
      <c r="F479" s="136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</row>
    <row r="480">
      <c r="A480" s="21"/>
      <c r="B480" s="21"/>
      <c r="C480" s="21"/>
      <c r="D480" s="21"/>
      <c r="E480" s="136"/>
      <c r="F480" s="136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</row>
    <row r="481">
      <c r="A481" s="21"/>
      <c r="B481" s="21"/>
      <c r="C481" s="21"/>
      <c r="D481" s="21"/>
      <c r="E481" s="136"/>
      <c r="F481" s="136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</row>
    <row r="482">
      <c r="A482" s="21"/>
      <c r="B482" s="21"/>
      <c r="C482" s="21"/>
      <c r="D482" s="21"/>
      <c r="E482" s="136"/>
      <c r="F482" s="136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</row>
    <row r="483">
      <c r="A483" s="21"/>
      <c r="B483" s="21"/>
      <c r="C483" s="21"/>
      <c r="D483" s="21"/>
      <c r="E483" s="136"/>
      <c r="F483" s="136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</row>
    <row r="484">
      <c r="A484" s="21"/>
      <c r="B484" s="21"/>
      <c r="C484" s="21"/>
      <c r="D484" s="21"/>
      <c r="E484" s="136"/>
      <c r="F484" s="136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</row>
    <row r="485">
      <c r="A485" s="21"/>
      <c r="B485" s="21"/>
      <c r="C485" s="21"/>
      <c r="D485" s="21"/>
      <c r="E485" s="136"/>
      <c r="F485" s="136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</row>
    <row r="486">
      <c r="A486" s="21"/>
      <c r="B486" s="21"/>
      <c r="C486" s="21"/>
      <c r="D486" s="21"/>
      <c r="E486" s="136"/>
      <c r="F486" s="136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</row>
    <row r="487">
      <c r="A487" s="21"/>
      <c r="B487" s="21"/>
      <c r="C487" s="21"/>
      <c r="D487" s="21"/>
      <c r="E487" s="136"/>
      <c r="F487" s="136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</row>
    <row r="488">
      <c r="A488" s="21"/>
      <c r="B488" s="21"/>
      <c r="C488" s="21"/>
      <c r="D488" s="21"/>
      <c r="E488" s="136"/>
      <c r="F488" s="136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</row>
    <row r="489">
      <c r="A489" s="21"/>
      <c r="B489" s="21"/>
      <c r="C489" s="21"/>
      <c r="D489" s="21"/>
      <c r="E489" s="136"/>
      <c r="F489" s="136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</row>
    <row r="490">
      <c r="A490" s="21"/>
      <c r="B490" s="21"/>
      <c r="C490" s="21"/>
      <c r="D490" s="21"/>
      <c r="E490" s="136"/>
      <c r="F490" s="136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</row>
    <row r="491">
      <c r="A491" s="21"/>
      <c r="B491" s="21"/>
      <c r="C491" s="21"/>
      <c r="D491" s="21"/>
      <c r="E491" s="136"/>
      <c r="F491" s="136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</row>
    <row r="492">
      <c r="A492" s="21"/>
      <c r="B492" s="21"/>
      <c r="C492" s="21"/>
      <c r="D492" s="21"/>
      <c r="E492" s="136"/>
      <c r="F492" s="136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</row>
    <row r="493">
      <c r="A493" s="21"/>
      <c r="B493" s="21"/>
      <c r="C493" s="21"/>
      <c r="D493" s="21"/>
      <c r="E493" s="136"/>
      <c r="F493" s="136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</row>
    <row r="494">
      <c r="A494" s="21"/>
      <c r="B494" s="21"/>
      <c r="C494" s="21"/>
      <c r="D494" s="21"/>
      <c r="E494" s="136"/>
      <c r="F494" s="136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</row>
    <row r="495">
      <c r="A495" s="21"/>
      <c r="B495" s="21"/>
      <c r="C495" s="21"/>
      <c r="D495" s="21"/>
      <c r="E495" s="136"/>
      <c r="F495" s="136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</row>
    <row r="496">
      <c r="A496" s="21"/>
      <c r="B496" s="21"/>
      <c r="C496" s="21"/>
      <c r="D496" s="21"/>
      <c r="E496" s="136"/>
      <c r="F496" s="136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</row>
    <row r="497">
      <c r="A497" s="21"/>
      <c r="B497" s="21"/>
      <c r="C497" s="21"/>
      <c r="D497" s="21"/>
      <c r="E497" s="136"/>
      <c r="F497" s="136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</row>
    <row r="498">
      <c r="A498" s="21"/>
      <c r="B498" s="21"/>
      <c r="C498" s="21"/>
      <c r="D498" s="21"/>
      <c r="E498" s="136"/>
      <c r="F498" s="136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</row>
    <row r="499">
      <c r="A499" s="21"/>
      <c r="B499" s="21"/>
      <c r="C499" s="21"/>
      <c r="D499" s="21"/>
      <c r="E499" s="136"/>
      <c r="F499" s="136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</row>
    <row r="500">
      <c r="A500" s="21"/>
      <c r="B500" s="21"/>
      <c r="C500" s="21"/>
      <c r="D500" s="21"/>
      <c r="E500" s="136"/>
      <c r="F500" s="136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</row>
    <row r="501">
      <c r="A501" s="21"/>
      <c r="B501" s="21"/>
      <c r="C501" s="21"/>
      <c r="D501" s="21"/>
      <c r="E501" s="136"/>
      <c r="F501" s="136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</row>
    <row r="502">
      <c r="A502" s="21"/>
      <c r="B502" s="21"/>
      <c r="C502" s="21"/>
      <c r="D502" s="21"/>
      <c r="E502" s="136"/>
      <c r="F502" s="136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</row>
    <row r="503">
      <c r="A503" s="21"/>
      <c r="B503" s="21"/>
      <c r="C503" s="21"/>
      <c r="D503" s="21"/>
      <c r="E503" s="136"/>
      <c r="F503" s="136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</row>
    <row r="504">
      <c r="A504" s="21"/>
      <c r="B504" s="21"/>
      <c r="C504" s="21"/>
      <c r="D504" s="21"/>
      <c r="E504" s="136"/>
      <c r="F504" s="136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</row>
    <row r="505">
      <c r="A505" s="21"/>
      <c r="B505" s="21"/>
      <c r="C505" s="21"/>
      <c r="D505" s="21"/>
      <c r="E505" s="136"/>
      <c r="F505" s="136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</row>
    <row r="506">
      <c r="A506" s="21"/>
      <c r="B506" s="21"/>
      <c r="C506" s="21"/>
      <c r="D506" s="21"/>
      <c r="E506" s="136"/>
      <c r="F506" s="136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</row>
    <row r="507">
      <c r="A507" s="21"/>
      <c r="B507" s="21"/>
      <c r="C507" s="21"/>
      <c r="D507" s="21"/>
      <c r="E507" s="136"/>
      <c r="F507" s="136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</row>
    <row r="508">
      <c r="A508" s="21"/>
      <c r="B508" s="21"/>
      <c r="C508" s="21"/>
      <c r="D508" s="21"/>
      <c r="E508" s="136"/>
      <c r="F508" s="136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</row>
    <row r="509">
      <c r="A509" s="21"/>
      <c r="B509" s="21"/>
      <c r="C509" s="21"/>
      <c r="D509" s="21"/>
      <c r="E509" s="136"/>
      <c r="F509" s="136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</row>
    <row r="510">
      <c r="A510" s="21"/>
      <c r="B510" s="21"/>
      <c r="C510" s="21"/>
      <c r="D510" s="21"/>
      <c r="E510" s="136"/>
      <c r="F510" s="136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</row>
    <row r="511">
      <c r="A511" s="21"/>
      <c r="B511" s="21"/>
      <c r="C511" s="21"/>
      <c r="D511" s="21"/>
      <c r="E511" s="136"/>
      <c r="F511" s="136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</row>
    <row r="512">
      <c r="A512" s="21"/>
      <c r="B512" s="21"/>
      <c r="C512" s="21"/>
      <c r="D512" s="21"/>
      <c r="E512" s="136"/>
      <c r="F512" s="136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</row>
    <row r="513">
      <c r="A513" s="21"/>
      <c r="B513" s="21"/>
      <c r="C513" s="21"/>
      <c r="D513" s="21"/>
      <c r="E513" s="136"/>
      <c r="F513" s="136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</row>
    <row r="514">
      <c r="A514" s="21"/>
      <c r="B514" s="21"/>
      <c r="C514" s="21"/>
      <c r="D514" s="21"/>
      <c r="E514" s="136"/>
      <c r="F514" s="136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</row>
    <row r="515">
      <c r="A515" s="21"/>
      <c r="B515" s="21"/>
      <c r="C515" s="21"/>
      <c r="D515" s="21"/>
      <c r="E515" s="136"/>
      <c r="F515" s="136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</row>
    <row r="516">
      <c r="A516" s="21"/>
      <c r="B516" s="21"/>
      <c r="C516" s="21"/>
      <c r="D516" s="21"/>
      <c r="E516" s="136"/>
      <c r="F516" s="136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</row>
    <row r="517">
      <c r="A517" s="21"/>
      <c r="B517" s="21"/>
      <c r="C517" s="21"/>
      <c r="D517" s="21"/>
      <c r="E517" s="136"/>
      <c r="F517" s="136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</row>
    <row r="518">
      <c r="A518" s="21"/>
      <c r="B518" s="21"/>
      <c r="C518" s="21"/>
      <c r="D518" s="21"/>
      <c r="E518" s="136"/>
      <c r="F518" s="136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</row>
    <row r="519">
      <c r="A519" s="21"/>
      <c r="B519" s="21"/>
      <c r="C519" s="21"/>
      <c r="D519" s="21"/>
      <c r="E519" s="136"/>
      <c r="F519" s="136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</row>
    <row r="520">
      <c r="A520" s="21"/>
      <c r="B520" s="21"/>
      <c r="C520" s="21"/>
      <c r="D520" s="21"/>
      <c r="E520" s="136"/>
      <c r="F520" s="136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</row>
    <row r="521">
      <c r="A521" s="21"/>
      <c r="B521" s="21"/>
      <c r="C521" s="21"/>
      <c r="D521" s="21"/>
      <c r="E521" s="136"/>
      <c r="F521" s="136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</row>
    <row r="522">
      <c r="A522" s="21"/>
      <c r="B522" s="21"/>
      <c r="C522" s="21"/>
      <c r="D522" s="21"/>
      <c r="E522" s="136"/>
      <c r="F522" s="136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</row>
    <row r="523">
      <c r="A523" s="21"/>
      <c r="B523" s="21"/>
      <c r="C523" s="21"/>
      <c r="D523" s="21"/>
      <c r="E523" s="136"/>
      <c r="F523" s="136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</row>
    <row r="524">
      <c r="A524" s="21"/>
      <c r="B524" s="21"/>
      <c r="C524" s="21"/>
      <c r="D524" s="21"/>
      <c r="E524" s="136"/>
      <c r="F524" s="136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</row>
    <row r="525">
      <c r="A525" s="21"/>
      <c r="B525" s="21"/>
      <c r="C525" s="21"/>
      <c r="D525" s="21"/>
      <c r="E525" s="136"/>
      <c r="F525" s="136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</row>
    <row r="526">
      <c r="A526" s="21"/>
      <c r="B526" s="21"/>
      <c r="C526" s="21"/>
      <c r="D526" s="21"/>
      <c r="E526" s="136"/>
      <c r="F526" s="136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</row>
    <row r="527">
      <c r="A527" s="21"/>
      <c r="B527" s="21"/>
      <c r="C527" s="21"/>
      <c r="D527" s="21"/>
      <c r="E527" s="136"/>
      <c r="F527" s="136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</row>
    <row r="528">
      <c r="A528" s="21"/>
      <c r="B528" s="21"/>
      <c r="C528" s="21"/>
      <c r="D528" s="21"/>
      <c r="E528" s="136"/>
      <c r="F528" s="136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</row>
    <row r="529">
      <c r="A529" s="21"/>
      <c r="B529" s="21"/>
      <c r="C529" s="21"/>
      <c r="D529" s="21"/>
      <c r="E529" s="136"/>
      <c r="F529" s="136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</row>
    <row r="530">
      <c r="A530" s="21"/>
      <c r="B530" s="21"/>
      <c r="C530" s="21"/>
      <c r="D530" s="21"/>
      <c r="E530" s="136"/>
      <c r="F530" s="136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</row>
    <row r="531">
      <c r="A531" s="21"/>
      <c r="B531" s="21"/>
      <c r="C531" s="21"/>
      <c r="D531" s="21"/>
      <c r="E531" s="136"/>
      <c r="F531" s="136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</row>
    <row r="532">
      <c r="A532" s="21"/>
      <c r="B532" s="21"/>
      <c r="C532" s="21"/>
      <c r="D532" s="21"/>
      <c r="E532" s="136"/>
      <c r="F532" s="136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</row>
    <row r="533">
      <c r="A533" s="21"/>
      <c r="B533" s="21"/>
      <c r="C533" s="21"/>
      <c r="D533" s="21"/>
      <c r="E533" s="136"/>
      <c r="F533" s="136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</row>
    <row r="534">
      <c r="A534" s="21"/>
      <c r="B534" s="21"/>
      <c r="C534" s="21"/>
      <c r="D534" s="21"/>
      <c r="E534" s="136"/>
      <c r="F534" s="136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</row>
    <row r="535">
      <c r="A535" s="21"/>
      <c r="B535" s="21"/>
      <c r="C535" s="21"/>
      <c r="D535" s="21"/>
      <c r="E535" s="136"/>
      <c r="F535" s="136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</row>
    <row r="536">
      <c r="A536" s="21"/>
      <c r="B536" s="21"/>
      <c r="C536" s="21"/>
      <c r="D536" s="21"/>
      <c r="E536" s="136"/>
      <c r="F536" s="136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</row>
    <row r="537">
      <c r="A537" s="21"/>
      <c r="B537" s="21"/>
      <c r="C537" s="21"/>
      <c r="D537" s="21"/>
      <c r="E537" s="136"/>
      <c r="F537" s="136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</row>
    <row r="538">
      <c r="A538" s="21"/>
      <c r="B538" s="21"/>
      <c r="C538" s="21"/>
      <c r="D538" s="21"/>
      <c r="E538" s="136"/>
      <c r="F538" s="136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</row>
    <row r="539">
      <c r="A539" s="21"/>
      <c r="B539" s="21"/>
      <c r="C539" s="21"/>
      <c r="D539" s="21"/>
      <c r="E539" s="136"/>
      <c r="F539" s="136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</row>
    <row r="540">
      <c r="A540" s="21"/>
      <c r="B540" s="21"/>
      <c r="C540" s="21"/>
      <c r="D540" s="21"/>
      <c r="E540" s="136"/>
      <c r="F540" s="136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</row>
    <row r="541">
      <c r="A541" s="21"/>
      <c r="B541" s="21"/>
      <c r="C541" s="21"/>
      <c r="D541" s="21"/>
      <c r="E541" s="136"/>
      <c r="F541" s="136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</row>
    <row r="542">
      <c r="A542" s="21"/>
      <c r="B542" s="21"/>
      <c r="C542" s="21"/>
      <c r="D542" s="21"/>
      <c r="E542" s="136"/>
      <c r="F542" s="136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</row>
    <row r="543">
      <c r="A543" s="21"/>
      <c r="B543" s="21"/>
      <c r="C543" s="21"/>
      <c r="D543" s="21"/>
      <c r="E543" s="136"/>
      <c r="F543" s="136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</row>
    <row r="544">
      <c r="A544" s="21"/>
      <c r="B544" s="21"/>
      <c r="C544" s="21"/>
      <c r="D544" s="21"/>
      <c r="E544" s="136"/>
      <c r="F544" s="136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</row>
    <row r="545">
      <c r="A545" s="21"/>
      <c r="B545" s="21"/>
      <c r="C545" s="21"/>
      <c r="D545" s="21"/>
      <c r="E545" s="136"/>
      <c r="F545" s="136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</row>
    <row r="546">
      <c r="A546" s="21"/>
      <c r="B546" s="21"/>
      <c r="C546" s="21"/>
      <c r="D546" s="21"/>
      <c r="E546" s="136"/>
      <c r="F546" s="136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</row>
    <row r="547">
      <c r="A547" s="21"/>
      <c r="B547" s="21"/>
      <c r="C547" s="21"/>
      <c r="D547" s="21"/>
      <c r="E547" s="136"/>
      <c r="F547" s="136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</row>
    <row r="548">
      <c r="A548" s="21"/>
      <c r="B548" s="21"/>
      <c r="C548" s="21"/>
      <c r="D548" s="21"/>
      <c r="E548" s="136"/>
      <c r="F548" s="136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</row>
    <row r="549">
      <c r="A549" s="21"/>
      <c r="B549" s="21"/>
      <c r="C549" s="21"/>
      <c r="D549" s="21"/>
      <c r="E549" s="136"/>
      <c r="F549" s="136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</row>
    <row r="550">
      <c r="A550" s="21"/>
      <c r="B550" s="21"/>
      <c r="C550" s="21"/>
      <c r="D550" s="21"/>
      <c r="E550" s="136"/>
      <c r="F550" s="136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</row>
    <row r="551">
      <c r="A551" s="21"/>
      <c r="B551" s="21"/>
      <c r="C551" s="21"/>
      <c r="D551" s="21"/>
      <c r="E551" s="136"/>
      <c r="F551" s="136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</row>
    <row r="552">
      <c r="A552" s="21"/>
      <c r="B552" s="21"/>
      <c r="C552" s="21"/>
      <c r="D552" s="21"/>
      <c r="E552" s="136"/>
      <c r="F552" s="136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</row>
    <row r="553">
      <c r="A553" s="21"/>
      <c r="B553" s="21"/>
      <c r="C553" s="21"/>
      <c r="D553" s="21"/>
      <c r="E553" s="136"/>
      <c r="F553" s="136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</row>
    <row r="554">
      <c r="A554" s="21"/>
      <c r="B554" s="21"/>
      <c r="C554" s="21"/>
      <c r="D554" s="21"/>
      <c r="E554" s="136"/>
      <c r="F554" s="136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</row>
    <row r="555">
      <c r="A555" s="21"/>
      <c r="B555" s="21"/>
      <c r="C555" s="21"/>
      <c r="D555" s="21"/>
      <c r="E555" s="136"/>
      <c r="F555" s="136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</row>
    <row r="556">
      <c r="A556" s="21"/>
      <c r="B556" s="21"/>
      <c r="C556" s="21"/>
      <c r="D556" s="21"/>
      <c r="E556" s="136"/>
      <c r="F556" s="136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</row>
    <row r="557">
      <c r="A557" s="21"/>
      <c r="B557" s="21"/>
      <c r="C557" s="21"/>
      <c r="D557" s="21"/>
      <c r="E557" s="136"/>
      <c r="F557" s="136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</row>
    <row r="558">
      <c r="A558" s="21"/>
      <c r="B558" s="21"/>
      <c r="C558" s="21"/>
      <c r="D558" s="21"/>
      <c r="E558" s="136"/>
      <c r="F558" s="136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</row>
    <row r="559">
      <c r="A559" s="21"/>
      <c r="B559" s="21"/>
      <c r="C559" s="21"/>
      <c r="D559" s="21"/>
      <c r="E559" s="136"/>
      <c r="F559" s="136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</row>
    <row r="560">
      <c r="A560" s="21"/>
      <c r="B560" s="21"/>
      <c r="C560" s="21"/>
      <c r="D560" s="21"/>
      <c r="E560" s="136"/>
      <c r="F560" s="136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</row>
    <row r="561">
      <c r="A561" s="21"/>
      <c r="B561" s="21"/>
      <c r="C561" s="21"/>
      <c r="D561" s="21"/>
      <c r="E561" s="136"/>
      <c r="F561" s="136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</row>
    <row r="562">
      <c r="A562" s="21"/>
      <c r="B562" s="21"/>
      <c r="C562" s="21"/>
      <c r="D562" s="21"/>
      <c r="E562" s="136"/>
      <c r="F562" s="136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</row>
    <row r="563">
      <c r="A563" s="21"/>
      <c r="B563" s="21"/>
      <c r="C563" s="21"/>
      <c r="D563" s="21"/>
      <c r="E563" s="136"/>
      <c r="F563" s="136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</row>
    <row r="564">
      <c r="A564" s="21"/>
      <c r="B564" s="21"/>
      <c r="C564" s="21"/>
      <c r="D564" s="21"/>
      <c r="E564" s="136"/>
      <c r="F564" s="136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</row>
    <row r="565">
      <c r="A565" s="21"/>
      <c r="B565" s="21"/>
      <c r="C565" s="21"/>
      <c r="D565" s="21"/>
      <c r="E565" s="136"/>
      <c r="F565" s="136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</row>
    <row r="566">
      <c r="A566" s="21"/>
      <c r="B566" s="21"/>
      <c r="C566" s="21"/>
      <c r="D566" s="21"/>
      <c r="E566" s="136"/>
      <c r="F566" s="136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</row>
    <row r="567">
      <c r="A567" s="21"/>
      <c r="B567" s="21"/>
      <c r="C567" s="21"/>
      <c r="D567" s="21"/>
      <c r="E567" s="136"/>
      <c r="F567" s="136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</row>
    <row r="568">
      <c r="A568" s="21"/>
      <c r="B568" s="21"/>
      <c r="C568" s="21"/>
      <c r="D568" s="21"/>
      <c r="E568" s="136"/>
      <c r="F568" s="136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</row>
    <row r="569">
      <c r="A569" s="21"/>
      <c r="B569" s="21"/>
      <c r="C569" s="21"/>
      <c r="D569" s="21"/>
      <c r="E569" s="136"/>
      <c r="F569" s="136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</row>
    <row r="570">
      <c r="A570" s="21"/>
      <c r="B570" s="21"/>
      <c r="C570" s="21"/>
      <c r="D570" s="21"/>
      <c r="E570" s="136"/>
      <c r="F570" s="136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</row>
    <row r="571">
      <c r="A571" s="21"/>
      <c r="B571" s="21"/>
      <c r="C571" s="21"/>
      <c r="D571" s="21"/>
      <c r="E571" s="136"/>
      <c r="F571" s="136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</row>
    <row r="572">
      <c r="A572" s="21"/>
      <c r="B572" s="21"/>
      <c r="C572" s="21"/>
      <c r="D572" s="21"/>
      <c r="E572" s="136"/>
      <c r="F572" s="136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</row>
    <row r="573">
      <c r="A573" s="21"/>
      <c r="B573" s="21"/>
      <c r="C573" s="21"/>
      <c r="D573" s="21"/>
      <c r="E573" s="136"/>
      <c r="F573" s="136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</row>
    <row r="574">
      <c r="A574" s="21"/>
      <c r="B574" s="21"/>
      <c r="C574" s="21"/>
      <c r="D574" s="21"/>
      <c r="E574" s="136"/>
      <c r="F574" s="136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</row>
    <row r="575">
      <c r="A575" s="21"/>
      <c r="B575" s="21"/>
      <c r="C575" s="21"/>
      <c r="D575" s="21"/>
      <c r="E575" s="136"/>
      <c r="F575" s="136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</row>
    <row r="576">
      <c r="A576" s="21"/>
      <c r="B576" s="21"/>
      <c r="C576" s="21"/>
      <c r="D576" s="21"/>
      <c r="E576" s="136"/>
      <c r="F576" s="136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</row>
    <row r="577">
      <c r="A577" s="21"/>
      <c r="B577" s="21"/>
      <c r="C577" s="21"/>
      <c r="D577" s="21"/>
      <c r="E577" s="136"/>
      <c r="F577" s="136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</row>
    <row r="578">
      <c r="A578" s="21"/>
      <c r="B578" s="21"/>
      <c r="C578" s="21"/>
      <c r="D578" s="21"/>
      <c r="E578" s="136"/>
      <c r="F578" s="136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</row>
    <row r="579">
      <c r="A579" s="21"/>
      <c r="B579" s="21"/>
      <c r="C579" s="21"/>
      <c r="D579" s="21"/>
      <c r="E579" s="136"/>
      <c r="F579" s="136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</row>
    <row r="580">
      <c r="A580" s="21"/>
      <c r="B580" s="21"/>
      <c r="C580" s="21"/>
      <c r="D580" s="21"/>
      <c r="E580" s="136"/>
      <c r="F580" s="136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</row>
    <row r="581">
      <c r="A581" s="21"/>
      <c r="B581" s="21"/>
      <c r="C581" s="21"/>
      <c r="D581" s="21"/>
      <c r="E581" s="136"/>
      <c r="F581" s="136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</row>
    <row r="582">
      <c r="A582" s="21"/>
      <c r="B582" s="21"/>
      <c r="C582" s="21"/>
      <c r="D582" s="21"/>
      <c r="E582" s="136"/>
      <c r="F582" s="136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</row>
    <row r="583">
      <c r="A583" s="21"/>
      <c r="B583" s="21"/>
      <c r="C583" s="21"/>
      <c r="D583" s="21"/>
      <c r="E583" s="136"/>
      <c r="F583" s="136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</row>
    <row r="584">
      <c r="A584" s="21"/>
      <c r="B584" s="21"/>
      <c r="C584" s="21"/>
      <c r="D584" s="21"/>
      <c r="E584" s="136"/>
      <c r="F584" s="136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</row>
    <row r="585">
      <c r="A585" s="21"/>
      <c r="B585" s="21"/>
      <c r="C585" s="21"/>
      <c r="D585" s="21"/>
      <c r="E585" s="136"/>
      <c r="F585" s="136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</row>
    <row r="586">
      <c r="A586" s="21"/>
      <c r="B586" s="21"/>
      <c r="C586" s="21"/>
      <c r="D586" s="21"/>
      <c r="E586" s="136"/>
      <c r="F586" s="136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</row>
    <row r="587">
      <c r="A587" s="21"/>
      <c r="B587" s="21"/>
      <c r="C587" s="21"/>
      <c r="D587" s="21"/>
      <c r="E587" s="136"/>
      <c r="F587" s="136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</row>
    <row r="588">
      <c r="A588" s="21"/>
      <c r="B588" s="21"/>
      <c r="C588" s="21"/>
      <c r="D588" s="21"/>
      <c r="E588" s="136"/>
      <c r="F588" s="136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</row>
    <row r="589">
      <c r="A589" s="21"/>
      <c r="B589" s="21"/>
      <c r="C589" s="21"/>
      <c r="D589" s="21"/>
      <c r="E589" s="136"/>
      <c r="F589" s="136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</row>
    <row r="590">
      <c r="A590" s="21"/>
      <c r="B590" s="21"/>
      <c r="C590" s="21"/>
      <c r="D590" s="21"/>
      <c r="E590" s="136"/>
      <c r="F590" s="136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</row>
    <row r="591">
      <c r="A591" s="21"/>
      <c r="B591" s="21"/>
      <c r="C591" s="21"/>
      <c r="D591" s="21"/>
      <c r="E591" s="136"/>
      <c r="F591" s="136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</row>
    <row r="592">
      <c r="A592" s="21"/>
      <c r="B592" s="21"/>
      <c r="C592" s="21"/>
      <c r="D592" s="21"/>
      <c r="E592" s="136"/>
      <c r="F592" s="136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</row>
    <row r="593">
      <c r="A593" s="21"/>
      <c r="B593" s="21"/>
      <c r="C593" s="21"/>
      <c r="D593" s="21"/>
      <c r="E593" s="136"/>
      <c r="F593" s="136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</row>
    <row r="594">
      <c r="A594" s="21"/>
      <c r="B594" s="21"/>
      <c r="C594" s="21"/>
      <c r="D594" s="21"/>
      <c r="E594" s="136"/>
      <c r="F594" s="136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</row>
    <row r="595">
      <c r="A595" s="21"/>
      <c r="B595" s="21"/>
      <c r="C595" s="21"/>
      <c r="D595" s="21"/>
      <c r="E595" s="136"/>
      <c r="F595" s="136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</row>
    <row r="596">
      <c r="A596" s="21"/>
      <c r="B596" s="21"/>
      <c r="C596" s="21"/>
      <c r="D596" s="21"/>
      <c r="E596" s="136"/>
      <c r="F596" s="136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</row>
    <row r="597">
      <c r="A597" s="21"/>
      <c r="B597" s="21"/>
      <c r="C597" s="21"/>
      <c r="D597" s="21"/>
      <c r="E597" s="136"/>
      <c r="F597" s="136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</row>
    <row r="598">
      <c r="A598" s="21"/>
      <c r="B598" s="21"/>
      <c r="C598" s="21"/>
      <c r="D598" s="21"/>
      <c r="E598" s="136"/>
      <c r="F598" s="136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</row>
    <row r="599">
      <c r="A599" s="21"/>
      <c r="B599" s="21"/>
      <c r="C599" s="21"/>
      <c r="D599" s="21"/>
      <c r="E599" s="136"/>
      <c r="F599" s="136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</row>
    <row r="600">
      <c r="A600" s="21"/>
      <c r="B600" s="21"/>
      <c r="C600" s="21"/>
      <c r="D600" s="21"/>
      <c r="E600" s="136"/>
      <c r="F600" s="136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</row>
    <row r="601">
      <c r="A601" s="21"/>
      <c r="B601" s="21"/>
      <c r="C601" s="21"/>
      <c r="D601" s="21"/>
      <c r="E601" s="136"/>
      <c r="F601" s="136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</row>
    <row r="602">
      <c r="A602" s="21"/>
      <c r="B602" s="21"/>
      <c r="C602" s="21"/>
      <c r="D602" s="21"/>
      <c r="E602" s="136"/>
      <c r="F602" s="136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</row>
    <row r="603">
      <c r="A603" s="21"/>
      <c r="B603" s="21"/>
      <c r="C603" s="21"/>
      <c r="D603" s="21"/>
      <c r="E603" s="136"/>
      <c r="F603" s="136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</row>
    <row r="604">
      <c r="A604" s="21"/>
      <c r="B604" s="21"/>
      <c r="C604" s="21"/>
      <c r="D604" s="21"/>
      <c r="E604" s="136"/>
      <c r="F604" s="136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</row>
    <row r="605">
      <c r="A605" s="21"/>
      <c r="B605" s="21"/>
      <c r="C605" s="21"/>
      <c r="D605" s="21"/>
      <c r="E605" s="136"/>
      <c r="F605" s="136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</row>
    <row r="606">
      <c r="A606" s="21"/>
      <c r="B606" s="21"/>
      <c r="C606" s="21"/>
      <c r="D606" s="21"/>
      <c r="E606" s="136"/>
      <c r="F606" s="136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</row>
    <row r="607">
      <c r="A607" s="21"/>
      <c r="B607" s="21"/>
      <c r="C607" s="21"/>
      <c r="D607" s="21"/>
      <c r="E607" s="136"/>
      <c r="F607" s="136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</row>
    <row r="608">
      <c r="A608" s="21"/>
      <c r="B608" s="21"/>
      <c r="C608" s="21"/>
      <c r="D608" s="21"/>
      <c r="E608" s="136"/>
      <c r="F608" s="136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</row>
    <row r="609">
      <c r="A609" s="21"/>
      <c r="B609" s="21"/>
      <c r="C609" s="21"/>
      <c r="D609" s="21"/>
      <c r="E609" s="136"/>
      <c r="F609" s="136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</row>
    <row r="610">
      <c r="A610" s="21"/>
      <c r="B610" s="21"/>
      <c r="C610" s="21"/>
      <c r="D610" s="21"/>
      <c r="E610" s="136"/>
      <c r="F610" s="136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</row>
    <row r="611">
      <c r="A611" s="21"/>
      <c r="B611" s="21"/>
      <c r="C611" s="21"/>
      <c r="D611" s="21"/>
      <c r="E611" s="136"/>
      <c r="F611" s="136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</row>
    <row r="612">
      <c r="A612" s="21"/>
      <c r="B612" s="21"/>
      <c r="C612" s="21"/>
      <c r="D612" s="21"/>
      <c r="E612" s="136"/>
      <c r="F612" s="136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</row>
    <row r="613">
      <c r="A613" s="21"/>
      <c r="B613" s="21"/>
      <c r="C613" s="21"/>
      <c r="D613" s="21"/>
      <c r="E613" s="136"/>
      <c r="F613" s="136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</row>
    <row r="614">
      <c r="A614" s="21"/>
      <c r="B614" s="21"/>
      <c r="C614" s="21"/>
      <c r="D614" s="21"/>
      <c r="E614" s="136"/>
      <c r="F614" s="136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</row>
    <row r="615">
      <c r="A615" s="21"/>
      <c r="B615" s="21"/>
      <c r="C615" s="21"/>
      <c r="D615" s="21"/>
      <c r="E615" s="136"/>
      <c r="F615" s="136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</row>
    <row r="616">
      <c r="A616" s="21"/>
      <c r="B616" s="21"/>
      <c r="C616" s="21"/>
      <c r="D616" s="21"/>
      <c r="E616" s="136"/>
      <c r="F616" s="136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</row>
    <row r="617">
      <c r="A617" s="21"/>
      <c r="B617" s="21"/>
      <c r="C617" s="21"/>
      <c r="D617" s="21"/>
      <c r="E617" s="136"/>
      <c r="F617" s="136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</row>
    <row r="618">
      <c r="A618" s="21"/>
      <c r="B618" s="21"/>
      <c r="C618" s="21"/>
      <c r="D618" s="21"/>
      <c r="E618" s="136"/>
      <c r="F618" s="136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</row>
    <row r="619">
      <c r="A619" s="21"/>
      <c r="B619" s="21"/>
      <c r="C619" s="21"/>
      <c r="D619" s="21"/>
      <c r="E619" s="136"/>
      <c r="F619" s="136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</row>
    <row r="620">
      <c r="A620" s="21"/>
      <c r="B620" s="21"/>
      <c r="C620" s="21"/>
      <c r="D620" s="21"/>
      <c r="E620" s="136"/>
      <c r="F620" s="136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</row>
    <row r="621">
      <c r="A621" s="21"/>
      <c r="B621" s="21"/>
      <c r="C621" s="21"/>
      <c r="D621" s="21"/>
      <c r="E621" s="136"/>
      <c r="F621" s="136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</row>
    <row r="622">
      <c r="A622" s="21"/>
      <c r="B622" s="21"/>
      <c r="C622" s="21"/>
      <c r="D622" s="21"/>
      <c r="E622" s="136"/>
      <c r="F622" s="136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</row>
    <row r="623">
      <c r="A623" s="21"/>
      <c r="B623" s="21"/>
      <c r="C623" s="21"/>
      <c r="D623" s="21"/>
      <c r="E623" s="136"/>
      <c r="F623" s="136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</row>
    <row r="624">
      <c r="A624" s="21"/>
      <c r="B624" s="21"/>
      <c r="C624" s="21"/>
      <c r="D624" s="21"/>
      <c r="E624" s="136"/>
      <c r="F624" s="136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</row>
    <row r="625">
      <c r="A625" s="21"/>
      <c r="B625" s="21"/>
      <c r="C625" s="21"/>
      <c r="D625" s="21"/>
      <c r="E625" s="136"/>
      <c r="F625" s="136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</row>
    <row r="626">
      <c r="A626" s="21"/>
      <c r="B626" s="21"/>
      <c r="C626" s="21"/>
      <c r="D626" s="21"/>
      <c r="E626" s="136"/>
      <c r="F626" s="136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</row>
    <row r="627">
      <c r="A627" s="21"/>
      <c r="B627" s="21"/>
      <c r="C627" s="21"/>
      <c r="D627" s="21"/>
      <c r="E627" s="136"/>
      <c r="F627" s="136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</row>
    <row r="628">
      <c r="A628" s="21"/>
      <c r="B628" s="21"/>
      <c r="C628" s="21"/>
      <c r="D628" s="21"/>
      <c r="E628" s="136"/>
      <c r="F628" s="136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</row>
    <row r="629">
      <c r="A629" s="21"/>
      <c r="B629" s="21"/>
      <c r="C629" s="21"/>
      <c r="D629" s="21"/>
      <c r="E629" s="136"/>
      <c r="F629" s="136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</row>
    <row r="630">
      <c r="A630" s="21"/>
      <c r="B630" s="21"/>
      <c r="C630" s="21"/>
      <c r="D630" s="21"/>
      <c r="E630" s="136"/>
      <c r="F630" s="136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</row>
    <row r="631">
      <c r="A631" s="21"/>
      <c r="B631" s="21"/>
      <c r="C631" s="21"/>
      <c r="D631" s="21"/>
      <c r="E631" s="136"/>
      <c r="F631" s="136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</row>
    <row r="632">
      <c r="A632" s="21"/>
      <c r="B632" s="21"/>
      <c r="C632" s="21"/>
      <c r="D632" s="21"/>
      <c r="E632" s="136"/>
      <c r="F632" s="136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</row>
    <row r="633">
      <c r="A633" s="21"/>
      <c r="B633" s="21"/>
      <c r="C633" s="21"/>
      <c r="D633" s="21"/>
      <c r="E633" s="136"/>
      <c r="F633" s="136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</row>
    <row r="634">
      <c r="A634" s="21"/>
      <c r="B634" s="21"/>
      <c r="C634" s="21"/>
      <c r="D634" s="21"/>
      <c r="E634" s="136"/>
      <c r="F634" s="136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</row>
    <row r="635">
      <c r="A635" s="21"/>
      <c r="B635" s="21"/>
      <c r="C635" s="21"/>
      <c r="D635" s="21"/>
      <c r="E635" s="136"/>
      <c r="F635" s="136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</row>
    <row r="636">
      <c r="A636" s="21"/>
      <c r="B636" s="21"/>
      <c r="C636" s="21"/>
      <c r="D636" s="21"/>
      <c r="E636" s="136"/>
      <c r="F636" s="136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</row>
    <row r="637">
      <c r="A637" s="21"/>
      <c r="B637" s="21"/>
      <c r="C637" s="21"/>
      <c r="D637" s="21"/>
      <c r="E637" s="136"/>
      <c r="F637" s="136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</row>
    <row r="638">
      <c r="A638" s="21"/>
      <c r="B638" s="21"/>
      <c r="C638" s="21"/>
      <c r="D638" s="21"/>
      <c r="E638" s="136"/>
      <c r="F638" s="136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</row>
    <row r="639">
      <c r="A639" s="21"/>
      <c r="B639" s="21"/>
      <c r="C639" s="21"/>
      <c r="D639" s="21"/>
      <c r="E639" s="136"/>
      <c r="F639" s="136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</row>
    <row r="640">
      <c r="A640" s="21"/>
      <c r="B640" s="21"/>
      <c r="C640" s="21"/>
      <c r="D640" s="21"/>
      <c r="E640" s="136"/>
      <c r="F640" s="136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</row>
    <row r="641">
      <c r="A641" s="21"/>
      <c r="B641" s="21"/>
      <c r="C641" s="21"/>
      <c r="D641" s="21"/>
      <c r="E641" s="136"/>
      <c r="F641" s="136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</row>
    <row r="642">
      <c r="A642" s="21"/>
      <c r="B642" s="21"/>
      <c r="C642" s="21"/>
      <c r="D642" s="21"/>
      <c r="E642" s="136"/>
      <c r="F642" s="136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</row>
    <row r="643">
      <c r="A643" s="21"/>
      <c r="B643" s="21"/>
      <c r="C643" s="21"/>
      <c r="D643" s="21"/>
      <c r="E643" s="136"/>
      <c r="F643" s="136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</row>
    <row r="644">
      <c r="A644" s="21"/>
      <c r="B644" s="21"/>
      <c r="C644" s="21"/>
      <c r="D644" s="21"/>
      <c r="E644" s="136"/>
      <c r="F644" s="136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</row>
    <row r="645">
      <c r="A645" s="21"/>
      <c r="B645" s="21"/>
      <c r="C645" s="21"/>
      <c r="D645" s="21"/>
      <c r="E645" s="136"/>
      <c r="F645" s="136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</row>
    <row r="646">
      <c r="A646" s="21"/>
      <c r="B646" s="21"/>
      <c r="C646" s="21"/>
      <c r="D646" s="21"/>
      <c r="E646" s="136"/>
      <c r="F646" s="136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</row>
    <row r="647">
      <c r="A647" s="21"/>
      <c r="B647" s="21"/>
      <c r="C647" s="21"/>
      <c r="D647" s="21"/>
      <c r="E647" s="136"/>
      <c r="F647" s="136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</row>
    <row r="648">
      <c r="A648" s="21"/>
      <c r="B648" s="21"/>
      <c r="C648" s="21"/>
      <c r="D648" s="21"/>
      <c r="E648" s="136"/>
      <c r="F648" s="136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</row>
    <row r="649">
      <c r="A649" s="21"/>
      <c r="B649" s="21"/>
      <c r="C649" s="21"/>
      <c r="D649" s="21"/>
      <c r="E649" s="136"/>
      <c r="F649" s="136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</row>
    <row r="650">
      <c r="A650" s="21"/>
      <c r="B650" s="21"/>
      <c r="C650" s="21"/>
      <c r="D650" s="21"/>
      <c r="E650" s="136"/>
      <c r="F650" s="136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</row>
    <row r="651">
      <c r="A651" s="21"/>
      <c r="B651" s="21"/>
      <c r="C651" s="21"/>
      <c r="D651" s="21"/>
      <c r="E651" s="136"/>
      <c r="F651" s="136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</row>
    <row r="652">
      <c r="A652" s="21"/>
      <c r="B652" s="21"/>
      <c r="C652" s="21"/>
      <c r="D652" s="21"/>
      <c r="E652" s="136"/>
      <c r="F652" s="136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</row>
    <row r="653">
      <c r="A653" s="21"/>
      <c r="B653" s="21"/>
      <c r="C653" s="21"/>
      <c r="D653" s="21"/>
      <c r="E653" s="136"/>
      <c r="F653" s="136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</row>
    <row r="654">
      <c r="A654" s="21"/>
      <c r="B654" s="21"/>
      <c r="C654" s="21"/>
      <c r="D654" s="21"/>
      <c r="E654" s="136"/>
      <c r="F654" s="136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</row>
    <row r="655">
      <c r="A655" s="21"/>
      <c r="B655" s="21"/>
      <c r="C655" s="21"/>
      <c r="D655" s="21"/>
      <c r="E655" s="136"/>
      <c r="F655" s="136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</row>
    <row r="656">
      <c r="A656" s="21"/>
      <c r="B656" s="21"/>
      <c r="C656" s="21"/>
      <c r="D656" s="21"/>
      <c r="E656" s="136"/>
      <c r="F656" s="136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</row>
    <row r="657">
      <c r="A657" s="21"/>
      <c r="B657" s="21"/>
      <c r="C657" s="21"/>
      <c r="D657" s="21"/>
      <c r="E657" s="136"/>
      <c r="F657" s="136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</row>
    <row r="658">
      <c r="A658" s="21"/>
      <c r="B658" s="21"/>
      <c r="C658" s="21"/>
      <c r="D658" s="21"/>
      <c r="E658" s="136"/>
      <c r="F658" s="136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</row>
    <row r="659">
      <c r="A659" s="21"/>
      <c r="B659" s="21"/>
      <c r="C659" s="21"/>
      <c r="D659" s="21"/>
      <c r="E659" s="136"/>
      <c r="F659" s="136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</row>
    <row r="660">
      <c r="A660" s="21"/>
      <c r="B660" s="21"/>
      <c r="C660" s="21"/>
      <c r="D660" s="21"/>
      <c r="E660" s="136"/>
      <c r="F660" s="136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</row>
    <row r="661">
      <c r="A661" s="21"/>
      <c r="B661" s="21"/>
      <c r="C661" s="21"/>
      <c r="D661" s="21"/>
      <c r="E661" s="136"/>
      <c r="F661" s="136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</row>
    <row r="662">
      <c r="A662" s="21"/>
      <c r="B662" s="21"/>
      <c r="C662" s="21"/>
      <c r="D662" s="21"/>
      <c r="E662" s="136"/>
      <c r="F662" s="136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</row>
    <row r="663">
      <c r="A663" s="21"/>
      <c r="B663" s="21"/>
      <c r="C663" s="21"/>
      <c r="D663" s="21"/>
      <c r="E663" s="136"/>
      <c r="F663" s="136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</row>
    <row r="664">
      <c r="A664" s="21"/>
      <c r="B664" s="21"/>
      <c r="C664" s="21"/>
      <c r="D664" s="21"/>
      <c r="E664" s="136"/>
      <c r="F664" s="136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</row>
    <row r="665">
      <c r="A665" s="21"/>
      <c r="B665" s="21"/>
      <c r="C665" s="21"/>
      <c r="D665" s="21"/>
      <c r="E665" s="136"/>
      <c r="F665" s="136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</row>
    <row r="666">
      <c r="A666" s="21"/>
      <c r="B666" s="21"/>
      <c r="C666" s="21"/>
      <c r="D666" s="21"/>
      <c r="E666" s="136"/>
      <c r="F666" s="136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</row>
    <row r="667">
      <c r="A667" s="21"/>
      <c r="B667" s="21"/>
      <c r="C667" s="21"/>
      <c r="D667" s="21"/>
      <c r="E667" s="136"/>
      <c r="F667" s="136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</row>
    <row r="668">
      <c r="A668" s="21"/>
      <c r="B668" s="21"/>
      <c r="C668" s="21"/>
      <c r="D668" s="21"/>
      <c r="E668" s="136"/>
      <c r="F668" s="136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</row>
    <row r="669">
      <c r="A669" s="21"/>
      <c r="B669" s="21"/>
      <c r="C669" s="21"/>
      <c r="D669" s="21"/>
      <c r="E669" s="136"/>
      <c r="F669" s="136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</row>
    <row r="670">
      <c r="A670" s="21"/>
      <c r="B670" s="21"/>
      <c r="C670" s="21"/>
      <c r="D670" s="21"/>
      <c r="E670" s="136"/>
      <c r="F670" s="136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</row>
    <row r="671">
      <c r="A671" s="21"/>
      <c r="B671" s="21"/>
      <c r="C671" s="21"/>
      <c r="D671" s="21"/>
      <c r="E671" s="136"/>
      <c r="F671" s="136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</row>
    <row r="672">
      <c r="A672" s="21"/>
      <c r="B672" s="21"/>
      <c r="C672" s="21"/>
      <c r="D672" s="21"/>
      <c r="E672" s="136"/>
      <c r="F672" s="136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</row>
    <row r="673">
      <c r="A673" s="21"/>
      <c r="B673" s="21"/>
      <c r="C673" s="21"/>
      <c r="D673" s="21"/>
      <c r="E673" s="136"/>
      <c r="F673" s="136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</row>
    <row r="674">
      <c r="A674" s="21"/>
      <c r="B674" s="21"/>
      <c r="C674" s="21"/>
      <c r="D674" s="21"/>
      <c r="E674" s="136"/>
      <c r="F674" s="136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</row>
    <row r="675">
      <c r="A675" s="21"/>
      <c r="B675" s="21"/>
      <c r="C675" s="21"/>
      <c r="D675" s="21"/>
      <c r="E675" s="136"/>
      <c r="F675" s="136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</row>
    <row r="676">
      <c r="A676" s="21"/>
      <c r="B676" s="21"/>
      <c r="C676" s="21"/>
      <c r="D676" s="21"/>
      <c r="E676" s="136"/>
      <c r="F676" s="136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</row>
    <row r="677">
      <c r="A677" s="21"/>
      <c r="B677" s="21"/>
      <c r="C677" s="21"/>
      <c r="D677" s="21"/>
      <c r="E677" s="136"/>
      <c r="F677" s="136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</row>
    <row r="678">
      <c r="A678" s="21"/>
      <c r="B678" s="21"/>
      <c r="C678" s="21"/>
      <c r="D678" s="21"/>
      <c r="E678" s="136"/>
      <c r="F678" s="136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</row>
    <row r="679">
      <c r="A679" s="21"/>
      <c r="B679" s="21"/>
      <c r="C679" s="21"/>
      <c r="D679" s="21"/>
      <c r="E679" s="136"/>
      <c r="F679" s="136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</row>
    <row r="680">
      <c r="A680" s="21"/>
      <c r="B680" s="21"/>
      <c r="C680" s="21"/>
      <c r="D680" s="21"/>
      <c r="E680" s="136"/>
      <c r="F680" s="136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</row>
    <row r="681">
      <c r="A681" s="21"/>
      <c r="B681" s="21"/>
      <c r="C681" s="21"/>
      <c r="D681" s="21"/>
      <c r="E681" s="136"/>
      <c r="F681" s="136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</row>
    <row r="682">
      <c r="A682" s="21"/>
      <c r="B682" s="21"/>
      <c r="C682" s="21"/>
      <c r="D682" s="21"/>
      <c r="E682" s="136"/>
      <c r="F682" s="136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</row>
    <row r="683">
      <c r="A683" s="21"/>
      <c r="B683" s="21"/>
      <c r="C683" s="21"/>
      <c r="D683" s="21"/>
      <c r="E683" s="136"/>
      <c r="F683" s="136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</row>
    <row r="684">
      <c r="A684" s="21"/>
      <c r="B684" s="21"/>
      <c r="C684" s="21"/>
      <c r="D684" s="21"/>
      <c r="E684" s="136"/>
      <c r="F684" s="136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</row>
    <row r="685">
      <c r="A685" s="21"/>
      <c r="B685" s="21"/>
      <c r="C685" s="21"/>
      <c r="D685" s="21"/>
      <c r="E685" s="136"/>
      <c r="F685" s="136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</row>
    <row r="686">
      <c r="A686" s="21"/>
      <c r="B686" s="21"/>
      <c r="C686" s="21"/>
      <c r="D686" s="21"/>
      <c r="E686" s="136"/>
      <c r="F686" s="136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</row>
    <row r="687">
      <c r="A687" s="21"/>
      <c r="B687" s="21"/>
      <c r="C687" s="21"/>
      <c r="D687" s="21"/>
      <c r="E687" s="136"/>
      <c r="F687" s="136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</row>
    <row r="688">
      <c r="A688" s="21"/>
      <c r="B688" s="21"/>
      <c r="C688" s="21"/>
      <c r="D688" s="21"/>
      <c r="E688" s="136"/>
      <c r="F688" s="136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</row>
    <row r="689">
      <c r="A689" s="21"/>
      <c r="B689" s="21"/>
      <c r="C689" s="21"/>
      <c r="D689" s="21"/>
      <c r="E689" s="136"/>
      <c r="F689" s="136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</row>
    <row r="690">
      <c r="A690" s="21"/>
      <c r="B690" s="21"/>
      <c r="C690" s="21"/>
      <c r="D690" s="21"/>
      <c r="E690" s="136"/>
      <c r="F690" s="136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</row>
    <row r="691">
      <c r="A691" s="21"/>
      <c r="B691" s="21"/>
      <c r="C691" s="21"/>
      <c r="D691" s="21"/>
      <c r="E691" s="136"/>
      <c r="F691" s="136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</row>
    <row r="692">
      <c r="A692" s="21"/>
      <c r="B692" s="21"/>
      <c r="C692" s="21"/>
      <c r="D692" s="21"/>
      <c r="E692" s="136"/>
      <c r="F692" s="136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</row>
    <row r="693">
      <c r="A693" s="21"/>
      <c r="B693" s="21"/>
      <c r="C693" s="21"/>
      <c r="D693" s="21"/>
      <c r="E693" s="136"/>
      <c r="F693" s="136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</row>
    <row r="694">
      <c r="A694" s="21"/>
      <c r="B694" s="21"/>
      <c r="C694" s="21"/>
      <c r="D694" s="21"/>
      <c r="E694" s="136"/>
      <c r="F694" s="136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</row>
    <row r="695">
      <c r="A695" s="21"/>
      <c r="B695" s="21"/>
      <c r="C695" s="21"/>
      <c r="D695" s="21"/>
      <c r="E695" s="136"/>
      <c r="F695" s="136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</row>
    <row r="696">
      <c r="A696" s="21"/>
      <c r="B696" s="21"/>
      <c r="C696" s="21"/>
      <c r="D696" s="21"/>
      <c r="E696" s="136"/>
      <c r="F696" s="136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</row>
    <row r="697">
      <c r="A697" s="21"/>
      <c r="B697" s="21"/>
      <c r="C697" s="21"/>
      <c r="D697" s="21"/>
      <c r="E697" s="136"/>
      <c r="F697" s="136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</row>
    <row r="698">
      <c r="A698" s="21"/>
      <c r="B698" s="21"/>
      <c r="C698" s="21"/>
      <c r="D698" s="21"/>
      <c r="E698" s="136"/>
      <c r="F698" s="136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</row>
    <row r="699">
      <c r="A699" s="21"/>
      <c r="B699" s="21"/>
      <c r="C699" s="21"/>
      <c r="D699" s="21"/>
      <c r="E699" s="136"/>
      <c r="F699" s="136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</row>
    <row r="700">
      <c r="A700" s="21"/>
      <c r="B700" s="21"/>
      <c r="C700" s="21"/>
      <c r="D700" s="21"/>
      <c r="E700" s="136"/>
      <c r="F700" s="136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</row>
    <row r="701">
      <c r="A701" s="21"/>
      <c r="B701" s="21"/>
      <c r="C701" s="21"/>
      <c r="D701" s="21"/>
      <c r="E701" s="136"/>
      <c r="F701" s="136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</row>
    <row r="702">
      <c r="A702" s="21"/>
      <c r="B702" s="21"/>
      <c r="C702" s="21"/>
      <c r="D702" s="21"/>
      <c r="E702" s="136"/>
      <c r="F702" s="136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</row>
    <row r="703">
      <c r="A703" s="21"/>
      <c r="B703" s="21"/>
      <c r="C703" s="21"/>
      <c r="D703" s="21"/>
      <c r="E703" s="136"/>
      <c r="F703" s="136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</row>
    <row r="704">
      <c r="A704" s="21"/>
      <c r="B704" s="21"/>
      <c r="C704" s="21"/>
      <c r="D704" s="21"/>
      <c r="E704" s="136"/>
      <c r="F704" s="136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</row>
    <row r="705">
      <c r="A705" s="21"/>
      <c r="B705" s="21"/>
      <c r="C705" s="21"/>
      <c r="D705" s="21"/>
      <c r="E705" s="136"/>
      <c r="F705" s="136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</row>
    <row r="706">
      <c r="A706" s="21"/>
      <c r="B706" s="21"/>
      <c r="C706" s="21"/>
      <c r="D706" s="21"/>
      <c r="E706" s="136"/>
      <c r="F706" s="136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</row>
    <row r="707">
      <c r="A707" s="21"/>
      <c r="B707" s="21"/>
      <c r="C707" s="21"/>
      <c r="D707" s="21"/>
      <c r="E707" s="136"/>
      <c r="F707" s="136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</row>
    <row r="708">
      <c r="A708" s="21"/>
      <c r="B708" s="21"/>
      <c r="C708" s="21"/>
      <c r="D708" s="21"/>
      <c r="E708" s="136"/>
      <c r="F708" s="136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</row>
    <row r="709">
      <c r="A709" s="21"/>
      <c r="B709" s="21"/>
      <c r="C709" s="21"/>
      <c r="D709" s="21"/>
      <c r="E709" s="136"/>
      <c r="F709" s="136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</row>
    <row r="710">
      <c r="A710" s="21"/>
      <c r="B710" s="21"/>
      <c r="C710" s="21"/>
      <c r="D710" s="21"/>
      <c r="E710" s="136"/>
      <c r="F710" s="136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</row>
    <row r="711">
      <c r="A711" s="21"/>
      <c r="B711" s="21"/>
      <c r="C711" s="21"/>
      <c r="D711" s="21"/>
      <c r="E711" s="136"/>
      <c r="F711" s="136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</row>
    <row r="712">
      <c r="A712" s="21"/>
      <c r="B712" s="21"/>
      <c r="C712" s="21"/>
      <c r="D712" s="21"/>
      <c r="E712" s="136"/>
      <c r="F712" s="136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</row>
    <row r="713">
      <c r="A713" s="21"/>
      <c r="B713" s="21"/>
      <c r="C713" s="21"/>
      <c r="D713" s="21"/>
      <c r="E713" s="136"/>
      <c r="F713" s="136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</row>
    <row r="714">
      <c r="A714" s="21"/>
      <c r="B714" s="21"/>
      <c r="C714" s="21"/>
      <c r="D714" s="21"/>
      <c r="E714" s="136"/>
      <c r="F714" s="136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</row>
    <row r="715">
      <c r="A715" s="21"/>
      <c r="B715" s="21"/>
      <c r="C715" s="21"/>
      <c r="D715" s="21"/>
      <c r="E715" s="136"/>
      <c r="F715" s="136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</row>
    <row r="716">
      <c r="A716" s="21"/>
      <c r="B716" s="21"/>
      <c r="C716" s="21"/>
      <c r="D716" s="21"/>
      <c r="E716" s="136"/>
      <c r="F716" s="136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</row>
    <row r="717">
      <c r="A717" s="21"/>
      <c r="B717" s="21"/>
      <c r="C717" s="21"/>
      <c r="D717" s="21"/>
      <c r="E717" s="136"/>
      <c r="F717" s="136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</row>
    <row r="718">
      <c r="A718" s="21"/>
      <c r="B718" s="21"/>
      <c r="C718" s="21"/>
      <c r="D718" s="21"/>
      <c r="E718" s="136"/>
      <c r="F718" s="136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</row>
    <row r="719">
      <c r="A719" s="21"/>
      <c r="B719" s="21"/>
      <c r="C719" s="21"/>
      <c r="D719" s="21"/>
      <c r="E719" s="136"/>
      <c r="F719" s="136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</row>
    <row r="720">
      <c r="A720" s="21"/>
      <c r="B720" s="21"/>
      <c r="C720" s="21"/>
      <c r="D720" s="21"/>
      <c r="E720" s="136"/>
      <c r="F720" s="136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</row>
    <row r="721">
      <c r="A721" s="21"/>
      <c r="B721" s="21"/>
      <c r="C721" s="21"/>
      <c r="D721" s="21"/>
      <c r="E721" s="136"/>
      <c r="F721" s="136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</row>
    <row r="722">
      <c r="A722" s="21"/>
      <c r="B722" s="21"/>
      <c r="C722" s="21"/>
      <c r="D722" s="21"/>
      <c r="E722" s="136"/>
      <c r="F722" s="136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</row>
    <row r="723">
      <c r="A723" s="21"/>
      <c r="B723" s="21"/>
      <c r="C723" s="21"/>
      <c r="D723" s="21"/>
      <c r="E723" s="136"/>
      <c r="F723" s="136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</row>
    <row r="724">
      <c r="A724" s="21"/>
      <c r="B724" s="21"/>
      <c r="C724" s="21"/>
      <c r="D724" s="21"/>
      <c r="E724" s="136"/>
      <c r="F724" s="136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</row>
    <row r="725">
      <c r="A725" s="21"/>
      <c r="B725" s="21"/>
      <c r="C725" s="21"/>
      <c r="D725" s="21"/>
      <c r="E725" s="136"/>
      <c r="F725" s="136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</row>
    <row r="726">
      <c r="A726" s="21"/>
      <c r="B726" s="21"/>
      <c r="C726" s="21"/>
      <c r="D726" s="21"/>
      <c r="E726" s="136"/>
      <c r="F726" s="136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</row>
    <row r="727">
      <c r="A727" s="21"/>
      <c r="B727" s="21"/>
      <c r="C727" s="21"/>
      <c r="D727" s="21"/>
      <c r="E727" s="136"/>
      <c r="F727" s="136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</row>
    <row r="728">
      <c r="A728" s="21"/>
      <c r="B728" s="21"/>
      <c r="C728" s="21"/>
      <c r="D728" s="21"/>
      <c r="E728" s="136"/>
      <c r="F728" s="136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</row>
    <row r="729">
      <c r="A729" s="21"/>
      <c r="B729" s="21"/>
      <c r="C729" s="21"/>
      <c r="D729" s="21"/>
      <c r="E729" s="136"/>
      <c r="F729" s="136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</row>
    <row r="730">
      <c r="A730" s="21"/>
      <c r="B730" s="21"/>
      <c r="C730" s="21"/>
      <c r="D730" s="21"/>
      <c r="E730" s="136"/>
      <c r="F730" s="136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</row>
    <row r="731">
      <c r="A731" s="21"/>
      <c r="B731" s="21"/>
      <c r="C731" s="21"/>
      <c r="D731" s="21"/>
      <c r="E731" s="136"/>
      <c r="F731" s="136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</row>
    <row r="732">
      <c r="A732" s="21"/>
      <c r="B732" s="21"/>
      <c r="C732" s="21"/>
      <c r="D732" s="21"/>
      <c r="E732" s="136"/>
      <c r="F732" s="136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</row>
    <row r="733">
      <c r="A733" s="21"/>
      <c r="B733" s="21"/>
      <c r="C733" s="21"/>
      <c r="D733" s="21"/>
      <c r="E733" s="136"/>
      <c r="F733" s="136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</row>
    <row r="734">
      <c r="A734" s="21"/>
      <c r="B734" s="21"/>
      <c r="C734" s="21"/>
      <c r="D734" s="21"/>
      <c r="E734" s="136"/>
      <c r="F734" s="136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</row>
    <row r="735">
      <c r="A735" s="21"/>
      <c r="B735" s="21"/>
      <c r="C735" s="21"/>
      <c r="D735" s="21"/>
      <c r="E735" s="136"/>
      <c r="F735" s="136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</row>
    <row r="736">
      <c r="A736" s="21"/>
      <c r="B736" s="21"/>
      <c r="C736" s="21"/>
      <c r="D736" s="21"/>
      <c r="E736" s="136"/>
      <c r="F736" s="136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</row>
    <row r="737">
      <c r="A737" s="21"/>
      <c r="B737" s="21"/>
      <c r="C737" s="21"/>
      <c r="D737" s="21"/>
      <c r="E737" s="136"/>
      <c r="F737" s="136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</row>
    <row r="738">
      <c r="A738" s="21"/>
      <c r="B738" s="21"/>
      <c r="C738" s="21"/>
      <c r="D738" s="21"/>
      <c r="E738" s="136"/>
      <c r="F738" s="136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</row>
    <row r="739">
      <c r="A739" s="21"/>
      <c r="B739" s="21"/>
      <c r="C739" s="21"/>
      <c r="D739" s="21"/>
      <c r="E739" s="136"/>
      <c r="F739" s="136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</row>
    <row r="740">
      <c r="A740" s="21"/>
      <c r="B740" s="21"/>
      <c r="C740" s="21"/>
      <c r="D740" s="21"/>
      <c r="E740" s="136"/>
      <c r="F740" s="136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</row>
    <row r="741">
      <c r="A741" s="21"/>
      <c r="B741" s="21"/>
      <c r="C741" s="21"/>
      <c r="D741" s="21"/>
      <c r="E741" s="136"/>
      <c r="F741" s="136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</row>
    <row r="742">
      <c r="A742" s="21"/>
      <c r="B742" s="21"/>
      <c r="C742" s="21"/>
      <c r="D742" s="21"/>
      <c r="E742" s="136"/>
      <c r="F742" s="136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</row>
    <row r="743">
      <c r="A743" s="21"/>
      <c r="B743" s="21"/>
      <c r="C743" s="21"/>
      <c r="D743" s="21"/>
      <c r="E743" s="136"/>
      <c r="F743" s="136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</row>
    <row r="744">
      <c r="A744" s="21"/>
      <c r="B744" s="21"/>
      <c r="C744" s="21"/>
      <c r="D744" s="21"/>
      <c r="E744" s="136"/>
      <c r="F744" s="136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</row>
    <row r="745">
      <c r="A745" s="21"/>
      <c r="B745" s="21"/>
      <c r="C745" s="21"/>
      <c r="D745" s="21"/>
      <c r="E745" s="136"/>
      <c r="F745" s="136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</row>
    <row r="746">
      <c r="A746" s="21"/>
      <c r="B746" s="21"/>
      <c r="C746" s="21"/>
      <c r="D746" s="21"/>
      <c r="E746" s="136"/>
      <c r="F746" s="136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</row>
    <row r="747">
      <c r="A747" s="21"/>
      <c r="B747" s="21"/>
      <c r="C747" s="21"/>
      <c r="D747" s="21"/>
      <c r="E747" s="136"/>
      <c r="F747" s="136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</row>
    <row r="748">
      <c r="A748" s="21"/>
      <c r="B748" s="21"/>
      <c r="C748" s="21"/>
      <c r="D748" s="21"/>
      <c r="E748" s="136"/>
      <c r="F748" s="136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</row>
    <row r="749">
      <c r="A749" s="21"/>
      <c r="B749" s="21"/>
      <c r="C749" s="21"/>
      <c r="D749" s="21"/>
      <c r="E749" s="136"/>
      <c r="F749" s="136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</row>
    <row r="750">
      <c r="A750" s="21"/>
      <c r="B750" s="21"/>
      <c r="C750" s="21"/>
      <c r="D750" s="21"/>
      <c r="E750" s="136"/>
      <c r="F750" s="136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</row>
    <row r="751">
      <c r="A751" s="21"/>
      <c r="B751" s="21"/>
      <c r="C751" s="21"/>
      <c r="D751" s="21"/>
      <c r="E751" s="136"/>
      <c r="F751" s="136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</row>
    <row r="752">
      <c r="A752" s="21"/>
      <c r="B752" s="21"/>
      <c r="C752" s="21"/>
      <c r="D752" s="21"/>
      <c r="E752" s="136"/>
      <c r="F752" s="136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</row>
    <row r="753">
      <c r="A753" s="21"/>
      <c r="B753" s="21"/>
      <c r="C753" s="21"/>
      <c r="D753" s="21"/>
      <c r="E753" s="136"/>
      <c r="F753" s="136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</row>
    <row r="754">
      <c r="A754" s="21"/>
      <c r="B754" s="21"/>
      <c r="C754" s="21"/>
      <c r="D754" s="21"/>
      <c r="E754" s="136"/>
      <c r="F754" s="136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</row>
    <row r="755">
      <c r="A755" s="21"/>
      <c r="B755" s="21"/>
      <c r="C755" s="21"/>
      <c r="D755" s="21"/>
      <c r="E755" s="136"/>
      <c r="F755" s="136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</row>
    <row r="756">
      <c r="A756" s="21"/>
      <c r="B756" s="21"/>
      <c r="C756" s="21"/>
      <c r="D756" s="21"/>
      <c r="E756" s="136"/>
      <c r="F756" s="136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</row>
    <row r="757">
      <c r="A757" s="21"/>
      <c r="B757" s="21"/>
      <c r="C757" s="21"/>
      <c r="D757" s="21"/>
      <c r="E757" s="136"/>
      <c r="F757" s="136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</row>
    <row r="758">
      <c r="A758" s="21"/>
      <c r="B758" s="21"/>
      <c r="C758" s="21"/>
      <c r="D758" s="21"/>
      <c r="E758" s="136"/>
      <c r="F758" s="136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</row>
    <row r="759">
      <c r="A759" s="21"/>
      <c r="B759" s="21"/>
      <c r="C759" s="21"/>
      <c r="D759" s="21"/>
      <c r="E759" s="136"/>
      <c r="F759" s="136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</row>
    <row r="760">
      <c r="A760" s="21"/>
      <c r="B760" s="21"/>
      <c r="C760" s="21"/>
      <c r="D760" s="21"/>
      <c r="E760" s="136"/>
      <c r="F760" s="136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</row>
    <row r="761">
      <c r="A761" s="21"/>
      <c r="B761" s="21"/>
      <c r="C761" s="21"/>
      <c r="D761" s="21"/>
      <c r="E761" s="136"/>
      <c r="F761" s="136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</row>
    <row r="762">
      <c r="A762" s="21"/>
      <c r="B762" s="21"/>
      <c r="C762" s="21"/>
      <c r="D762" s="21"/>
      <c r="E762" s="136"/>
      <c r="F762" s="136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</row>
    <row r="763">
      <c r="A763" s="21"/>
      <c r="B763" s="21"/>
      <c r="C763" s="21"/>
      <c r="D763" s="21"/>
      <c r="E763" s="136"/>
      <c r="F763" s="136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</row>
    <row r="764">
      <c r="A764" s="21"/>
      <c r="B764" s="21"/>
      <c r="C764" s="21"/>
      <c r="D764" s="21"/>
      <c r="E764" s="136"/>
      <c r="F764" s="136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</row>
    <row r="765">
      <c r="A765" s="21"/>
      <c r="B765" s="21"/>
      <c r="C765" s="21"/>
      <c r="D765" s="21"/>
      <c r="E765" s="136"/>
      <c r="F765" s="136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</row>
    <row r="766">
      <c r="A766" s="21"/>
      <c r="B766" s="21"/>
      <c r="C766" s="21"/>
      <c r="D766" s="21"/>
      <c r="E766" s="136"/>
      <c r="F766" s="136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</row>
    <row r="767">
      <c r="A767" s="21"/>
      <c r="B767" s="21"/>
      <c r="C767" s="21"/>
      <c r="D767" s="21"/>
      <c r="E767" s="136"/>
      <c r="F767" s="136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</row>
    <row r="768">
      <c r="A768" s="21"/>
      <c r="B768" s="21"/>
      <c r="C768" s="21"/>
      <c r="D768" s="21"/>
      <c r="E768" s="136"/>
      <c r="F768" s="136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</row>
    <row r="769">
      <c r="A769" s="21"/>
      <c r="B769" s="21"/>
      <c r="C769" s="21"/>
      <c r="D769" s="21"/>
      <c r="E769" s="136"/>
      <c r="F769" s="136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</row>
    <row r="770">
      <c r="A770" s="21"/>
      <c r="B770" s="21"/>
      <c r="C770" s="21"/>
      <c r="D770" s="21"/>
      <c r="E770" s="136"/>
      <c r="F770" s="136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</row>
    <row r="771">
      <c r="A771" s="21"/>
      <c r="B771" s="21"/>
      <c r="C771" s="21"/>
      <c r="D771" s="21"/>
      <c r="E771" s="136"/>
      <c r="F771" s="136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</row>
    <row r="772">
      <c r="A772" s="21"/>
      <c r="B772" s="21"/>
      <c r="C772" s="21"/>
      <c r="D772" s="21"/>
      <c r="E772" s="136"/>
      <c r="F772" s="136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</row>
    <row r="773">
      <c r="A773" s="21"/>
      <c r="B773" s="21"/>
      <c r="C773" s="21"/>
      <c r="D773" s="21"/>
      <c r="E773" s="136"/>
      <c r="F773" s="136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</row>
    <row r="774">
      <c r="A774" s="21"/>
      <c r="B774" s="21"/>
      <c r="C774" s="21"/>
      <c r="D774" s="21"/>
      <c r="E774" s="136"/>
      <c r="F774" s="136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</row>
    <row r="775">
      <c r="A775" s="21"/>
      <c r="B775" s="21"/>
      <c r="C775" s="21"/>
      <c r="D775" s="21"/>
      <c r="E775" s="136"/>
      <c r="F775" s="136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</row>
    <row r="776">
      <c r="A776" s="21"/>
      <c r="B776" s="21"/>
      <c r="C776" s="21"/>
      <c r="D776" s="21"/>
      <c r="E776" s="136"/>
      <c r="F776" s="136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</row>
    <row r="777">
      <c r="A777" s="21"/>
      <c r="B777" s="21"/>
      <c r="C777" s="21"/>
      <c r="D777" s="21"/>
      <c r="E777" s="136"/>
      <c r="F777" s="136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</row>
    <row r="778">
      <c r="A778" s="21"/>
      <c r="B778" s="21"/>
      <c r="C778" s="21"/>
      <c r="D778" s="21"/>
      <c r="E778" s="136"/>
      <c r="F778" s="136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</row>
    <row r="779">
      <c r="A779" s="21"/>
      <c r="B779" s="21"/>
      <c r="C779" s="21"/>
      <c r="D779" s="21"/>
      <c r="E779" s="136"/>
      <c r="F779" s="136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</row>
    <row r="780">
      <c r="A780" s="21"/>
      <c r="B780" s="21"/>
      <c r="C780" s="21"/>
      <c r="D780" s="21"/>
      <c r="E780" s="136"/>
      <c r="F780" s="136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</row>
    <row r="781">
      <c r="A781" s="21"/>
      <c r="B781" s="21"/>
      <c r="C781" s="21"/>
      <c r="D781" s="21"/>
      <c r="E781" s="136"/>
      <c r="F781" s="136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</row>
    <row r="782">
      <c r="A782" s="21"/>
      <c r="B782" s="21"/>
      <c r="C782" s="21"/>
      <c r="D782" s="21"/>
      <c r="E782" s="136"/>
      <c r="F782" s="136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</row>
    <row r="783">
      <c r="A783" s="21"/>
      <c r="B783" s="21"/>
      <c r="C783" s="21"/>
      <c r="D783" s="21"/>
      <c r="E783" s="136"/>
      <c r="F783" s="136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</row>
    <row r="784">
      <c r="A784" s="21"/>
      <c r="B784" s="21"/>
      <c r="C784" s="21"/>
      <c r="D784" s="21"/>
      <c r="E784" s="136"/>
      <c r="F784" s="136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</row>
    <row r="785">
      <c r="A785" s="21"/>
      <c r="B785" s="21"/>
      <c r="C785" s="21"/>
      <c r="D785" s="21"/>
      <c r="E785" s="136"/>
      <c r="F785" s="136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</row>
    <row r="786">
      <c r="A786" s="21"/>
      <c r="B786" s="21"/>
      <c r="C786" s="21"/>
      <c r="D786" s="21"/>
      <c r="E786" s="136"/>
      <c r="F786" s="136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</row>
    <row r="787">
      <c r="A787" s="21"/>
      <c r="B787" s="21"/>
      <c r="C787" s="21"/>
      <c r="D787" s="21"/>
      <c r="E787" s="136"/>
      <c r="F787" s="136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</row>
    <row r="788">
      <c r="A788" s="21"/>
      <c r="B788" s="21"/>
      <c r="C788" s="21"/>
      <c r="D788" s="21"/>
      <c r="E788" s="136"/>
      <c r="F788" s="136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</row>
    <row r="789">
      <c r="A789" s="21"/>
      <c r="B789" s="21"/>
      <c r="C789" s="21"/>
      <c r="D789" s="21"/>
      <c r="E789" s="136"/>
      <c r="F789" s="136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</row>
    <row r="790">
      <c r="A790" s="21"/>
      <c r="B790" s="21"/>
      <c r="C790" s="21"/>
      <c r="D790" s="21"/>
      <c r="E790" s="136"/>
      <c r="F790" s="136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</row>
    <row r="791">
      <c r="A791" s="21"/>
      <c r="B791" s="21"/>
      <c r="C791" s="21"/>
      <c r="D791" s="21"/>
      <c r="E791" s="136"/>
      <c r="F791" s="136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</row>
    <row r="792">
      <c r="A792" s="21"/>
      <c r="B792" s="21"/>
      <c r="C792" s="21"/>
      <c r="D792" s="21"/>
      <c r="E792" s="136"/>
      <c r="F792" s="136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</row>
    <row r="793">
      <c r="A793" s="21"/>
      <c r="B793" s="21"/>
      <c r="C793" s="21"/>
      <c r="D793" s="21"/>
      <c r="E793" s="136"/>
      <c r="F793" s="136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</row>
    <row r="794">
      <c r="A794" s="21"/>
      <c r="B794" s="21"/>
      <c r="C794" s="21"/>
      <c r="D794" s="21"/>
      <c r="E794" s="136"/>
      <c r="F794" s="136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</row>
    <row r="795">
      <c r="A795" s="21"/>
      <c r="B795" s="21"/>
      <c r="C795" s="21"/>
      <c r="D795" s="21"/>
      <c r="E795" s="136"/>
      <c r="F795" s="136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</row>
    <row r="796">
      <c r="A796" s="21"/>
      <c r="B796" s="21"/>
      <c r="C796" s="21"/>
      <c r="D796" s="21"/>
      <c r="E796" s="136"/>
      <c r="F796" s="136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</row>
    <row r="797">
      <c r="A797" s="21"/>
      <c r="B797" s="21"/>
      <c r="C797" s="21"/>
      <c r="D797" s="21"/>
      <c r="E797" s="136"/>
      <c r="F797" s="136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</row>
    <row r="798">
      <c r="A798" s="21"/>
      <c r="B798" s="21"/>
      <c r="C798" s="21"/>
      <c r="D798" s="21"/>
      <c r="E798" s="136"/>
      <c r="F798" s="136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</row>
    <row r="799">
      <c r="A799" s="21"/>
      <c r="B799" s="21"/>
      <c r="C799" s="21"/>
      <c r="D799" s="21"/>
      <c r="E799" s="136"/>
      <c r="F799" s="136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</row>
    <row r="800">
      <c r="A800" s="21"/>
      <c r="B800" s="21"/>
      <c r="C800" s="21"/>
      <c r="D800" s="21"/>
      <c r="E800" s="136"/>
      <c r="F800" s="136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</row>
    <row r="801">
      <c r="A801" s="21"/>
      <c r="B801" s="21"/>
      <c r="C801" s="21"/>
      <c r="D801" s="21"/>
      <c r="E801" s="136"/>
      <c r="F801" s="136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</row>
    <row r="802">
      <c r="A802" s="21"/>
      <c r="B802" s="21"/>
      <c r="C802" s="21"/>
      <c r="D802" s="21"/>
      <c r="E802" s="136"/>
      <c r="F802" s="136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</row>
    <row r="803">
      <c r="A803" s="21"/>
      <c r="B803" s="21"/>
      <c r="C803" s="21"/>
      <c r="D803" s="21"/>
      <c r="E803" s="136"/>
      <c r="F803" s="136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</row>
    <row r="804">
      <c r="A804" s="21"/>
      <c r="B804" s="21"/>
      <c r="C804" s="21"/>
      <c r="D804" s="21"/>
      <c r="E804" s="136"/>
      <c r="F804" s="136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</row>
    <row r="805">
      <c r="A805" s="21"/>
      <c r="B805" s="21"/>
      <c r="C805" s="21"/>
      <c r="D805" s="21"/>
      <c r="E805" s="136"/>
      <c r="F805" s="136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</row>
    <row r="806">
      <c r="A806" s="21"/>
      <c r="B806" s="21"/>
      <c r="C806" s="21"/>
      <c r="D806" s="21"/>
      <c r="E806" s="136"/>
      <c r="F806" s="136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</row>
    <row r="807">
      <c r="A807" s="21"/>
      <c r="B807" s="21"/>
      <c r="C807" s="21"/>
      <c r="D807" s="21"/>
      <c r="E807" s="136"/>
      <c r="F807" s="136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</row>
    <row r="808">
      <c r="A808" s="21"/>
      <c r="B808" s="21"/>
      <c r="C808" s="21"/>
      <c r="D808" s="21"/>
      <c r="E808" s="136"/>
      <c r="F808" s="136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</row>
    <row r="809">
      <c r="A809" s="21"/>
      <c r="B809" s="21"/>
      <c r="C809" s="21"/>
      <c r="D809" s="21"/>
      <c r="E809" s="136"/>
      <c r="F809" s="136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</row>
    <row r="810">
      <c r="A810" s="21"/>
      <c r="B810" s="21"/>
      <c r="C810" s="21"/>
      <c r="D810" s="21"/>
      <c r="E810" s="136"/>
      <c r="F810" s="136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</row>
    <row r="811">
      <c r="A811" s="21"/>
      <c r="B811" s="21"/>
      <c r="C811" s="21"/>
      <c r="D811" s="21"/>
      <c r="E811" s="136"/>
      <c r="F811" s="136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</row>
    <row r="812">
      <c r="A812" s="21"/>
      <c r="B812" s="21"/>
      <c r="C812" s="21"/>
      <c r="D812" s="21"/>
      <c r="E812" s="136"/>
      <c r="F812" s="136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</row>
    <row r="813">
      <c r="A813" s="21"/>
      <c r="B813" s="21"/>
      <c r="C813" s="21"/>
      <c r="D813" s="21"/>
      <c r="E813" s="136"/>
      <c r="F813" s="136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</row>
    <row r="814">
      <c r="A814" s="21"/>
      <c r="B814" s="21"/>
      <c r="C814" s="21"/>
      <c r="D814" s="21"/>
      <c r="E814" s="136"/>
      <c r="F814" s="136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</row>
    <row r="815">
      <c r="A815" s="21"/>
      <c r="B815" s="21"/>
      <c r="C815" s="21"/>
      <c r="D815" s="21"/>
      <c r="E815" s="136"/>
      <c r="F815" s="136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</row>
    <row r="816">
      <c r="A816" s="21"/>
      <c r="B816" s="21"/>
      <c r="C816" s="21"/>
      <c r="D816" s="21"/>
      <c r="E816" s="136"/>
      <c r="F816" s="136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</row>
    <row r="817">
      <c r="A817" s="21"/>
      <c r="B817" s="21"/>
      <c r="C817" s="21"/>
      <c r="D817" s="21"/>
      <c r="E817" s="136"/>
      <c r="F817" s="136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</row>
    <row r="818">
      <c r="A818" s="21"/>
      <c r="B818" s="21"/>
      <c r="C818" s="21"/>
      <c r="D818" s="21"/>
      <c r="E818" s="136"/>
      <c r="F818" s="136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</row>
    <row r="819">
      <c r="A819" s="21"/>
      <c r="B819" s="21"/>
      <c r="C819" s="21"/>
      <c r="D819" s="21"/>
      <c r="E819" s="136"/>
      <c r="F819" s="136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</row>
    <row r="820">
      <c r="A820" s="21"/>
      <c r="B820" s="21"/>
      <c r="C820" s="21"/>
      <c r="D820" s="21"/>
      <c r="E820" s="136"/>
      <c r="F820" s="136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</row>
    <row r="821">
      <c r="A821" s="21"/>
      <c r="B821" s="21"/>
      <c r="C821" s="21"/>
      <c r="D821" s="21"/>
      <c r="E821" s="136"/>
      <c r="F821" s="136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</row>
    <row r="822">
      <c r="A822" s="21"/>
      <c r="B822" s="21"/>
      <c r="C822" s="21"/>
      <c r="D822" s="21"/>
      <c r="E822" s="136"/>
      <c r="F822" s="136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</row>
    <row r="823">
      <c r="A823" s="21"/>
      <c r="B823" s="21"/>
      <c r="C823" s="21"/>
      <c r="D823" s="21"/>
      <c r="E823" s="136"/>
      <c r="F823" s="136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</row>
    <row r="824">
      <c r="A824" s="21"/>
      <c r="B824" s="21"/>
      <c r="C824" s="21"/>
      <c r="D824" s="21"/>
      <c r="E824" s="136"/>
      <c r="F824" s="136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</row>
    <row r="825">
      <c r="A825" s="21"/>
      <c r="B825" s="21"/>
      <c r="C825" s="21"/>
      <c r="D825" s="21"/>
      <c r="E825" s="136"/>
      <c r="F825" s="136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</row>
    <row r="826">
      <c r="A826" s="21"/>
      <c r="B826" s="21"/>
      <c r="C826" s="21"/>
      <c r="D826" s="21"/>
      <c r="E826" s="136"/>
      <c r="F826" s="136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</row>
    <row r="827">
      <c r="A827" s="21"/>
      <c r="B827" s="21"/>
      <c r="C827" s="21"/>
      <c r="D827" s="21"/>
      <c r="E827" s="136"/>
      <c r="F827" s="136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</row>
    <row r="828">
      <c r="A828" s="21"/>
      <c r="B828" s="21"/>
      <c r="C828" s="21"/>
      <c r="D828" s="21"/>
      <c r="E828" s="136"/>
      <c r="F828" s="136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</row>
    <row r="829">
      <c r="A829" s="21"/>
      <c r="B829" s="21"/>
      <c r="C829" s="21"/>
      <c r="D829" s="21"/>
      <c r="E829" s="136"/>
      <c r="F829" s="136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</row>
    <row r="830">
      <c r="A830" s="21"/>
      <c r="B830" s="21"/>
      <c r="C830" s="21"/>
      <c r="D830" s="21"/>
      <c r="E830" s="136"/>
      <c r="F830" s="136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</row>
    <row r="831">
      <c r="A831" s="21"/>
      <c r="B831" s="21"/>
      <c r="C831" s="21"/>
      <c r="D831" s="21"/>
      <c r="E831" s="136"/>
      <c r="F831" s="136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</row>
    <row r="832">
      <c r="A832" s="21"/>
      <c r="B832" s="21"/>
      <c r="C832" s="21"/>
      <c r="D832" s="21"/>
      <c r="E832" s="136"/>
      <c r="F832" s="136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</row>
    <row r="833">
      <c r="A833" s="21"/>
      <c r="B833" s="21"/>
      <c r="C833" s="21"/>
      <c r="D833" s="21"/>
      <c r="E833" s="136"/>
      <c r="F833" s="136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</row>
    <row r="834">
      <c r="A834" s="21"/>
      <c r="B834" s="21"/>
      <c r="C834" s="21"/>
      <c r="D834" s="21"/>
      <c r="E834" s="136"/>
      <c r="F834" s="136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</row>
    <row r="835">
      <c r="A835" s="21"/>
      <c r="B835" s="21"/>
      <c r="C835" s="21"/>
      <c r="D835" s="21"/>
      <c r="E835" s="136"/>
      <c r="F835" s="136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</row>
    <row r="836">
      <c r="A836" s="21"/>
      <c r="B836" s="21"/>
      <c r="C836" s="21"/>
      <c r="D836" s="21"/>
      <c r="E836" s="136"/>
      <c r="F836" s="136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</row>
    <row r="837">
      <c r="A837" s="21"/>
      <c r="B837" s="21"/>
      <c r="C837" s="21"/>
      <c r="D837" s="21"/>
      <c r="E837" s="136"/>
      <c r="F837" s="136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</row>
    <row r="838">
      <c r="A838" s="21"/>
      <c r="B838" s="21"/>
      <c r="C838" s="21"/>
      <c r="D838" s="21"/>
      <c r="E838" s="136"/>
      <c r="F838" s="136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</row>
    <row r="839">
      <c r="A839" s="21"/>
      <c r="B839" s="21"/>
      <c r="C839" s="21"/>
      <c r="D839" s="21"/>
      <c r="E839" s="136"/>
      <c r="F839" s="136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</row>
    <row r="840">
      <c r="A840" s="21"/>
      <c r="B840" s="21"/>
      <c r="C840" s="21"/>
      <c r="D840" s="21"/>
      <c r="E840" s="136"/>
      <c r="F840" s="136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</row>
    <row r="841">
      <c r="A841" s="21"/>
      <c r="B841" s="21"/>
      <c r="C841" s="21"/>
      <c r="D841" s="21"/>
      <c r="E841" s="136"/>
      <c r="F841" s="136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</row>
    <row r="842">
      <c r="A842" s="21"/>
      <c r="B842" s="21"/>
      <c r="C842" s="21"/>
      <c r="D842" s="21"/>
      <c r="E842" s="136"/>
      <c r="F842" s="136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</row>
    <row r="843">
      <c r="A843" s="21"/>
      <c r="B843" s="21"/>
      <c r="C843" s="21"/>
      <c r="D843" s="21"/>
      <c r="E843" s="136"/>
      <c r="F843" s="136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</row>
    <row r="844">
      <c r="A844" s="21"/>
      <c r="B844" s="21"/>
      <c r="C844" s="21"/>
      <c r="D844" s="21"/>
      <c r="E844" s="136"/>
      <c r="F844" s="136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</row>
    <row r="845">
      <c r="A845" s="21"/>
      <c r="B845" s="21"/>
      <c r="C845" s="21"/>
      <c r="D845" s="21"/>
      <c r="E845" s="136"/>
      <c r="F845" s="136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</row>
    <row r="846">
      <c r="A846" s="21"/>
      <c r="B846" s="21"/>
      <c r="C846" s="21"/>
      <c r="D846" s="21"/>
      <c r="E846" s="136"/>
      <c r="F846" s="136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</row>
    <row r="847">
      <c r="A847" s="21"/>
      <c r="B847" s="21"/>
      <c r="C847" s="21"/>
      <c r="D847" s="21"/>
      <c r="E847" s="136"/>
      <c r="F847" s="136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</row>
    <row r="848">
      <c r="A848" s="21"/>
      <c r="B848" s="21"/>
      <c r="C848" s="21"/>
      <c r="D848" s="21"/>
      <c r="E848" s="136"/>
      <c r="F848" s="136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</row>
    <row r="849">
      <c r="A849" s="21"/>
      <c r="B849" s="21"/>
      <c r="C849" s="21"/>
      <c r="D849" s="21"/>
      <c r="E849" s="136"/>
      <c r="F849" s="136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</row>
    <row r="850">
      <c r="A850" s="21"/>
      <c r="B850" s="21"/>
      <c r="C850" s="21"/>
      <c r="D850" s="21"/>
      <c r="E850" s="136"/>
      <c r="F850" s="136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</row>
    <row r="851">
      <c r="A851" s="21"/>
      <c r="B851" s="21"/>
      <c r="C851" s="21"/>
      <c r="D851" s="21"/>
      <c r="E851" s="136"/>
      <c r="F851" s="136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</row>
    <row r="852">
      <c r="A852" s="21"/>
      <c r="B852" s="21"/>
      <c r="C852" s="21"/>
      <c r="D852" s="21"/>
      <c r="E852" s="136"/>
      <c r="F852" s="136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</row>
    <row r="853">
      <c r="A853" s="21"/>
      <c r="B853" s="21"/>
      <c r="C853" s="21"/>
      <c r="D853" s="21"/>
      <c r="E853" s="136"/>
      <c r="F853" s="136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</row>
    <row r="854">
      <c r="A854" s="21"/>
      <c r="B854" s="21"/>
      <c r="C854" s="21"/>
      <c r="D854" s="21"/>
      <c r="E854" s="136"/>
      <c r="F854" s="136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</row>
    <row r="855">
      <c r="A855" s="21"/>
      <c r="B855" s="21"/>
      <c r="C855" s="21"/>
      <c r="D855" s="21"/>
      <c r="E855" s="136"/>
      <c r="F855" s="136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</row>
    <row r="856">
      <c r="A856" s="21"/>
      <c r="B856" s="21"/>
      <c r="C856" s="21"/>
      <c r="D856" s="21"/>
      <c r="E856" s="136"/>
      <c r="F856" s="136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</row>
    <row r="857">
      <c r="A857" s="21"/>
      <c r="B857" s="21"/>
      <c r="C857" s="21"/>
      <c r="D857" s="21"/>
      <c r="E857" s="136"/>
      <c r="F857" s="136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</row>
    <row r="858">
      <c r="A858" s="21"/>
      <c r="B858" s="21"/>
      <c r="C858" s="21"/>
      <c r="D858" s="21"/>
      <c r="E858" s="136"/>
      <c r="F858" s="136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</row>
    <row r="859">
      <c r="A859" s="21"/>
      <c r="B859" s="21"/>
      <c r="C859" s="21"/>
      <c r="D859" s="21"/>
      <c r="E859" s="136"/>
      <c r="F859" s="136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</row>
    <row r="860">
      <c r="A860" s="21"/>
      <c r="B860" s="21"/>
      <c r="C860" s="21"/>
      <c r="D860" s="21"/>
      <c r="E860" s="136"/>
      <c r="F860" s="136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</row>
    <row r="861">
      <c r="A861" s="21"/>
      <c r="B861" s="21"/>
      <c r="C861" s="21"/>
      <c r="D861" s="21"/>
      <c r="E861" s="136"/>
      <c r="F861" s="136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</row>
    <row r="862">
      <c r="A862" s="21"/>
      <c r="B862" s="21"/>
      <c r="C862" s="21"/>
      <c r="D862" s="21"/>
      <c r="E862" s="136"/>
      <c r="F862" s="136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</row>
    <row r="863">
      <c r="A863" s="21"/>
      <c r="B863" s="21"/>
      <c r="C863" s="21"/>
      <c r="D863" s="21"/>
      <c r="E863" s="136"/>
      <c r="F863" s="136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</row>
    <row r="864">
      <c r="A864" s="21"/>
      <c r="B864" s="21"/>
      <c r="C864" s="21"/>
      <c r="D864" s="21"/>
      <c r="E864" s="136"/>
      <c r="F864" s="136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</row>
    <row r="865">
      <c r="A865" s="21"/>
      <c r="B865" s="21"/>
      <c r="C865" s="21"/>
      <c r="D865" s="21"/>
      <c r="E865" s="136"/>
      <c r="F865" s="136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</row>
    <row r="866">
      <c r="A866" s="21"/>
      <c r="B866" s="21"/>
      <c r="C866" s="21"/>
      <c r="D866" s="21"/>
      <c r="E866" s="136"/>
      <c r="F866" s="136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</row>
    <row r="867">
      <c r="A867" s="21"/>
      <c r="B867" s="21"/>
      <c r="C867" s="21"/>
      <c r="D867" s="21"/>
      <c r="E867" s="136"/>
      <c r="F867" s="136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</row>
    <row r="868">
      <c r="A868" s="21"/>
      <c r="B868" s="21"/>
      <c r="C868" s="21"/>
      <c r="D868" s="21"/>
      <c r="E868" s="136"/>
      <c r="F868" s="136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</row>
    <row r="869">
      <c r="A869" s="21"/>
      <c r="B869" s="21"/>
      <c r="C869" s="21"/>
      <c r="D869" s="21"/>
      <c r="E869" s="136"/>
      <c r="F869" s="136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</row>
    <row r="870">
      <c r="A870" s="21"/>
      <c r="B870" s="21"/>
      <c r="C870" s="21"/>
      <c r="D870" s="21"/>
      <c r="E870" s="136"/>
      <c r="F870" s="136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</row>
    <row r="871">
      <c r="A871" s="21"/>
      <c r="B871" s="21"/>
      <c r="C871" s="21"/>
      <c r="D871" s="21"/>
      <c r="E871" s="136"/>
      <c r="F871" s="136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</row>
    <row r="872">
      <c r="A872" s="21"/>
      <c r="B872" s="21"/>
      <c r="C872" s="21"/>
      <c r="D872" s="21"/>
      <c r="E872" s="136"/>
      <c r="F872" s="136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</row>
    <row r="873">
      <c r="A873" s="21"/>
      <c r="B873" s="21"/>
      <c r="C873" s="21"/>
      <c r="D873" s="21"/>
      <c r="E873" s="136"/>
      <c r="F873" s="136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</row>
    <row r="874">
      <c r="A874" s="21"/>
      <c r="B874" s="21"/>
      <c r="C874" s="21"/>
      <c r="D874" s="21"/>
      <c r="E874" s="136"/>
      <c r="F874" s="136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</row>
    <row r="875">
      <c r="A875" s="21"/>
      <c r="B875" s="21"/>
      <c r="C875" s="21"/>
      <c r="D875" s="21"/>
      <c r="E875" s="136"/>
      <c r="F875" s="136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</row>
    <row r="876">
      <c r="A876" s="21"/>
      <c r="B876" s="21"/>
      <c r="C876" s="21"/>
      <c r="D876" s="21"/>
      <c r="E876" s="136"/>
      <c r="F876" s="136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</row>
    <row r="877">
      <c r="A877" s="21"/>
      <c r="B877" s="21"/>
      <c r="C877" s="21"/>
      <c r="D877" s="21"/>
      <c r="E877" s="136"/>
      <c r="F877" s="136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</row>
    <row r="878">
      <c r="A878" s="21"/>
      <c r="B878" s="21"/>
      <c r="C878" s="21"/>
      <c r="D878" s="21"/>
      <c r="E878" s="136"/>
      <c r="F878" s="136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</row>
    <row r="879">
      <c r="A879" s="21"/>
      <c r="B879" s="21"/>
      <c r="C879" s="21"/>
      <c r="D879" s="21"/>
      <c r="E879" s="136"/>
      <c r="F879" s="136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</row>
    <row r="880">
      <c r="A880" s="21"/>
      <c r="B880" s="21"/>
      <c r="C880" s="21"/>
      <c r="D880" s="21"/>
      <c r="E880" s="136"/>
      <c r="F880" s="136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</row>
    <row r="881">
      <c r="A881" s="21"/>
      <c r="B881" s="21"/>
      <c r="C881" s="21"/>
      <c r="D881" s="21"/>
      <c r="E881" s="136"/>
      <c r="F881" s="136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</row>
    <row r="882">
      <c r="A882" s="21"/>
      <c r="B882" s="21"/>
      <c r="C882" s="21"/>
      <c r="D882" s="21"/>
      <c r="E882" s="136"/>
      <c r="F882" s="136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</row>
    <row r="883">
      <c r="A883" s="21"/>
      <c r="B883" s="21"/>
      <c r="C883" s="21"/>
      <c r="D883" s="21"/>
      <c r="E883" s="136"/>
      <c r="F883" s="136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</row>
    <row r="884">
      <c r="A884" s="21"/>
      <c r="B884" s="21"/>
      <c r="C884" s="21"/>
      <c r="D884" s="21"/>
      <c r="E884" s="136"/>
      <c r="F884" s="136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</row>
    <row r="885">
      <c r="A885" s="21"/>
      <c r="B885" s="21"/>
      <c r="C885" s="21"/>
      <c r="D885" s="21"/>
      <c r="E885" s="136"/>
      <c r="F885" s="136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</row>
    <row r="886">
      <c r="A886" s="21"/>
      <c r="B886" s="21"/>
      <c r="C886" s="21"/>
      <c r="D886" s="21"/>
      <c r="E886" s="136"/>
      <c r="F886" s="136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</row>
    <row r="887">
      <c r="A887" s="21"/>
      <c r="B887" s="21"/>
      <c r="C887" s="21"/>
      <c r="D887" s="21"/>
      <c r="E887" s="136"/>
      <c r="F887" s="136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</row>
    <row r="888">
      <c r="A888" s="21"/>
      <c r="B888" s="21"/>
      <c r="C888" s="21"/>
      <c r="D888" s="21"/>
      <c r="E888" s="136"/>
      <c r="F888" s="136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</row>
    <row r="889">
      <c r="A889" s="21"/>
      <c r="B889" s="21"/>
      <c r="C889" s="21"/>
      <c r="D889" s="21"/>
      <c r="E889" s="136"/>
      <c r="F889" s="136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</row>
    <row r="890">
      <c r="A890" s="21"/>
      <c r="B890" s="21"/>
      <c r="C890" s="21"/>
      <c r="D890" s="21"/>
      <c r="E890" s="136"/>
      <c r="F890" s="136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</row>
    <row r="891">
      <c r="A891" s="21"/>
      <c r="B891" s="21"/>
      <c r="C891" s="21"/>
      <c r="D891" s="21"/>
      <c r="E891" s="136"/>
      <c r="F891" s="136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</row>
    <row r="892">
      <c r="A892" s="21"/>
      <c r="B892" s="21"/>
      <c r="C892" s="21"/>
      <c r="D892" s="21"/>
      <c r="E892" s="136"/>
      <c r="F892" s="136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</row>
    <row r="893">
      <c r="A893" s="21"/>
      <c r="B893" s="21"/>
      <c r="C893" s="21"/>
      <c r="D893" s="21"/>
      <c r="E893" s="136"/>
      <c r="F893" s="136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</row>
    <row r="894">
      <c r="A894" s="21"/>
      <c r="B894" s="21"/>
      <c r="C894" s="21"/>
      <c r="D894" s="21"/>
      <c r="E894" s="136"/>
      <c r="F894" s="136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</row>
    <row r="895">
      <c r="A895" s="21"/>
      <c r="B895" s="21"/>
      <c r="C895" s="21"/>
      <c r="D895" s="21"/>
      <c r="E895" s="136"/>
      <c r="F895" s="136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</row>
    <row r="896">
      <c r="A896" s="21"/>
      <c r="B896" s="21"/>
      <c r="C896" s="21"/>
      <c r="D896" s="21"/>
      <c r="E896" s="136"/>
      <c r="F896" s="136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</row>
    <row r="897">
      <c r="A897" s="21"/>
      <c r="B897" s="21"/>
      <c r="C897" s="21"/>
      <c r="D897" s="21"/>
      <c r="E897" s="136"/>
      <c r="F897" s="136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</row>
    <row r="898">
      <c r="A898" s="21"/>
      <c r="B898" s="21"/>
      <c r="C898" s="21"/>
      <c r="D898" s="21"/>
      <c r="E898" s="136"/>
      <c r="F898" s="136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</row>
    <row r="899">
      <c r="A899" s="21"/>
      <c r="B899" s="21"/>
      <c r="C899" s="21"/>
      <c r="D899" s="21"/>
      <c r="E899" s="136"/>
      <c r="F899" s="136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</row>
    <row r="900">
      <c r="A900" s="21"/>
      <c r="B900" s="21"/>
      <c r="C900" s="21"/>
      <c r="D900" s="21"/>
      <c r="E900" s="136"/>
      <c r="F900" s="136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</row>
    <row r="901">
      <c r="A901" s="21"/>
      <c r="B901" s="21"/>
      <c r="C901" s="21"/>
      <c r="D901" s="21"/>
      <c r="E901" s="136"/>
      <c r="F901" s="136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</row>
    <row r="902">
      <c r="A902" s="21"/>
      <c r="B902" s="21"/>
      <c r="C902" s="21"/>
      <c r="D902" s="21"/>
      <c r="E902" s="136"/>
      <c r="F902" s="136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</row>
    <row r="903">
      <c r="A903" s="21"/>
      <c r="B903" s="21"/>
      <c r="C903" s="21"/>
      <c r="D903" s="21"/>
      <c r="E903" s="136"/>
      <c r="F903" s="136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</row>
    <row r="904">
      <c r="A904" s="21"/>
      <c r="B904" s="21"/>
      <c r="C904" s="21"/>
      <c r="D904" s="21"/>
      <c r="E904" s="136"/>
      <c r="F904" s="136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</row>
    <row r="905">
      <c r="A905" s="21"/>
      <c r="B905" s="21"/>
      <c r="C905" s="21"/>
      <c r="D905" s="21"/>
      <c r="E905" s="136"/>
      <c r="F905" s="136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</row>
    <row r="906">
      <c r="A906" s="21"/>
      <c r="B906" s="21"/>
      <c r="C906" s="21"/>
      <c r="D906" s="21"/>
      <c r="E906" s="136"/>
      <c r="F906" s="136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</row>
    <row r="907">
      <c r="A907" s="21"/>
      <c r="B907" s="21"/>
      <c r="C907" s="21"/>
      <c r="D907" s="21"/>
      <c r="E907" s="136"/>
      <c r="F907" s="136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</row>
    <row r="908">
      <c r="A908" s="21"/>
      <c r="B908" s="21"/>
      <c r="C908" s="21"/>
      <c r="D908" s="21"/>
      <c r="E908" s="136"/>
      <c r="F908" s="136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</row>
    <row r="909">
      <c r="A909" s="21"/>
      <c r="B909" s="21"/>
      <c r="C909" s="21"/>
      <c r="D909" s="21"/>
      <c r="E909" s="136"/>
      <c r="F909" s="136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</row>
    <row r="910">
      <c r="A910" s="21"/>
      <c r="B910" s="21"/>
      <c r="C910" s="21"/>
      <c r="D910" s="21"/>
      <c r="E910" s="136"/>
      <c r="F910" s="136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</row>
    <row r="911">
      <c r="A911" s="21"/>
      <c r="B911" s="21"/>
      <c r="C911" s="21"/>
      <c r="D911" s="21"/>
      <c r="E911" s="136"/>
      <c r="F911" s="136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</row>
    <row r="912">
      <c r="A912" s="21"/>
      <c r="B912" s="21"/>
      <c r="C912" s="21"/>
      <c r="D912" s="21"/>
      <c r="E912" s="136"/>
      <c r="F912" s="136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</row>
    <row r="913">
      <c r="A913" s="21"/>
      <c r="B913" s="21"/>
      <c r="C913" s="21"/>
      <c r="D913" s="21"/>
      <c r="E913" s="136"/>
      <c r="F913" s="136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</row>
    <row r="914">
      <c r="A914" s="21"/>
      <c r="B914" s="21"/>
      <c r="C914" s="21"/>
      <c r="D914" s="21"/>
      <c r="E914" s="136"/>
      <c r="F914" s="136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</row>
    <row r="915">
      <c r="A915" s="21"/>
      <c r="B915" s="21"/>
      <c r="C915" s="21"/>
      <c r="D915" s="21"/>
      <c r="E915" s="136"/>
      <c r="F915" s="136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</row>
    <row r="916">
      <c r="A916" s="21"/>
      <c r="B916" s="21"/>
      <c r="C916" s="21"/>
      <c r="D916" s="21"/>
      <c r="E916" s="136"/>
      <c r="F916" s="136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</row>
    <row r="917">
      <c r="A917" s="21"/>
      <c r="B917" s="21"/>
      <c r="C917" s="21"/>
      <c r="D917" s="21"/>
      <c r="E917" s="136"/>
      <c r="F917" s="136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</row>
    <row r="918">
      <c r="A918" s="21"/>
      <c r="B918" s="21"/>
      <c r="C918" s="21"/>
      <c r="D918" s="21"/>
      <c r="E918" s="136"/>
      <c r="F918" s="136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</row>
    <row r="919">
      <c r="A919" s="21"/>
      <c r="B919" s="21"/>
      <c r="C919" s="21"/>
      <c r="D919" s="21"/>
      <c r="E919" s="136"/>
      <c r="F919" s="136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</row>
    <row r="920">
      <c r="A920" s="21"/>
      <c r="B920" s="21"/>
      <c r="C920" s="21"/>
      <c r="D920" s="21"/>
      <c r="E920" s="136"/>
      <c r="F920" s="136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</row>
    <row r="921">
      <c r="A921" s="21"/>
      <c r="B921" s="21"/>
      <c r="C921" s="21"/>
      <c r="D921" s="21"/>
      <c r="E921" s="136"/>
      <c r="F921" s="136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</row>
    <row r="922">
      <c r="A922" s="21"/>
      <c r="B922" s="21"/>
      <c r="C922" s="21"/>
      <c r="D922" s="21"/>
      <c r="E922" s="136"/>
      <c r="F922" s="136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</row>
    <row r="923">
      <c r="A923" s="21"/>
      <c r="B923" s="21"/>
      <c r="C923" s="21"/>
      <c r="D923" s="21"/>
      <c r="E923" s="136"/>
      <c r="F923" s="136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</row>
    <row r="924">
      <c r="A924" s="21"/>
      <c r="B924" s="21"/>
      <c r="C924" s="21"/>
      <c r="D924" s="21"/>
      <c r="E924" s="136"/>
      <c r="F924" s="136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</row>
    <row r="925">
      <c r="A925" s="21"/>
      <c r="B925" s="21"/>
      <c r="C925" s="21"/>
      <c r="D925" s="21"/>
      <c r="E925" s="136"/>
      <c r="F925" s="136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</row>
    <row r="926">
      <c r="A926" s="21"/>
      <c r="B926" s="21"/>
      <c r="C926" s="21"/>
      <c r="D926" s="21"/>
      <c r="E926" s="136"/>
      <c r="F926" s="136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</row>
    <row r="927">
      <c r="A927" s="21"/>
      <c r="B927" s="21"/>
      <c r="C927" s="21"/>
      <c r="D927" s="21"/>
      <c r="E927" s="136"/>
      <c r="F927" s="136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</row>
    <row r="928">
      <c r="A928" s="21"/>
      <c r="B928" s="21"/>
      <c r="C928" s="21"/>
      <c r="D928" s="21"/>
      <c r="E928" s="136"/>
      <c r="F928" s="136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</row>
    <row r="929">
      <c r="A929" s="21"/>
      <c r="B929" s="21"/>
      <c r="C929" s="21"/>
      <c r="D929" s="21"/>
      <c r="E929" s="136"/>
      <c r="F929" s="136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</row>
    <row r="930">
      <c r="A930" s="21"/>
      <c r="B930" s="21"/>
      <c r="C930" s="21"/>
      <c r="D930" s="21"/>
      <c r="E930" s="136"/>
      <c r="F930" s="136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</row>
    <row r="931">
      <c r="A931" s="21"/>
      <c r="B931" s="21"/>
      <c r="C931" s="21"/>
      <c r="D931" s="21"/>
      <c r="E931" s="136"/>
      <c r="F931" s="136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</row>
    <row r="932">
      <c r="A932" s="21"/>
      <c r="B932" s="21"/>
      <c r="C932" s="21"/>
      <c r="D932" s="21"/>
      <c r="E932" s="136"/>
      <c r="F932" s="136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</row>
    <row r="933">
      <c r="A933" s="21"/>
      <c r="B933" s="21"/>
      <c r="C933" s="21"/>
      <c r="D933" s="21"/>
      <c r="E933" s="136"/>
      <c r="F933" s="136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</row>
    <row r="934">
      <c r="A934" s="21"/>
      <c r="B934" s="21"/>
      <c r="C934" s="21"/>
      <c r="D934" s="21"/>
      <c r="E934" s="136"/>
      <c r="F934" s="136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</row>
    <row r="935">
      <c r="A935" s="21"/>
      <c r="B935" s="21"/>
      <c r="C935" s="21"/>
      <c r="D935" s="21"/>
      <c r="E935" s="136"/>
      <c r="F935" s="136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</row>
    <row r="936">
      <c r="A936" s="21"/>
      <c r="B936" s="21"/>
      <c r="C936" s="21"/>
      <c r="D936" s="21"/>
      <c r="E936" s="136"/>
      <c r="F936" s="136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</row>
    <row r="937">
      <c r="A937" s="21"/>
      <c r="B937" s="21"/>
      <c r="C937" s="21"/>
      <c r="D937" s="21"/>
      <c r="E937" s="136"/>
      <c r="F937" s="136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</row>
    <row r="938">
      <c r="A938" s="21"/>
      <c r="B938" s="21"/>
      <c r="C938" s="21"/>
      <c r="D938" s="21"/>
      <c r="E938" s="136"/>
      <c r="F938" s="136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</row>
    <row r="939">
      <c r="A939" s="21"/>
      <c r="B939" s="21"/>
      <c r="C939" s="21"/>
      <c r="D939" s="21"/>
      <c r="E939" s="136"/>
      <c r="F939" s="136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</row>
    <row r="940">
      <c r="A940" s="21"/>
      <c r="B940" s="21"/>
      <c r="C940" s="21"/>
      <c r="D940" s="21"/>
      <c r="E940" s="136"/>
      <c r="F940" s="136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</row>
    <row r="941">
      <c r="A941" s="21"/>
      <c r="B941" s="21"/>
      <c r="C941" s="21"/>
      <c r="D941" s="21"/>
      <c r="E941" s="136"/>
      <c r="F941" s="136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</row>
    <row r="942">
      <c r="A942" s="21"/>
      <c r="B942" s="21"/>
      <c r="C942" s="21"/>
      <c r="D942" s="21"/>
      <c r="E942" s="136"/>
      <c r="F942" s="136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</row>
    <row r="943">
      <c r="A943" s="21"/>
      <c r="B943" s="21"/>
      <c r="C943" s="21"/>
      <c r="D943" s="21"/>
      <c r="E943" s="136"/>
      <c r="F943" s="136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</row>
    <row r="944">
      <c r="A944" s="21"/>
      <c r="B944" s="21"/>
      <c r="C944" s="21"/>
      <c r="D944" s="21"/>
      <c r="E944" s="136"/>
      <c r="F944" s="136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</row>
    <row r="945">
      <c r="A945" s="21"/>
      <c r="B945" s="21"/>
      <c r="C945" s="21"/>
      <c r="D945" s="21"/>
      <c r="E945" s="136"/>
      <c r="F945" s="136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</row>
    <row r="946">
      <c r="A946" s="21"/>
      <c r="B946" s="21"/>
      <c r="C946" s="21"/>
      <c r="D946" s="21"/>
      <c r="E946" s="136"/>
      <c r="F946" s="136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</row>
    <row r="947">
      <c r="A947" s="21"/>
      <c r="B947" s="21"/>
      <c r="C947" s="21"/>
      <c r="D947" s="21"/>
      <c r="E947" s="136"/>
      <c r="F947" s="136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</row>
    <row r="948">
      <c r="A948" s="21"/>
      <c r="B948" s="21"/>
      <c r="C948" s="21"/>
      <c r="D948" s="21"/>
      <c r="E948" s="136"/>
      <c r="F948" s="136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</row>
    <row r="949">
      <c r="A949" s="21"/>
      <c r="B949" s="21"/>
      <c r="C949" s="21"/>
      <c r="D949" s="21"/>
      <c r="E949" s="136"/>
      <c r="F949" s="136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</row>
    <row r="950">
      <c r="A950" s="21"/>
      <c r="B950" s="21"/>
      <c r="C950" s="21"/>
      <c r="D950" s="21"/>
      <c r="E950" s="136"/>
      <c r="F950" s="136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</row>
    <row r="951">
      <c r="A951" s="21"/>
      <c r="B951" s="21"/>
      <c r="C951" s="21"/>
      <c r="D951" s="21"/>
      <c r="E951" s="136"/>
      <c r="F951" s="136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</row>
    <row r="952">
      <c r="A952" s="21"/>
      <c r="B952" s="21"/>
      <c r="C952" s="21"/>
      <c r="D952" s="21"/>
      <c r="E952" s="136"/>
      <c r="F952" s="136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</row>
    <row r="953">
      <c r="A953" s="21"/>
      <c r="B953" s="21"/>
      <c r="C953" s="21"/>
      <c r="D953" s="21"/>
      <c r="E953" s="136"/>
      <c r="F953" s="136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</row>
    <row r="954">
      <c r="A954" s="21"/>
      <c r="B954" s="21"/>
      <c r="C954" s="21"/>
      <c r="D954" s="21"/>
      <c r="E954" s="136"/>
      <c r="F954" s="136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</row>
    <row r="955">
      <c r="A955" s="21"/>
      <c r="B955" s="21"/>
      <c r="C955" s="21"/>
      <c r="D955" s="21"/>
      <c r="E955" s="136"/>
      <c r="F955" s="136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</row>
    <row r="956">
      <c r="A956" s="21"/>
      <c r="B956" s="21"/>
      <c r="C956" s="21"/>
      <c r="D956" s="21"/>
      <c r="E956" s="136"/>
      <c r="F956" s="136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</row>
    <row r="957">
      <c r="A957" s="21"/>
      <c r="B957" s="21"/>
      <c r="C957" s="21"/>
      <c r="D957" s="21"/>
      <c r="E957" s="136"/>
      <c r="F957" s="136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</row>
    <row r="958">
      <c r="A958" s="21"/>
      <c r="B958" s="21"/>
      <c r="C958" s="21"/>
      <c r="D958" s="21"/>
      <c r="E958" s="136"/>
      <c r="F958" s="136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</row>
    <row r="959">
      <c r="A959" s="21"/>
      <c r="B959" s="21"/>
      <c r="C959" s="21"/>
      <c r="D959" s="21"/>
      <c r="E959" s="136"/>
      <c r="F959" s="136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</row>
    <row r="960">
      <c r="A960" s="21"/>
      <c r="B960" s="21"/>
      <c r="C960" s="21"/>
      <c r="D960" s="21"/>
      <c r="E960" s="136"/>
      <c r="F960" s="136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</row>
    <row r="961">
      <c r="A961" s="21"/>
      <c r="B961" s="21"/>
      <c r="C961" s="21"/>
      <c r="D961" s="21"/>
      <c r="E961" s="136"/>
      <c r="F961" s="136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</row>
    <row r="962">
      <c r="A962" s="21"/>
      <c r="B962" s="21"/>
      <c r="C962" s="21"/>
      <c r="D962" s="21"/>
      <c r="E962" s="136"/>
      <c r="F962" s="136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</row>
    <row r="963">
      <c r="A963" s="21"/>
      <c r="B963" s="21"/>
      <c r="C963" s="21"/>
      <c r="D963" s="21"/>
      <c r="E963" s="136"/>
      <c r="F963" s="136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</row>
    <row r="964">
      <c r="A964" s="21"/>
      <c r="B964" s="21"/>
      <c r="C964" s="21"/>
      <c r="D964" s="21"/>
      <c r="E964" s="136"/>
      <c r="F964" s="136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</row>
    <row r="965">
      <c r="A965" s="21"/>
      <c r="B965" s="21"/>
      <c r="C965" s="21"/>
      <c r="D965" s="21"/>
      <c r="E965" s="136"/>
      <c r="F965" s="136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</row>
    <row r="966">
      <c r="A966" s="21"/>
      <c r="B966" s="21"/>
      <c r="C966" s="21"/>
      <c r="D966" s="21"/>
      <c r="E966" s="136"/>
      <c r="F966" s="136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</row>
    <row r="967">
      <c r="A967" s="21"/>
      <c r="B967" s="21"/>
      <c r="C967" s="21"/>
      <c r="D967" s="21"/>
      <c r="E967" s="136"/>
      <c r="F967" s="136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</row>
    <row r="968">
      <c r="A968" s="21"/>
      <c r="B968" s="21"/>
      <c r="C968" s="21"/>
      <c r="D968" s="21"/>
      <c r="E968" s="136"/>
      <c r="F968" s="136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</row>
    <row r="969">
      <c r="A969" s="21"/>
      <c r="B969" s="21"/>
      <c r="C969" s="21"/>
      <c r="D969" s="21"/>
      <c r="E969" s="136"/>
      <c r="F969" s="136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</row>
    <row r="970">
      <c r="A970" s="21"/>
      <c r="B970" s="21"/>
      <c r="C970" s="21"/>
      <c r="D970" s="21"/>
      <c r="E970" s="136"/>
      <c r="F970" s="136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</row>
    <row r="971">
      <c r="A971" s="21"/>
      <c r="B971" s="21"/>
      <c r="C971" s="21"/>
      <c r="D971" s="21"/>
      <c r="E971" s="136"/>
      <c r="F971" s="136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</row>
    <row r="972">
      <c r="A972" s="21"/>
      <c r="B972" s="21"/>
      <c r="C972" s="21"/>
      <c r="D972" s="21"/>
      <c r="E972" s="136"/>
      <c r="F972" s="136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</row>
    <row r="973">
      <c r="A973" s="21"/>
      <c r="B973" s="21"/>
      <c r="C973" s="21"/>
      <c r="D973" s="21"/>
      <c r="E973" s="136"/>
      <c r="F973" s="136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</row>
    <row r="974">
      <c r="A974" s="21"/>
      <c r="B974" s="21"/>
      <c r="C974" s="21"/>
      <c r="D974" s="21"/>
      <c r="E974" s="136"/>
      <c r="F974" s="136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</row>
    <row r="975">
      <c r="A975" s="21"/>
      <c r="B975" s="21"/>
      <c r="C975" s="21"/>
      <c r="D975" s="21"/>
      <c r="E975" s="136"/>
      <c r="F975" s="136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</row>
    <row r="976">
      <c r="A976" s="21"/>
      <c r="B976" s="21"/>
      <c r="C976" s="21"/>
      <c r="D976" s="21"/>
      <c r="E976" s="136"/>
      <c r="F976" s="136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</row>
    <row r="977">
      <c r="A977" s="21"/>
      <c r="B977" s="21"/>
      <c r="C977" s="21"/>
      <c r="D977" s="21"/>
      <c r="E977" s="136"/>
      <c r="F977" s="136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</row>
    <row r="978">
      <c r="A978" s="21"/>
      <c r="B978" s="21"/>
      <c r="C978" s="21"/>
      <c r="D978" s="21"/>
      <c r="E978" s="136"/>
      <c r="F978" s="136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</row>
    <row r="979">
      <c r="A979" s="21"/>
      <c r="B979" s="21"/>
      <c r="C979" s="21"/>
      <c r="D979" s="21"/>
      <c r="E979" s="136"/>
      <c r="F979" s="136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</row>
    <row r="980">
      <c r="A980" s="21"/>
      <c r="B980" s="21"/>
      <c r="C980" s="21"/>
      <c r="D980" s="21"/>
      <c r="E980" s="136"/>
      <c r="F980" s="136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</row>
    <row r="981">
      <c r="A981" s="21"/>
      <c r="B981" s="21"/>
      <c r="C981" s="21"/>
      <c r="D981" s="21"/>
      <c r="E981" s="136"/>
      <c r="F981" s="136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</row>
    <row r="982">
      <c r="A982" s="21"/>
      <c r="B982" s="21"/>
      <c r="C982" s="21"/>
      <c r="D982" s="21"/>
      <c r="E982" s="136"/>
      <c r="F982" s="136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</row>
    <row r="983">
      <c r="A983" s="21"/>
      <c r="B983" s="21"/>
      <c r="C983" s="21"/>
      <c r="D983" s="21"/>
      <c r="E983" s="136"/>
      <c r="F983" s="136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</row>
    <row r="984">
      <c r="A984" s="21"/>
      <c r="B984" s="21"/>
      <c r="C984" s="21"/>
      <c r="D984" s="21"/>
      <c r="E984" s="136"/>
      <c r="F984" s="136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</row>
    <row r="985">
      <c r="A985" s="21"/>
      <c r="B985" s="21"/>
      <c r="C985" s="21"/>
      <c r="D985" s="21"/>
      <c r="E985" s="136"/>
      <c r="F985" s="136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</row>
    <row r="986">
      <c r="A986" s="21"/>
      <c r="B986" s="21"/>
      <c r="C986" s="21"/>
      <c r="D986" s="21"/>
      <c r="E986" s="136"/>
      <c r="F986" s="136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</row>
    <row r="987">
      <c r="A987" s="21"/>
      <c r="B987" s="21"/>
      <c r="C987" s="21"/>
      <c r="D987" s="21"/>
      <c r="E987" s="136"/>
      <c r="F987" s="136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</row>
    <row r="988">
      <c r="A988" s="21"/>
      <c r="B988" s="21"/>
      <c r="C988" s="21"/>
      <c r="D988" s="21"/>
      <c r="E988" s="136"/>
      <c r="F988" s="136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</row>
    <row r="989">
      <c r="A989" s="21"/>
      <c r="B989" s="21"/>
      <c r="C989" s="21"/>
      <c r="D989" s="21"/>
      <c r="E989" s="136"/>
      <c r="F989" s="136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</row>
    <row r="990">
      <c r="A990" s="21"/>
      <c r="B990" s="21"/>
      <c r="C990" s="21"/>
      <c r="D990" s="21"/>
      <c r="E990" s="136"/>
      <c r="F990" s="136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</row>
    <row r="991">
      <c r="A991" s="21"/>
      <c r="B991" s="21"/>
      <c r="C991" s="21"/>
      <c r="D991" s="21"/>
      <c r="E991" s="136"/>
      <c r="F991" s="136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</row>
    <row r="992">
      <c r="A992" s="21"/>
      <c r="B992" s="21"/>
      <c r="C992" s="21"/>
      <c r="D992" s="21"/>
      <c r="E992" s="136"/>
      <c r="F992" s="136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</row>
    <row r="993">
      <c r="A993" s="21"/>
      <c r="B993" s="21"/>
      <c r="C993" s="21"/>
      <c r="D993" s="21"/>
      <c r="E993" s="136"/>
      <c r="F993" s="136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</row>
    <row r="994">
      <c r="A994" s="21"/>
      <c r="B994" s="21"/>
      <c r="C994" s="21"/>
      <c r="D994" s="21"/>
      <c r="E994" s="136"/>
      <c r="F994" s="136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</row>
    <row r="995">
      <c r="A995" s="21"/>
      <c r="B995" s="21"/>
      <c r="C995" s="21"/>
      <c r="D995" s="21"/>
      <c r="E995" s="136"/>
      <c r="F995" s="136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</row>
    <row r="996">
      <c r="A996" s="21"/>
      <c r="B996" s="21"/>
      <c r="C996" s="21"/>
      <c r="D996" s="21"/>
      <c r="E996" s="136"/>
      <c r="F996" s="136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</row>
    <row r="997">
      <c r="A997" s="21"/>
      <c r="B997" s="21"/>
      <c r="C997" s="21"/>
      <c r="D997" s="21"/>
      <c r="E997" s="136"/>
      <c r="F997" s="136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</row>
    <row r="998">
      <c r="A998" s="21"/>
      <c r="B998" s="21"/>
      <c r="C998" s="21"/>
      <c r="D998" s="21"/>
      <c r="E998" s="136"/>
      <c r="F998" s="136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</row>
    <row r="999">
      <c r="A999" s="21"/>
      <c r="B999" s="21"/>
      <c r="C999" s="21"/>
      <c r="D999" s="21"/>
      <c r="E999" s="136"/>
      <c r="F999" s="136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</row>
    <row r="1000">
      <c r="A1000" s="21"/>
      <c r="B1000" s="21"/>
      <c r="C1000" s="21"/>
      <c r="D1000" s="21"/>
      <c r="E1000" s="136"/>
      <c r="F1000" s="136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</row>
    <row r="1001">
      <c r="A1001" s="21"/>
      <c r="B1001" s="21"/>
      <c r="C1001" s="21"/>
      <c r="D1001" s="21"/>
      <c r="E1001" s="136"/>
      <c r="F1001" s="136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</row>
    <row r="1002">
      <c r="A1002" s="21"/>
      <c r="B1002" s="21"/>
      <c r="C1002" s="21"/>
      <c r="D1002" s="21"/>
      <c r="E1002" s="136"/>
      <c r="F1002" s="136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</row>
    <row r="1003">
      <c r="A1003" s="21"/>
      <c r="B1003" s="21"/>
      <c r="C1003" s="21"/>
      <c r="D1003" s="21"/>
      <c r="E1003" s="136"/>
      <c r="F1003" s="136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</row>
  </sheetData>
  <mergeCells count="5">
    <mergeCell ref="A1:B1"/>
    <mergeCell ref="E1:I1"/>
    <mergeCell ref="K1:L1"/>
    <mergeCell ref="M1:N1"/>
    <mergeCell ref="K14:L14"/>
  </mergeCells>
  <dataValidations>
    <dataValidation type="list" allowBlank="1" showErrorMessage="1" sqref="A1">
      <formula1>"Jan,Feb,Mar,Apr,May,Jun,Jul,Aug,Sep,Oct,Nov,Dec"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88"/>
    <col customWidth="1" min="2" max="2" width="15.0"/>
    <col customWidth="1" min="3" max="3" width="13.63"/>
    <col customWidth="1" min="4" max="4" width="10.88"/>
    <col customWidth="1" min="5" max="5" width="21.5"/>
    <col customWidth="1" min="7" max="7" width="9.0"/>
    <col customWidth="1" min="8" max="8" width="8.5"/>
    <col customWidth="1" min="9" max="9" width="10.5"/>
    <col customWidth="1" min="10" max="10" width="2.13"/>
    <col customWidth="1" min="11" max="11" width="16.25"/>
    <col customWidth="1" min="12" max="12" width="9.63"/>
    <col customWidth="1" min="13" max="13" width="11.75"/>
    <col customWidth="1" min="14" max="14" width="10.63"/>
    <col customWidth="1" min="15" max="15" width="4.63"/>
    <col customWidth="1" min="16" max="16" width="13.63"/>
    <col customWidth="1" min="18" max="18" width="14.75"/>
    <col customWidth="1" min="19" max="19" width="14.88"/>
  </cols>
  <sheetData>
    <row r="1">
      <c r="A1" s="4" t="s">
        <v>70</v>
      </c>
      <c r="C1" s="7"/>
      <c r="D1" s="9"/>
      <c r="E1" s="13" t="s">
        <v>5</v>
      </c>
      <c r="F1" s="16"/>
      <c r="G1" s="16"/>
      <c r="H1" s="16"/>
      <c r="I1" s="19"/>
      <c r="J1" s="21"/>
      <c r="K1" s="22" t="s">
        <v>9</v>
      </c>
      <c r="M1" s="22" t="s">
        <v>10</v>
      </c>
      <c r="O1" s="7"/>
      <c r="P1" s="7" t="s">
        <v>11</v>
      </c>
      <c r="Q1" s="7" t="s">
        <v>12</v>
      </c>
      <c r="R1" s="7" t="s">
        <v>13</v>
      </c>
      <c r="S1" s="7" t="s">
        <v>14</v>
      </c>
      <c r="T1" s="7">
        <v>194.81</v>
      </c>
      <c r="U1" s="7">
        <v>21.8</v>
      </c>
      <c r="V1" s="21"/>
    </row>
    <row r="2">
      <c r="A2" s="4" t="s">
        <v>0</v>
      </c>
      <c r="B2" s="4" t="s">
        <v>17</v>
      </c>
      <c r="C2" s="4" t="s">
        <v>18</v>
      </c>
      <c r="D2" s="7"/>
      <c r="E2" s="26" t="s">
        <v>20</v>
      </c>
      <c r="F2" s="28" t="s">
        <v>22</v>
      </c>
      <c r="G2" s="30" t="s">
        <v>23</v>
      </c>
      <c r="H2" s="7" t="s">
        <v>24</v>
      </c>
      <c r="I2" s="31" t="s">
        <v>25</v>
      </c>
      <c r="J2" s="21"/>
      <c r="K2" s="28" t="s">
        <v>20</v>
      </c>
      <c r="L2" s="28" t="s">
        <v>27</v>
      </c>
      <c r="M2" s="7" t="s">
        <v>28</v>
      </c>
      <c r="N2" s="7">
        <v>14.99</v>
      </c>
      <c r="O2" s="4"/>
      <c r="P2" s="33">
        <v>1.2</v>
      </c>
      <c r="Q2" s="33">
        <v>1.79</v>
      </c>
      <c r="R2" s="7">
        <v>21.73</v>
      </c>
      <c r="S2" s="7">
        <v>124.82</v>
      </c>
      <c r="T2" s="7">
        <v>130.0</v>
      </c>
      <c r="U2" s="7">
        <v>359.2</v>
      </c>
      <c r="V2" s="21"/>
    </row>
    <row r="3">
      <c r="A3" s="4">
        <v>2025.0</v>
      </c>
      <c r="B3" s="7">
        <f>-2047.08-52.7</f>
        <v>-2099.78</v>
      </c>
      <c r="C3" s="7"/>
      <c r="D3" s="7"/>
      <c r="E3" s="26" t="s">
        <v>30</v>
      </c>
      <c r="F3" s="39">
        <f t="shared" ref="F3:F24" si="1">G3+I3+H3</f>
        <v>550.93</v>
      </c>
      <c r="G3" s="30"/>
      <c r="H3" s="7"/>
      <c r="I3" s="31">
        <v>550.93</v>
      </c>
      <c r="J3" s="4"/>
      <c r="K3" s="28" t="s">
        <v>31</v>
      </c>
      <c r="L3" s="30">
        <v>30.3</v>
      </c>
      <c r="M3" s="7" t="s">
        <v>33</v>
      </c>
      <c r="N3" s="21">
        <f>IF($A$1="Sep",49.99,0)</f>
        <v>0</v>
      </c>
      <c r="O3" s="21"/>
      <c r="P3" s="33">
        <v>14.85</v>
      </c>
      <c r="Q3" s="33">
        <v>59.9</v>
      </c>
      <c r="R3" s="7">
        <v>30.3</v>
      </c>
      <c r="S3" s="7">
        <v>246.04</v>
      </c>
      <c r="T3" s="7">
        <v>40.0</v>
      </c>
      <c r="U3" s="7">
        <v>1.69</v>
      </c>
      <c r="V3" s="21"/>
    </row>
    <row r="4">
      <c r="A4" s="7" t="s">
        <v>34</v>
      </c>
      <c r="B4" s="7">
        <v>-133.47</v>
      </c>
      <c r="C4" s="21">
        <f>1360.14+50+19.99+202.5</f>
        <v>1632.63</v>
      </c>
      <c r="D4" s="21"/>
      <c r="E4" s="26" t="s">
        <v>38</v>
      </c>
      <c r="F4" s="39">
        <f t="shared" si="1"/>
        <v>0</v>
      </c>
      <c r="G4" s="30"/>
      <c r="H4" s="30"/>
      <c r="I4" s="31">
        <f>IF(OR($A$1="Jul",$A$1="Aug",$A$1="Sep"),0,IF($A$1="Oct",242,121))</f>
        <v>0</v>
      </c>
      <c r="J4" s="7"/>
      <c r="K4" s="5" t="s">
        <v>40</v>
      </c>
      <c r="L4" s="30">
        <v>246.04</v>
      </c>
      <c r="M4" s="7" t="s">
        <v>41</v>
      </c>
      <c r="N4" s="7">
        <v>10.99</v>
      </c>
      <c r="O4" s="21"/>
      <c r="P4" s="33">
        <v>28.8</v>
      </c>
      <c r="Q4" s="33">
        <v>238.4</v>
      </c>
      <c r="R4" s="7"/>
      <c r="S4" s="7"/>
      <c r="T4" s="7">
        <v>4.65</v>
      </c>
      <c r="U4" s="7">
        <v>40.0</v>
      </c>
      <c r="V4" s="21"/>
    </row>
    <row r="5">
      <c r="A5" s="7" t="s">
        <v>42</v>
      </c>
      <c r="B5" s="7">
        <v>280.2</v>
      </c>
      <c r="C5" s="7"/>
      <c r="D5" s="21"/>
      <c r="E5" s="26" t="s">
        <v>43</v>
      </c>
      <c r="F5" s="39">
        <f t="shared" si="1"/>
        <v>74.22</v>
      </c>
      <c r="G5" s="30"/>
      <c r="H5" s="7"/>
      <c r="I5" s="31">
        <v>74.22</v>
      </c>
      <c r="J5" s="4"/>
      <c r="K5" s="22" t="s">
        <v>44</v>
      </c>
      <c r="L5" s="39">
        <v>124.82</v>
      </c>
      <c r="M5" s="7" t="s">
        <v>46</v>
      </c>
      <c r="N5" s="7">
        <v>7.99</v>
      </c>
      <c r="O5" s="21"/>
      <c r="P5" s="33">
        <v>37.6</v>
      </c>
      <c r="Q5" s="33">
        <v>74.22</v>
      </c>
      <c r="R5" s="7"/>
      <c r="S5" s="7"/>
      <c r="T5" s="7">
        <v>72.12</v>
      </c>
      <c r="U5" s="7"/>
      <c r="V5" s="21"/>
    </row>
    <row r="6">
      <c r="A6" s="4" t="s">
        <v>47</v>
      </c>
      <c r="B6" s="7">
        <v>-573.43</v>
      </c>
      <c r="C6" s="7">
        <v>100.0</v>
      </c>
      <c r="D6" s="21"/>
      <c r="E6" s="26" t="s">
        <v>48</v>
      </c>
      <c r="F6" s="39">
        <f t="shared" si="1"/>
        <v>0</v>
      </c>
      <c r="G6" s="30">
        <f>IF(OR($A$1="May",$A$1="Jun",$A$1="Jul",$A$1="Aug"),0,42.5)</f>
        <v>0</v>
      </c>
      <c r="H6" s="7"/>
      <c r="I6" s="31">
        <v>0.0</v>
      </c>
      <c r="J6" s="7"/>
      <c r="K6" s="22" t="s">
        <v>49</v>
      </c>
      <c r="L6" s="39">
        <f>238.4</f>
        <v>238.4</v>
      </c>
      <c r="M6" s="7" t="s">
        <v>50</v>
      </c>
      <c r="N6" s="7">
        <v>16.99</v>
      </c>
      <c r="O6" s="21"/>
      <c r="P6" s="33">
        <v>62.55</v>
      </c>
      <c r="Q6" s="33">
        <v>16.99</v>
      </c>
      <c r="R6" s="7"/>
      <c r="S6" s="21"/>
      <c r="T6" s="7">
        <v>25.19</v>
      </c>
      <c r="U6" s="7"/>
      <c r="V6" s="21"/>
    </row>
    <row r="7">
      <c r="A7" s="7" t="s">
        <v>51</v>
      </c>
      <c r="B7" s="7">
        <v>-779.65</v>
      </c>
      <c r="C7" s="7">
        <f>50+724.6</f>
        <v>774.6</v>
      </c>
      <c r="D7" s="21"/>
      <c r="E7" s="26" t="s">
        <v>52</v>
      </c>
      <c r="F7" s="39">
        <f t="shared" si="1"/>
        <v>0</v>
      </c>
      <c r="G7" s="30">
        <f>IF(OR($A$1="Jul",$A$1="Aug"),0,30)</f>
        <v>0</v>
      </c>
      <c r="H7" s="7"/>
      <c r="I7" s="31">
        <v>0.0</v>
      </c>
      <c r="J7" s="7"/>
      <c r="K7" s="28" t="s">
        <v>53</v>
      </c>
      <c r="L7" s="28">
        <v>308.96</v>
      </c>
      <c r="M7" s="7" t="s">
        <v>54</v>
      </c>
      <c r="N7" s="7">
        <v>1.79</v>
      </c>
      <c r="O7" s="21"/>
      <c r="P7" s="33">
        <v>44.95</v>
      </c>
      <c r="Q7" s="33">
        <v>20.0</v>
      </c>
      <c r="R7" s="7" t="s">
        <v>56</v>
      </c>
      <c r="S7" s="7" t="s">
        <v>57</v>
      </c>
      <c r="T7" s="7">
        <v>8.25</v>
      </c>
      <c r="U7" s="7"/>
      <c r="V7" s="21"/>
    </row>
    <row r="8">
      <c r="A8" s="7" t="s">
        <v>58</v>
      </c>
      <c r="B8" s="7">
        <v>-125.92</v>
      </c>
      <c r="C8" s="7">
        <v>0.0</v>
      </c>
      <c r="D8" s="21"/>
      <c r="E8" s="26" t="s">
        <v>60</v>
      </c>
      <c r="F8" s="39">
        <f t="shared" si="1"/>
        <v>150</v>
      </c>
      <c r="G8" s="30"/>
      <c r="H8" s="21"/>
      <c r="I8" s="31">
        <f>IF(OR($A$1="Jul",$A$1="Aug",$A$1="Sep"),150,IF(OR($A$1="May",$A$1="Jun",$A$1="Oct",$A$1="Nov"),120,100))</f>
        <v>150</v>
      </c>
      <c r="J8" s="60"/>
      <c r="K8" s="5"/>
      <c r="L8" s="30"/>
      <c r="M8" s="7" t="s">
        <v>62</v>
      </c>
      <c r="N8" s="21">
        <f>IF($A$1="Aug",129.99,0)</f>
        <v>0</v>
      </c>
      <c r="O8" s="21"/>
      <c r="P8" s="33">
        <v>182.58</v>
      </c>
      <c r="Q8" s="33">
        <v>60.0</v>
      </c>
      <c r="R8" s="7">
        <v>0.99</v>
      </c>
      <c r="S8" s="7"/>
      <c r="T8" s="7">
        <v>150.93</v>
      </c>
      <c r="U8" s="7"/>
      <c r="V8" s="21"/>
    </row>
    <row r="9">
      <c r="A9" s="7" t="s">
        <v>64</v>
      </c>
      <c r="B9" s="7">
        <v>-139.27</v>
      </c>
      <c r="C9" s="7">
        <v>150.0</v>
      </c>
      <c r="D9" s="21"/>
      <c r="E9" s="26" t="s">
        <v>65</v>
      </c>
      <c r="F9" s="39">
        <f t="shared" si="1"/>
        <v>0</v>
      </c>
      <c r="G9" s="30"/>
      <c r="H9" s="21"/>
      <c r="I9" s="31">
        <f>IF(OR($A$1="Jun",$A$1="Aug",$A$1="Oct"),90,IF(OR($A$1="Apr",$A$1="Dec"),130,IF($A$1="Feb",200,0)))</f>
        <v>0</v>
      </c>
      <c r="J9" s="60"/>
      <c r="K9" s="64" t="s">
        <v>67</v>
      </c>
      <c r="L9" s="68">
        <f>SUM(L3:L8)</f>
        <v>948.52</v>
      </c>
      <c r="M9" s="69" t="s">
        <v>68</v>
      </c>
      <c r="N9" s="70">
        <f>SUM(N2:N8)</f>
        <v>52.75</v>
      </c>
      <c r="O9" s="21"/>
      <c r="P9" s="33">
        <v>43.95</v>
      </c>
      <c r="Q9" s="33">
        <v>41.35</v>
      </c>
      <c r="R9" s="7">
        <v>6.0</v>
      </c>
      <c r="S9" s="21"/>
      <c r="T9" s="7">
        <v>38.97</v>
      </c>
      <c r="U9" s="7"/>
      <c r="V9" s="21"/>
    </row>
    <row r="10">
      <c r="A10" s="7" t="s">
        <v>70</v>
      </c>
      <c r="B10" s="7">
        <v>-308.8</v>
      </c>
      <c r="C10" s="7">
        <v>-0.43</v>
      </c>
      <c r="D10" s="21"/>
      <c r="E10" s="72" t="s">
        <v>71</v>
      </c>
      <c r="F10" s="39">
        <f t="shared" si="1"/>
        <v>109</v>
      </c>
      <c r="G10" s="39"/>
      <c r="H10" s="21"/>
      <c r="I10" s="73">
        <f>99+10</f>
        <v>109</v>
      </c>
      <c r="J10" s="75"/>
      <c r="K10" s="5" t="s">
        <v>30</v>
      </c>
      <c r="L10" s="76">
        <f>F3</f>
        <v>550.93</v>
      </c>
      <c r="O10" s="21"/>
      <c r="P10" s="33">
        <v>11.5</v>
      </c>
      <c r="Q10" s="33">
        <v>422.69</v>
      </c>
      <c r="R10" s="7"/>
      <c r="S10" s="21"/>
      <c r="T10" s="7">
        <v>1.45</v>
      </c>
      <c r="U10" s="7"/>
      <c r="V10" s="21"/>
    </row>
    <row r="11">
      <c r="A11" s="7" t="s">
        <v>2</v>
      </c>
      <c r="B11" s="21"/>
      <c r="C11" s="21"/>
      <c r="D11" s="7"/>
      <c r="E11" s="26" t="s">
        <v>72</v>
      </c>
      <c r="F11" s="39">
        <f t="shared" si="1"/>
        <v>948.52</v>
      </c>
      <c r="G11" s="30">
        <f>L3</f>
        <v>30.3</v>
      </c>
      <c r="H11" s="21">
        <f>L4+L5</f>
        <v>370.86</v>
      </c>
      <c r="I11" s="31">
        <f>SUM(L6:L8)</f>
        <v>547.36</v>
      </c>
      <c r="J11" s="28"/>
      <c r="K11" s="64" t="s">
        <v>68</v>
      </c>
      <c r="L11" s="68">
        <f>L9+L10</f>
        <v>1499.45</v>
      </c>
      <c r="O11" s="21"/>
      <c r="P11" s="33">
        <v>11.59</v>
      </c>
      <c r="Q11" s="33">
        <v>879.24</v>
      </c>
      <c r="R11" s="7"/>
      <c r="S11" s="21"/>
      <c r="T11" s="7">
        <v>48.88</v>
      </c>
      <c r="U11" s="7"/>
      <c r="V11" s="21"/>
    </row>
    <row r="12">
      <c r="A12" s="7" t="s">
        <v>3</v>
      </c>
      <c r="B12" s="21"/>
      <c r="C12" s="21"/>
      <c r="D12" s="21"/>
      <c r="E12" s="72" t="s">
        <v>75</v>
      </c>
      <c r="F12" s="39">
        <f t="shared" si="1"/>
        <v>50</v>
      </c>
      <c r="G12" s="30"/>
      <c r="H12" s="21"/>
      <c r="I12" s="73">
        <f>IF(OR($A$1="Jan",$A$1="Mar",$A$1="May",$A$1="Jul",$A$1="Sep",$A$1="Nov",),50,0)</f>
        <v>50</v>
      </c>
      <c r="J12" s="75"/>
      <c r="K12" s="81"/>
      <c r="L12" s="82"/>
      <c r="O12" s="21"/>
      <c r="P12" s="33">
        <v>34.65</v>
      </c>
      <c r="Q12" s="33">
        <v>308.96</v>
      </c>
      <c r="R12" s="21"/>
      <c r="S12" s="21"/>
      <c r="T12" s="7">
        <v>12.3</v>
      </c>
      <c r="U12" s="7"/>
      <c r="V12" s="21"/>
    </row>
    <row r="13">
      <c r="A13" s="7" t="s">
        <v>76</v>
      </c>
      <c r="B13" s="7"/>
      <c r="C13" s="21"/>
      <c r="D13" s="21"/>
      <c r="E13" s="72" t="s">
        <v>10</v>
      </c>
      <c r="F13" s="39">
        <f t="shared" si="1"/>
        <v>52.75</v>
      </c>
      <c r="G13" s="30"/>
      <c r="H13" s="7"/>
      <c r="I13" s="73">
        <f>SUM(N2:N8)</f>
        <v>52.75</v>
      </c>
      <c r="J13" s="28"/>
      <c r="O13" s="21"/>
      <c r="P13" s="33">
        <v>10.95</v>
      </c>
      <c r="Q13" s="33">
        <v>99.0</v>
      </c>
      <c r="R13" s="21"/>
      <c r="S13" s="21"/>
      <c r="T13" s="7">
        <v>2.45</v>
      </c>
      <c r="U13" s="7"/>
      <c r="V13" s="21"/>
    </row>
    <row r="14">
      <c r="A14" s="4" t="s">
        <v>79</v>
      </c>
      <c r="B14" s="21"/>
      <c r="C14" s="21"/>
      <c r="D14" s="7"/>
      <c r="E14" s="87" t="s">
        <v>81</v>
      </c>
      <c r="F14" s="39">
        <f t="shared" si="1"/>
        <v>60</v>
      </c>
      <c r="G14" s="21"/>
      <c r="H14" s="21"/>
      <c r="I14" s="89">
        <v>60.0</v>
      </c>
      <c r="J14" s="28"/>
      <c r="K14" s="5" t="s">
        <v>82</v>
      </c>
      <c r="M14" s="5"/>
      <c r="N14" s="5"/>
      <c r="O14" s="21"/>
      <c r="P14" s="33">
        <v>3.2</v>
      </c>
      <c r="Q14" s="33">
        <v>14.99</v>
      </c>
      <c r="R14" s="21"/>
      <c r="S14" s="21"/>
      <c r="T14" s="7">
        <v>130.41</v>
      </c>
      <c r="U14" s="21"/>
      <c r="V14" s="21"/>
    </row>
    <row r="15">
      <c r="A15" s="7" t="s">
        <v>83</v>
      </c>
      <c r="B15" s="21"/>
      <c r="C15" s="21"/>
      <c r="D15" s="21"/>
      <c r="E15" s="26" t="s">
        <v>84</v>
      </c>
      <c r="F15" s="39">
        <f t="shared" si="1"/>
        <v>0</v>
      </c>
      <c r="G15" s="30"/>
      <c r="H15" s="7"/>
      <c r="I15" s="31">
        <f>L20+L19</f>
        <v>0</v>
      </c>
      <c r="J15" s="4"/>
      <c r="K15" s="5" t="s">
        <v>86</v>
      </c>
      <c r="L15" s="21">
        <f>IF(OR($A$1="Feb",$A$1="May",$A$1="Aug",$A$1="Nov"),98.1,0)</f>
        <v>0</v>
      </c>
      <c r="M15" s="5"/>
      <c r="N15" s="5"/>
      <c r="O15" s="21"/>
      <c r="P15" s="33">
        <v>173.87</v>
      </c>
      <c r="Q15" s="33">
        <v>7.99</v>
      </c>
      <c r="R15" s="21"/>
      <c r="S15" s="21"/>
      <c r="T15" s="7">
        <v>18.8</v>
      </c>
      <c r="U15" s="21"/>
      <c r="V15" s="21"/>
    </row>
    <row r="16">
      <c r="A16" s="7" t="s">
        <v>68</v>
      </c>
      <c r="B16" s="7">
        <f>SUM(B3:B15)+C16</f>
        <v>-1223.32</v>
      </c>
      <c r="C16" s="7">
        <f>SUM(C3:C15)</f>
        <v>2656.8</v>
      </c>
      <c r="D16" s="7"/>
      <c r="E16" s="72" t="s">
        <v>89</v>
      </c>
      <c r="F16" s="39">
        <f t="shared" si="1"/>
        <v>59.9</v>
      </c>
      <c r="G16" s="30"/>
      <c r="H16" s="7"/>
      <c r="I16" s="73">
        <f>IF($A$1="Feb",60.97,59.9)</f>
        <v>59.9</v>
      </c>
      <c r="J16" s="4"/>
      <c r="K16" s="5" t="s">
        <v>63</v>
      </c>
      <c r="L16" s="21">
        <f>IF(OR($A$1="Feb",$A$1="May",$A$1="Aug",$A$1="Nov"),(39.15+329.22/4),0)</f>
        <v>0</v>
      </c>
      <c r="M16" s="5"/>
      <c r="N16" s="5"/>
      <c r="O16" s="21"/>
      <c r="P16" s="33">
        <v>117.62</v>
      </c>
      <c r="Q16" s="33">
        <v>137.12</v>
      </c>
      <c r="R16" s="21"/>
      <c r="S16" s="21"/>
      <c r="T16" s="21"/>
      <c r="U16" s="21"/>
      <c r="V16" s="21"/>
    </row>
    <row r="17">
      <c r="A17" s="21"/>
      <c r="B17" s="97"/>
      <c r="C17" s="97"/>
      <c r="D17" s="7"/>
      <c r="E17" s="87" t="s">
        <v>86</v>
      </c>
      <c r="F17" s="39">
        <f t="shared" si="1"/>
        <v>0</v>
      </c>
      <c r="G17" s="76"/>
      <c r="H17" s="7"/>
      <c r="I17" s="31">
        <f t="shared" ref="I17:I20" si="2">L15</f>
        <v>0</v>
      </c>
      <c r="J17" s="28"/>
      <c r="K17" s="5" t="s">
        <v>92</v>
      </c>
      <c r="L17" s="7">
        <f>IF($A$1="May",155.05,0)</f>
        <v>0</v>
      </c>
      <c r="M17" s="5"/>
      <c r="N17" s="98"/>
      <c r="O17" s="21"/>
      <c r="P17" s="33">
        <v>9.2</v>
      </c>
      <c r="Q17" s="33">
        <v>10.99</v>
      </c>
      <c r="R17" s="21"/>
      <c r="S17" s="21"/>
      <c r="T17" s="21"/>
      <c r="U17" s="21"/>
      <c r="V17" s="21"/>
    </row>
    <row r="18">
      <c r="A18" s="21"/>
      <c r="B18" s="21"/>
      <c r="C18" s="21"/>
      <c r="D18" s="7"/>
      <c r="E18" s="87" t="s">
        <v>63</v>
      </c>
      <c r="F18" s="39">
        <f t="shared" si="1"/>
        <v>0</v>
      </c>
      <c r="G18" s="7"/>
      <c r="H18" s="30"/>
      <c r="I18" s="31">
        <f t="shared" si="2"/>
        <v>0</v>
      </c>
      <c r="J18" s="4"/>
      <c r="K18" s="5" t="s">
        <v>93</v>
      </c>
      <c r="L18" s="7">
        <f>IF($A$1="Jul",80,0)</f>
        <v>80</v>
      </c>
      <c r="M18" s="5"/>
      <c r="N18" s="98"/>
      <c r="O18" s="21"/>
      <c r="P18" s="33">
        <v>27.0</v>
      </c>
      <c r="Q18" s="33">
        <v>10.0</v>
      </c>
      <c r="R18" s="21"/>
      <c r="S18" s="21"/>
      <c r="T18" s="21"/>
      <c r="U18" s="21"/>
      <c r="V18" s="21"/>
    </row>
    <row r="19">
      <c r="A19" s="21"/>
      <c r="B19" s="21"/>
      <c r="C19" s="21"/>
      <c r="D19" s="21"/>
      <c r="E19" s="87" t="s">
        <v>92</v>
      </c>
      <c r="F19" s="39">
        <f t="shared" si="1"/>
        <v>0</v>
      </c>
      <c r="G19" s="7"/>
      <c r="H19" s="21"/>
      <c r="I19" s="101">
        <f t="shared" si="2"/>
        <v>0</v>
      </c>
      <c r="J19" s="28"/>
      <c r="K19" s="5" t="s">
        <v>95</v>
      </c>
      <c r="L19" s="7">
        <f>IF($A$1="Sep",449.58,0)</f>
        <v>0</v>
      </c>
      <c r="M19" s="5"/>
      <c r="N19" s="5"/>
      <c r="O19" s="21"/>
      <c r="P19" s="33">
        <v>21.97</v>
      </c>
      <c r="Q19" s="33">
        <v>63.0</v>
      </c>
      <c r="R19" s="21"/>
      <c r="S19" s="21"/>
      <c r="T19" s="21"/>
      <c r="U19" s="21"/>
      <c r="V19" s="21"/>
    </row>
    <row r="20">
      <c r="A20" s="21"/>
      <c r="B20" s="21"/>
      <c r="C20" s="21"/>
      <c r="D20" s="21"/>
      <c r="E20" s="87" t="s">
        <v>96</v>
      </c>
      <c r="F20" s="39">
        <f t="shared" si="1"/>
        <v>80</v>
      </c>
      <c r="G20" s="76"/>
      <c r="H20" s="76"/>
      <c r="I20" s="31">
        <f t="shared" si="2"/>
        <v>80</v>
      </c>
      <c r="J20" s="4"/>
      <c r="K20" s="5" t="s">
        <v>97</v>
      </c>
      <c r="L20" s="7">
        <f>IF($A$1="Jan",126.66,IF(OR($A$1="Feb",$A$1="Apr"),121.82,0))</f>
        <v>0</v>
      </c>
      <c r="O20" s="21"/>
      <c r="P20" s="105">
        <v>-18.98</v>
      </c>
      <c r="Q20" s="33">
        <v>550.93</v>
      </c>
      <c r="R20" s="21"/>
      <c r="S20" s="21"/>
      <c r="T20" s="21"/>
      <c r="U20" s="21"/>
      <c r="V20" s="21"/>
    </row>
    <row r="21">
      <c r="A21" s="4"/>
      <c r="B21" s="21"/>
      <c r="C21" s="7"/>
      <c r="D21" s="21"/>
      <c r="E21" s="87" t="s">
        <v>99</v>
      </c>
      <c r="F21" s="39">
        <f t="shared" si="1"/>
        <v>1181.9</v>
      </c>
      <c r="G21" s="30"/>
      <c r="H21" s="30"/>
      <c r="I21" s="89">
        <f>IF($A$1="Jul",879.21+382.69-80,0)</f>
        <v>1181.9</v>
      </c>
      <c r="J21" s="97"/>
      <c r="K21" s="97"/>
      <c r="L21" s="97"/>
      <c r="M21" s="97"/>
      <c r="N21" s="97"/>
      <c r="O21" s="21"/>
      <c r="P21" s="33">
        <v>4.39</v>
      </c>
      <c r="Q21" s="7">
        <v>51.57</v>
      </c>
      <c r="R21" s="21"/>
      <c r="S21" s="21"/>
      <c r="T21" s="21"/>
      <c r="U21" s="21"/>
      <c r="V21" s="21"/>
    </row>
    <row r="22">
      <c r="A22" s="21"/>
      <c r="B22" s="7"/>
      <c r="C22" s="7"/>
      <c r="D22" s="21"/>
      <c r="E22" s="87" t="s">
        <v>101</v>
      </c>
      <c r="F22" s="39">
        <f t="shared" si="1"/>
        <v>21.73</v>
      </c>
      <c r="G22" s="7">
        <v>21.73</v>
      </c>
      <c r="H22" s="7"/>
      <c r="I22" s="89">
        <f>IF($A$1="Jun",330,0)</f>
        <v>0</v>
      </c>
      <c r="J22" s="60"/>
      <c r="K22" s="97"/>
      <c r="L22" s="97"/>
      <c r="M22" s="97"/>
      <c r="N22" s="97"/>
      <c r="O22" s="21"/>
      <c r="P22" s="33">
        <v>21.0</v>
      </c>
      <c r="Q22" s="7"/>
      <c r="R22" s="21"/>
      <c r="S22" s="21"/>
      <c r="T22" s="21"/>
      <c r="U22" s="21"/>
      <c r="V22" s="21"/>
    </row>
    <row r="23">
      <c r="A23" s="21"/>
      <c r="B23" s="7"/>
      <c r="C23" s="7"/>
      <c r="D23" s="21"/>
      <c r="E23" s="87" t="s">
        <v>102</v>
      </c>
      <c r="F23" s="39">
        <f t="shared" si="1"/>
        <v>0</v>
      </c>
      <c r="G23" s="7"/>
      <c r="H23" s="7"/>
      <c r="I23" s="89">
        <v>0.0</v>
      </c>
      <c r="J23" s="60"/>
      <c r="K23" s="97"/>
      <c r="L23" s="97"/>
      <c r="M23" s="97"/>
      <c r="N23" s="97"/>
      <c r="O23" s="21"/>
      <c r="P23" s="33">
        <v>1.79</v>
      </c>
      <c r="Q23" s="7"/>
      <c r="R23" s="21"/>
      <c r="S23" s="21"/>
      <c r="T23" s="21"/>
      <c r="U23" s="21"/>
      <c r="V23" s="21"/>
    </row>
    <row r="24">
      <c r="A24" s="21"/>
      <c r="B24" s="7"/>
      <c r="C24" s="21"/>
      <c r="D24" s="21"/>
      <c r="E24" s="108" t="s">
        <v>103</v>
      </c>
      <c r="F24" s="109">
        <f t="shared" si="1"/>
        <v>100</v>
      </c>
      <c r="G24" s="110"/>
      <c r="H24" s="110"/>
      <c r="I24" s="112">
        <f>IF(OR($A$1="Jan",$A$1="Mar",$A$1="May",$A$1="Jul",$A$1="Sep",$A$1="Nov"),100,IF(OR($A$1="Apr",$A$1="Jun",$A$1="Aug",$A$1="Oct",$A$1="Dec"),200,IF(OR($A$1="Feb"),300,0)))</f>
        <v>100</v>
      </c>
      <c r="J24" s="4"/>
      <c r="K24" s="5" t="s">
        <v>104</v>
      </c>
      <c r="L24" s="97"/>
      <c r="M24" s="97"/>
      <c r="N24" s="97"/>
      <c r="O24" s="97"/>
      <c r="P24" s="33">
        <v>10.89</v>
      </c>
      <c r="Q24" s="7"/>
      <c r="R24" s="21"/>
      <c r="S24" s="21"/>
      <c r="T24" s="21"/>
      <c r="U24" s="21"/>
      <c r="V24" s="21"/>
    </row>
    <row r="25">
      <c r="A25" s="113"/>
      <c r="B25" s="7"/>
      <c r="C25" s="21"/>
      <c r="D25" s="21"/>
      <c r="E25" s="114" t="s">
        <v>105</v>
      </c>
      <c r="F25" s="115">
        <f t="shared" ref="F25:I25" si="3">SUM(F3:F24)</f>
        <v>3438.95</v>
      </c>
      <c r="G25" s="115">
        <f t="shared" si="3"/>
        <v>52.03</v>
      </c>
      <c r="H25" s="115">
        <f t="shared" si="3"/>
        <v>370.86</v>
      </c>
      <c r="I25" s="116">
        <f t="shared" si="3"/>
        <v>3016.06</v>
      </c>
      <c r="J25" s="4"/>
      <c r="K25" s="118"/>
      <c r="L25" s="119"/>
      <c r="M25" s="118"/>
      <c r="N25" s="120"/>
      <c r="O25" s="97"/>
      <c r="P25" s="33">
        <v>0.75</v>
      </c>
      <c r="Q25" s="7"/>
      <c r="R25" s="21"/>
      <c r="S25" s="21"/>
      <c r="T25" s="21"/>
      <c r="U25" s="21"/>
      <c r="V25" s="21"/>
    </row>
    <row r="26">
      <c r="A26" s="113"/>
      <c r="B26" s="21"/>
      <c r="C26" s="21"/>
      <c r="D26" s="21"/>
      <c r="E26" s="121" t="s">
        <v>11</v>
      </c>
      <c r="F26" s="122">
        <f>G26+I26+H26</f>
        <v>1617.82</v>
      </c>
      <c r="G26" s="123">
        <v>0.4</v>
      </c>
      <c r="H26" s="123">
        <v>0.21</v>
      </c>
      <c r="I26" s="124">
        <v>1617.21</v>
      </c>
      <c r="J26" s="21"/>
      <c r="K26" s="21"/>
      <c r="L26" s="21"/>
      <c r="M26" s="97"/>
      <c r="N26" s="97"/>
      <c r="O26" s="97"/>
      <c r="P26" s="33">
        <v>6.5</v>
      </c>
      <c r="Q26" s="21"/>
      <c r="R26" s="21"/>
      <c r="S26" s="21"/>
      <c r="T26" s="21"/>
      <c r="U26" s="21"/>
      <c r="V26" s="21"/>
    </row>
    <row r="27">
      <c r="A27" s="21"/>
      <c r="B27" s="21"/>
      <c r="C27" s="21"/>
      <c r="D27" s="21"/>
      <c r="E27" s="125" t="s">
        <v>68</v>
      </c>
      <c r="F27" s="126">
        <f t="shared" ref="F27:I27" si="4">SUM(F25:F26)</f>
        <v>5056.77</v>
      </c>
      <c r="G27" s="126">
        <f t="shared" si="4"/>
        <v>52.43</v>
      </c>
      <c r="H27" s="126">
        <f t="shared" si="4"/>
        <v>371.07</v>
      </c>
      <c r="I27" s="127">
        <f t="shared" si="4"/>
        <v>4633.27</v>
      </c>
      <c r="J27" s="97"/>
      <c r="K27" s="97"/>
      <c r="L27" s="21"/>
      <c r="M27" s="97"/>
      <c r="N27" s="97"/>
      <c r="O27" s="97"/>
      <c r="P27" s="33">
        <v>58.34</v>
      </c>
      <c r="Q27" s="21"/>
      <c r="R27" s="21"/>
      <c r="S27" s="21"/>
      <c r="T27" s="21"/>
      <c r="U27" s="21"/>
      <c r="V27" s="21"/>
    </row>
    <row r="28">
      <c r="A28" s="21"/>
      <c r="B28" s="21"/>
      <c r="C28" s="21"/>
      <c r="D28" s="21"/>
      <c r="E28" s="114" t="s">
        <v>106</v>
      </c>
      <c r="F28" s="115">
        <f t="shared" ref="F28:F29" si="6">G28+H28+I28</f>
        <v>3492.02</v>
      </c>
      <c r="G28" s="115">
        <f t="shared" ref="G28:H28" si="5">SUM(R2:R6)</f>
        <v>52.03</v>
      </c>
      <c r="H28" s="115">
        <f t="shared" si="5"/>
        <v>370.86</v>
      </c>
      <c r="I28" s="116">
        <f>SUM(Q2:Q31)</f>
        <v>3069.13</v>
      </c>
      <c r="J28" s="97"/>
      <c r="K28" s="4"/>
      <c r="L28" s="21"/>
      <c r="M28" s="4"/>
      <c r="N28" s="4"/>
      <c r="O28" s="4"/>
      <c r="P28" s="33">
        <v>114.24</v>
      </c>
      <c r="Q28" s="21"/>
      <c r="R28" s="21"/>
      <c r="S28" s="21"/>
      <c r="T28" s="21"/>
      <c r="U28" s="21"/>
      <c r="V28" s="21"/>
    </row>
    <row r="29">
      <c r="A29" s="97"/>
      <c r="B29" s="21"/>
      <c r="C29" s="21"/>
      <c r="D29" s="21"/>
      <c r="E29" s="129" t="s">
        <v>107</v>
      </c>
      <c r="F29" s="130">
        <f t="shared" si="6"/>
        <v>1873.55</v>
      </c>
      <c r="G29" s="131">
        <f t="shared" ref="G29:H29" si="7">SUM(R8:R20)</f>
        <v>6.99</v>
      </c>
      <c r="H29" s="131">
        <f t="shared" si="7"/>
        <v>0</v>
      </c>
      <c r="I29" s="132">
        <f>SUM(P2:P100)</f>
        <v>1866.56</v>
      </c>
      <c r="J29" s="97"/>
      <c r="K29" s="4"/>
      <c r="L29" s="21"/>
      <c r="M29" s="4"/>
      <c r="N29" s="4"/>
      <c r="O29" s="4"/>
      <c r="P29" s="33">
        <v>35.05</v>
      </c>
      <c r="Q29" s="21"/>
      <c r="R29" s="21"/>
      <c r="S29" s="21"/>
      <c r="T29" s="21"/>
      <c r="U29" s="21"/>
      <c r="V29" s="21"/>
    </row>
    <row r="30">
      <c r="A30" s="97"/>
      <c r="B30" s="7"/>
      <c r="C30" s="21"/>
      <c r="D30" s="21"/>
      <c r="E30" s="133" t="s">
        <v>108</v>
      </c>
      <c r="F30" s="134">
        <f t="shared" ref="F30:I30" si="8">SUM(F28:F29)</f>
        <v>5365.57</v>
      </c>
      <c r="G30" s="134">
        <f t="shared" si="8"/>
        <v>59.02</v>
      </c>
      <c r="H30" s="134">
        <f t="shared" si="8"/>
        <v>370.86</v>
      </c>
      <c r="I30" s="135">
        <f t="shared" si="8"/>
        <v>4935.69</v>
      </c>
      <c r="J30" s="97"/>
      <c r="K30" s="4"/>
      <c r="L30" s="7"/>
      <c r="M30" s="4"/>
      <c r="N30" s="4"/>
      <c r="O30" s="4"/>
      <c r="P30" s="33">
        <v>33.8</v>
      </c>
      <c r="Q30" s="21"/>
      <c r="R30" s="21"/>
      <c r="S30" s="21"/>
      <c r="T30" s="21"/>
      <c r="U30" s="21"/>
      <c r="V30" s="21"/>
    </row>
    <row r="31">
      <c r="A31" s="21"/>
      <c r="B31" s="21"/>
      <c r="C31" s="21"/>
      <c r="D31" s="7"/>
      <c r="E31" s="114" t="s">
        <v>111</v>
      </c>
      <c r="F31" s="115">
        <f t="shared" ref="F31:F32" si="10">G31+H31+I31</f>
        <v>-53.07</v>
      </c>
      <c r="G31" s="115">
        <f t="shared" ref="G31:I31" si="9">G25-G28</f>
        <v>0</v>
      </c>
      <c r="H31" s="115">
        <f t="shared" si="9"/>
        <v>0</v>
      </c>
      <c r="I31" s="116">
        <f t="shared" si="9"/>
        <v>-53.07</v>
      </c>
      <c r="J31" s="97"/>
      <c r="K31" s="4"/>
      <c r="L31" s="7"/>
      <c r="M31" s="4"/>
      <c r="N31" s="107"/>
      <c r="O31" s="107"/>
      <c r="P31" s="33">
        <v>19.85</v>
      </c>
      <c r="Q31" s="21"/>
      <c r="R31" s="21"/>
      <c r="S31" s="21"/>
      <c r="T31" s="21"/>
      <c r="U31" s="21"/>
      <c r="V31" s="21"/>
    </row>
    <row r="32">
      <c r="A32" s="21"/>
      <c r="B32" s="137"/>
      <c r="C32" s="137"/>
      <c r="D32" s="97"/>
      <c r="E32" s="129" t="s">
        <v>112</v>
      </c>
      <c r="F32" s="130">
        <f t="shared" si="10"/>
        <v>-255.73</v>
      </c>
      <c r="G32" s="131">
        <f t="shared" ref="G32:I32" si="11">G26-G29</f>
        <v>-6.59</v>
      </c>
      <c r="H32" s="131">
        <f t="shared" si="11"/>
        <v>0.21</v>
      </c>
      <c r="I32" s="132">
        <f t="shared" si="11"/>
        <v>-249.35</v>
      </c>
      <c r="J32" s="97"/>
      <c r="K32" s="4"/>
      <c r="L32" s="7"/>
      <c r="M32" s="4"/>
      <c r="N32" s="107"/>
      <c r="O32" s="107"/>
      <c r="P32" s="33">
        <v>8.85</v>
      </c>
      <c r="Q32" s="21"/>
      <c r="R32" s="21"/>
      <c r="S32" s="21"/>
      <c r="T32" s="21"/>
      <c r="U32" s="21"/>
      <c r="V32" s="21"/>
    </row>
    <row r="33">
      <c r="A33" s="21"/>
      <c r="B33" s="21"/>
      <c r="C33" s="21"/>
      <c r="D33" s="97"/>
      <c r="E33" s="133" t="s">
        <v>68</v>
      </c>
      <c r="F33" s="134">
        <f t="shared" ref="F33:I33" si="12">SUM(F31:F32)</f>
        <v>-308.8</v>
      </c>
      <c r="G33" s="134">
        <f t="shared" si="12"/>
        <v>-6.59</v>
      </c>
      <c r="H33" s="134">
        <f t="shared" si="12"/>
        <v>0.21</v>
      </c>
      <c r="I33" s="135">
        <f t="shared" si="12"/>
        <v>-302.42</v>
      </c>
      <c r="J33" s="97"/>
      <c r="K33" s="4"/>
      <c r="L33" s="7"/>
      <c r="M33" s="4"/>
      <c r="N33" s="4"/>
      <c r="O33" s="4"/>
      <c r="P33" s="33">
        <v>5.75</v>
      </c>
      <c r="Q33" s="21"/>
      <c r="R33" s="21"/>
      <c r="S33" s="21"/>
      <c r="T33" s="21"/>
      <c r="U33" s="21"/>
      <c r="V33" s="21"/>
    </row>
    <row r="34">
      <c r="A34" s="21"/>
      <c r="B34" s="21"/>
      <c r="C34" s="21"/>
      <c r="D34" s="21"/>
      <c r="E34" s="4" t="s">
        <v>115</v>
      </c>
      <c r="F34" s="21">
        <f>G34+I34+H34</f>
        <v>4142.25</v>
      </c>
      <c r="G34" s="7">
        <v>30.93</v>
      </c>
      <c r="H34" s="7">
        <v>134.11</v>
      </c>
      <c r="I34" s="7">
        <v>3977.21</v>
      </c>
      <c r="J34" s="97"/>
      <c r="K34" s="97"/>
      <c r="L34" s="21"/>
      <c r="M34" s="97"/>
      <c r="N34" s="97"/>
      <c r="O34" s="21"/>
      <c r="P34" s="33">
        <v>131.44</v>
      </c>
      <c r="Q34" s="21"/>
      <c r="R34" s="21"/>
      <c r="S34" s="21"/>
      <c r="T34" s="21"/>
      <c r="U34" s="21"/>
      <c r="V34" s="21"/>
    </row>
    <row r="35">
      <c r="A35" s="21"/>
      <c r="B35" s="21"/>
      <c r="C35" s="21"/>
      <c r="D35" s="21"/>
      <c r="E35" s="4" t="s">
        <v>116</v>
      </c>
      <c r="F35" s="21">
        <f t="shared" ref="F35:I35" si="13">F34-F27</f>
        <v>-914.52</v>
      </c>
      <c r="G35" s="7">
        <f t="shared" si="13"/>
        <v>-21.5</v>
      </c>
      <c r="H35" s="7">
        <f t="shared" si="13"/>
        <v>-236.96</v>
      </c>
      <c r="I35" s="7">
        <f t="shared" si="13"/>
        <v>-656.06</v>
      </c>
      <c r="J35" s="97"/>
      <c r="K35" s="97"/>
      <c r="L35" s="21"/>
      <c r="M35" s="7"/>
      <c r="N35" s="21"/>
      <c r="O35" s="21"/>
      <c r="P35" s="33">
        <v>170.0</v>
      </c>
      <c r="Q35" s="21"/>
      <c r="R35" s="21"/>
      <c r="S35" s="21"/>
      <c r="T35" s="21"/>
      <c r="U35" s="21"/>
      <c r="V35" s="21"/>
    </row>
    <row r="36">
      <c r="A36" s="21"/>
      <c r="B36" s="21"/>
      <c r="C36" s="21"/>
      <c r="D36" s="21"/>
      <c r="E36" s="4" t="s">
        <v>117</v>
      </c>
      <c r="F36" s="21">
        <f t="shared" ref="F36:I36" si="14">F34-F30</f>
        <v>-1223.32</v>
      </c>
      <c r="G36" s="21">
        <f t="shared" si="14"/>
        <v>-28.09</v>
      </c>
      <c r="H36" s="21">
        <f t="shared" si="14"/>
        <v>-236.75</v>
      </c>
      <c r="I36" s="21">
        <f t="shared" si="14"/>
        <v>-958.48</v>
      </c>
      <c r="J36" s="97"/>
      <c r="K36" s="97"/>
      <c r="L36" s="21"/>
      <c r="M36" s="21"/>
      <c r="N36" s="21"/>
      <c r="O36" s="21"/>
      <c r="P36" s="33">
        <v>15.98</v>
      </c>
      <c r="Q36" s="21"/>
      <c r="R36" s="21"/>
      <c r="S36" s="21"/>
      <c r="T36" s="21"/>
      <c r="U36" s="21"/>
      <c r="V36" s="21"/>
    </row>
    <row r="37">
      <c r="A37" s="21"/>
      <c r="B37" s="21"/>
      <c r="C37" s="21"/>
      <c r="D37" s="21"/>
      <c r="E37" s="97"/>
      <c r="F37" s="97"/>
      <c r="G37" s="97"/>
      <c r="H37" s="60"/>
      <c r="I37" s="97"/>
      <c r="J37" s="97"/>
      <c r="K37" s="97"/>
      <c r="L37" s="21"/>
      <c r="M37" s="21"/>
      <c r="N37" s="21"/>
      <c r="O37" s="21"/>
      <c r="P37" s="33">
        <v>59.99</v>
      </c>
      <c r="Q37" s="21"/>
      <c r="R37" s="21"/>
      <c r="S37" s="21"/>
      <c r="T37" s="21"/>
      <c r="U37" s="21"/>
      <c r="V37" s="21"/>
    </row>
    <row r="38">
      <c r="A38" s="21"/>
      <c r="B38" s="21"/>
      <c r="C38" s="21"/>
      <c r="D38" s="21"/>
      <c r="E38" s="97"/>
      <c r="F38" s="97"/>
      <c r="G38" s="97"/>
      <c r="H38" s="7"/>
      <c r="I38" s="97"/>
      <c r="J38" s="21"/>
      <c r="K38" s="21"/>
      <c r="L38" s="21"/>
      <c r="M38" s="21"/>
      <c r="N38" s="21"/>
      <c r="O38" s="21"/>
      <c r="P38" s="33">
        <v>4.0</v>
      </c>
      <c r="Q38" s="21"/>
      <c r="R38" s="21"/>
      <c r="S38" s="21"/>
      <c r="T38" s="21"/>
      <c r="U38" s="21"/>
      <c r="V38" s="21"/>
    </row>
    <row r="39">
      <c r="A39" s="21"/>
      <c r="B39" s="21"/>
      <c r="C39" s="21"/>
      <c r="D39" s="21"/>
      <c r="E39" s="97"/>
      <c r="F39" s="97"/>
      <c r="G39" s="97"/>
      <c r="H39" s="21"/>
      <c r="I39" s="97"/>
      <c r="J39" s="21"/>
      <c r="K39" s="21"/>
      <c r="L39" s="21"/>
      <c r="M39" s="21"/>
      <c r="N39" s="21"/>
      <c r="O39" s="21"/>
      <c r="P39" s="33">
        <v>60.65</v>
      </c>
      <c r="Q39" s="21"/>
      <c r="R39" s="21"/>
      <c r="S39" s="21"/>
      <c r="T39" s="21"/>
      <c r="U39" s="21"/>
      <c r="V39" s="21"/>
    </row>
    <row r="40">
      <c r="A40" s="21"/>
      <c r="B40" s="21"/>
      <c r="C40" s="21"/>
      <c r="D40" s="21"/>
      <c r="E40" s="97"/>
      <c r="F40" s="97"/>
      <c r="G40" s="97"/>
      <c r="H40" s="21"/>
      <c r="I40" s="97"/>
      <c r="J40" s="21"/>
      <c r="K40" s="21"/>
      <c r="L40" s="21"/>
      <c r="M40" s="21"/>
      <c r="N40" s="21"/>
      <c r="O40" s="21"/>
      <c r="P40" s="33">
        <v>34.33</v>
      </c>
      <c r="Q40" s="21"/>
      <c r="R40" s="21"/>
      <c r="S40" s="21"/>
      <c r="T40" s="21"/>
      <c r="U40" s="21"/>
      <c r="V40" s="21"/>
    </row>
    <row r="41">
      <c r="A41" s="21"/>
      <c r="B41" s="21"/>
      <c r="C41" s="21"/>
      <c r="D41" s="21"/>
      <c r="E41" s="97"/>
      <c r="F41" s="97"/>
      <c r="G41" s="97"/>
      <c r="H41" s="21"/>
      <c r="I41" s="97"/>
      <c r="J41" s="21"/>
      <c r="K41" s="21"/>
      <c r="L41" s="21"/>
      <c r="M41" s="21"/>
      <c r="N41" s="21"/>
      <c r="O41" s="21"/>
      <c r="P41" s="33">
        <v>59.18</v>
      </c>
      <c r="Q41" s="60"/>
      <c r="R41" s="21"/>
      <c r="S41" s="21"/>
      <c r="T41" s="21"/>
      <c r="U41" s="21"/>
      <c r="V41" s="21"/>
    </row>
    <row r="42">
      <c r="A42" s="21"/>
      <c r="B42" s="21"/>
      <c r="C42" s="21"/>
      <c r="D42" s="21"/>
      <c r="E42" s="136"/>
      <c r="F42" s="136"/>
      <c r="G42" s="21"/>
      <c r="H42" s="21"/>
      <c r="I42" s="21"/>
      <c r="J42" s="21"/>
      <c r="K42" s="21"/>
      <c r="L42" s="21"/>
      <c r="M42" s="21"/>
      <c r="N42" s="21"/>
      <c r="O42" s="21"/>
      <c r="P42" s="33">
        <v>4.29</v>
      </c>
      <c r="Q42" s="60"/>
      <c r="R42" s="21"/>
      <c r="S42" s="21"/>
      <c r="T42" s="21"/>
      <c r="U42" s="21"/>
      <c r="V42" s="21"/>
    </row>
    <row r="43">
      <c r="A43" s="21"/>
      <c r="B43" s="21"/>
      <c r="C43" s="21"/>
      <c r="D43" s="21"/>
      <c r="E43" s="136"/>
      <c r="F43" s="136"/>
      <c r="G43" s="21"/>
      <c r="H43" s="21"/>
      <c r="I43" s="21"/>
      <c r="J43" s="21"/>
      <c r="K43" s="21"/>
      <c r="L43" s="21"/>
      <c r="M43" s="21"/>
      <c r="N43" s="21"/>
      <c r="O43" s="21"/>
      <c r="P43" s="33">
        <v>10.74</v>
      </c>
      <c r="Q43" s="60"/>
      <c r="R43" s="21"/>
      <c r="S43" s="21"/>
      <c r="T43" s="21"/>
      <c r="U43" s="21"/>
      <c r="V43" s="21"/>
    </row>
    <row r="44">
      <c r="A44" s="21"/>
      <c r="B44" s="21"/>
      <c r="C44" s="21"/>
      <c r="D44" s="21"/>
      <c r="E44" s="136"/>
      <c r="F44" s="136"/>
      <c r="G44" s="21"/>
      <c r="H44" s="21"/>
      <c r="I44" s="21"/>
      <c r="J44" s="21"/>
      <c r="K44" s="21"/>
      <c r="L44" s="21"/>
      <c r="M44" s="21"/>
      <c r="N44" s="21"/>
      <c r="O44" s="21"/>
      <c r="P44" s="33">
        <v>32.99</v>
      </c>
      <c r="Q44" s="60"/>
      <c r="R44" s="21"/>
      <c r="S44" s="21"/>
      <c r="T44" s="21"/>
      <c r="U44" s="21"/>
      <c r="V44" s="21"/>
    </row>
    <row r="45">
      <c r="A45" s="21"/>
      <c r="B45" s="21"/>
      <c r="C45" s="21"/>
      <c r="D45" s="21"/>
      <c r="E45" s="136"/>
      <c r="F45" s="136"/>
      <c r="G45" s="21"/>
      <c r="H45" s="21"/>
      <c r="I45" s="21"/>
      <c r="J45" s="21"/>
      <c r="K45" s="21"/>
      <c r="L45" s="21"/>
      <c r="M45" s="21"/>
      <c r="N45" s="21"/>
      <c r="O45" s="21"/>
      <c r="P45" s="33">
        <v>16.6</v>
      </c>
      <c r="Q45" s="60"/>
      <c r="R45" s="21"/>
      <c r="S45" s="21"/>
      <c r="T45" s="21"/>
      <c r="U45" s="21"/>
      <c r="V45" s="21"/>
    </row>
    <row r="46">
      <c r="A46" s="21"/>
      <c r="B46" s="21"/>
      <c r="C46" s="21"/>
      <c r="D46" s="21"/>
      <c r="E46" s="136"/>
      <c r="F46" s="136"/>
      <c r="G46" s="21"/>
      <c r="H46" s="21"/>
      <c r="I46" s="21"/>
      <c r="J46" s="21"/>
      <c r="K46" s="21"/>
      <c r="L46" s="21"/>
      <c r="M46" s="21"/>
      <c r="N46" s="21"/>
      <c r="O46" s="21"/>
      <c r="P46" s="33">
        <v>36.33</v>
      </c>
      <c r="Q46" s="60"/>
      <c r="R46" s="21"/>
      <c r="S46" s="21"/>
      <c r="T46" s="21"/>
      <c r="U46" s="21"/>
      <c r="V46" s="21"/>
    </row>
    <row r="47">
      <c r="A47" s="21"/>
      <c r="B47" s="21"/>
      <c r="C47" s="21"/>
      <c r="D47" s="21"/>
      <c r="E47" s="136"/>
      <c r="F47" s="136"/>
      <c r="G47" s="21"/>
      <c r="H47" s="21"/>
      <c r="I47" s="21"/>
      <c r="J47" s="21"/>
      <c r="K47" s="21"/>
      <c r="L47" s="21"/>
      <c r="M47" s="21"/>
      <c r="N47" s="21"/>
      <c r="O47" s="21"/>
      <c r="P47" s="33">
        <v>9.5</v>
      </c>
      <c r="Q47" s="60"/>
      <c r="R47" s="21"/>
      <c r="S47" s="21"/>
      <c r="T47" s="21"/>
      <c r="U47" s="21"/>
      <c r="V47" s="21"/>
    </row>
    <row r="48">
      <c r="A48" s="21"/>
      <c r="B48" s="21"/>
      <c r="C48" s="21"/>
      <c r="D48" s="21"/>
      <c r="E48" s="136"/>
      <c r="F48" s="136"/>
      <c r="G48" s="21"/>
      <c r="H48" s="21"/>
      <c r="I48" s="21"/>
      <c r="J48" s="21"/>
      <c r="K48" s="21"/>
      <c r="L48" s="21"/>
      <c r="M48" s="21"/>
      <c r="N48" s="21"/>
      <c r="O48" s="21"/>
      <c r="P48" s="33">
        <v>39.48</v>
      </c>
      <c r="Q48" s="60"/>
      <c r="R48" s="21"/>
      <c r="S48" s="21"/>
      <c r="T48" s="21"/>
      <c r="U48" s="21"/>
      <c r="V48" s="21"/>
    </row>
    <row r="49">
      <c r="A49" s="21"/>
      <c r="B49" s="21"/>
      <c r="C49" s="21"/>
      <c r="D49" s="21"/>
      <c r="E49" s="136"/>
      <c r="F49" s="136"/>
      <c r="G49" s="21"/>
      <c r="H49" s="21"/>
      <c r="I49" s="21"/>
      <c r="J49" s="21"/>
      <c r="K49" s="21"/>
      <c r="L49" s="21"/>
      <c r="M49" s="21"/>
      <c r="N49" s="21"/>
      <c r="O49" s="21"/>
      <c r="P49" s="33">
        <v>18.19</v>
      </c>
      <c r="Q49" s="60"/>
      <c r="R49" s="21"/>
      <c r="S49" s="21"/>
      <c r="T49" s="21"/>
      <c r="U49" s="21"/>
      <c r="V49" s="21"/>
    </row>
    <row r="50">
      <c r="A50" s="21"/>
      <c r="B50" s="21"/>
      <c r="C50" s="21"/>
      <c r="D50" s="21"/>
      <c r="E50" s="136"/>
      <c r="F50" s="136"/>
      <c r="G50" s="21"/>
      <c r="H50" s="21"/>
      <c r="I50" s="21"/>
      <c r="J50" s="21"/>
      <c r="K50" s="21"/>
      <c r="L50" s="21"/>
      <c r="M50" s="21"/>
      <c r="N50" s="21"/>
      <c r="O50" s="21"/>
      <c r="P50" s="33">
        <v>22.62</v>
      </c>
      <c r="Q50" s="21"/>
      <c r="R50" s="21"/>
      <c r="S50" s="21"/>
      <c r="T50" s="21"/>
      <c r="U50" s="21"/>
      <c r="V50" s="21"/>
    </row>
    <row r="51">
      <c r="A51" s="21"/>
      <c r="B51" s="21"/>
      <c r="C51" s="21"/>
      <c r="D51" s="21"/>
      <c r="E51" s="136"/>
      <c r="F51" s="136"/>
      <c r="G51" s="21"/>
      <c r="H51" s="21"/>
      <c r="I51" s="21"/>
      <c r="J51" s="21"/>
      <c r="K51" s="21"/>
      <c r="L51" s="21"/>
      <c r="M51" s="21"/>
      <c r="N51" s="21"/>
      <c r="O51" s="21"/>
      <c r="P51" s="33"/>
      <c r="Q51" s="21"/>
      <c r="R51" s="21"/>
      <c r="S51" s="21"/>
      <c r="T51" s="21"/>
      <c r="U51" s="21"/>
      <c r="V51" s="21"/>
    </row>
    <row r="52">
      <c r="A52" s="21"/>
      <c r="B52" s="21"/>
      <c r="C52" s="21"/>
      <c r="D52" s="21"/>
      <c r="E52" s="136"/>
      <c r="F52" s="136"/>
      <c r="G52" s="21"/>
      <c r="H52" s="21"/>
      <c r="I52" s="21"/>
      <c r="J52" s="21"/>
      <c r="K52" s="21"/>
      <c r="L52" s="21"/>
      <c r="M52" s="21"/>
      <c r="N52" s="21"/>
      <c r="O52" s="21"/>
      <c r="P52" s="33"/>
      <c r="Q52" s="21"/>
      <c r="R52" s="21"/>
      <c r="S52" s="21"/>
      <c r="T52" s="21"/>
      <c r="U52" s="21"/>
      <c r="V52" s="21"/>
    </row>
    <row r="53">
      <c r="A53" s="21"/>
      <c r="B53" s="21"/>
      <c r="C53" s="21"/>
      <c r="D53" s="21"/>
      <c r="E53" s="136"/>
      <c r="F53" s="136"/>
      <c r="G53" s="21"/>
      <c r="H53" s="21"/>
      <c r="I53" s="21"/>
      <c r="J53" s="21"/>
      <c r="K53" s="21"/>
      <c r="L53" s="21"/>
      <c r="M53" s="21"/>
      <c r="N53" s="21"/>
      <c r="O53" s="21"/>
      <c r="P53" s="33"/>
      <c r="Q53" s="21"/>
      <c r="R53" s="21"/>
      <c r="S53" s="21"/>
      <c r="T53" s="21"/>
      <c r="U53" s="21"/>
      <c r="V53" s="21"/>
    </row>
    <row r="54">
      <c r="A54" s="21"/>
      <c r="B54" s="21"/>
      <c r="C54" s="21"/>
      <c r="D54" s="21"/>
      <c r="E54" s="136"/>
      <c r="F54" s="136"/>
      <c r="G54" s="21"/>
      <c r="H54" s="21"/>
      <c r="I54" s="21"/>
      <c r="J54" s="21"/>
      <c r="K54" s="21"/>
      <c r="L54" s="21"/>
      <c r="M54" s="21"/>
      <c r="N54" s="21"/>
      <c r="O54" s="21"/>
      <c r="P54" s="33"/>
      <c r="Q54" s="21"/>
      <c r="R54" s="21"/>
      <c r="S54" s="21"/>
      <c r="T54" s="21"/>
      <c r="U54" s="21"/>
      <c r="V54" s="21"/>
    </row>
    <row r="55">
      <c r="A55" s="21"/>
      <c r="B55" s="21"/>
      <c r="C55" s="21"/>
      <c r="D55" s="21"/>
      <c r="E55" s="136"/>
      <c r="F55" s="136"/>
      <c r="G55" s="21"/>
      <c r="H55" s="21"/>
      <c r="I55" s="21"/>
      <c r="J55" s="21"/>
      <c r="K55" s="21"/>
      <c r="L55" s="21"/>
      <c r="M55" s="21"/>
      <c r="N55" s="21"/>
      <c r="O55" s="21"/>
      <c r="P55" s="33"/>
      <c r="Q55" s="21"/>
      <c r="R55" s="21"/>
      <c r="S55" s="21"/>
      <c r="T55" s="21"/>
      <c r="U55" s="21"/>
      <c r="V55" s="21"/>
    </row>
    <row r="56">
      <c r="A56" s="21"/>
      <c r="B56" s="21"/>
      <c r="C56" s="21"/>
      <c r="D56" s="21"/>
      <c r="E56" s="136"/>
      <c r="F56" s="136"/>
      <c r="G56" s="21"/>
      <c r="H56" s="21"/>
      <c r="I56" s="21"/>
      <c r="J56" s="21"/>
      <c r="K56" s="21"/>
      <c r="L56" s="21"/>
      <c r="M56" s="21"/>
      <c r="N56" s="21"/>
      <c r="O56" s="21"/>
      <c r="P56" s="33"/>
      <c r="Q56" s="21"/>
      <c r="R56" s="21"/>
      <c r="S56" s="21"/>
      <c r="T56" s="21"/>
      <c r="U56" s="21"/>
      <c r="V56" s="21"/>
    </row>
    <row r="57">
      <c r="A57" s="21"/>
      <c r="B57" s="21"/>
      <c r="C57" s="21"/>
      <c r="D57" s="21"/>
      <c r="E57" s="136"/>
      <c r="F57" s="136"/>
      <c r="G57" s="21"/>
      <c r="H57" s="21"/>
      <c r="I57" s="21"/>
      <c r="J57" s="21"/>
      <c r="K57" s="21"/>
      <c r="L57" s="21"/>
      <c r="M57" s="21"/>
      <c r="N57" s="21"/>
      <c r="O57" s="21"/>
      <c r="P57" s="33"/>
      <c r="Q57" s="21"/>
      <c r="R57" s="21"/>
      <c r="S57" s="21"/>
      <c r="T57" s="21"/>
      <c r="U57" s="21"/>
      <c r="V57" s="21"/>
    </row>
    <row r="58">
      <c r="A58" s="21"/>
      <c r="B58" s="21"/>
      <c r="C58" s="21"/>
      <c r="D58" s="21"/>
      <c r="E58" s="136"/>
      <c r="F58" s="136"/>
      <c r="G58" s="21"/>
      <c r="H58" s="21"/>
      <c r="I58" s="21"/>
      <c r="J58" s="21"/>
      <c r="K58" s="21"/>
      <c r="L58" s="21"/>
      <c r="M58" s="21"/>
      <c r="N58" s="21"/>
      <c r="O58" s="21"/>
      <c r="P58" s="33"/>
      <c r="Q58" s="21"/>
      <c r="R58" s="21"/>
      <c r="S58" s="21"/>
      <c r="T58" s="21"/>
      <c r="U58" s="21"/>
      <c r="V58" s="21"/>
    </row>
    <row r="59">
      <c r="A59" s="21"/>
      <c r="B59" s="21"/>
      <c r="C59" s="21"/>
      <c r="D59" s="21"/>
      <c r="E59" s="136"/>
      <c r="F59" s="136"/>
      <c r="G59" s="21"/>
      <c r="H59" s="21"/>
      <c r="I59" s="21"/>
      <c r="J59" s="21"/>
      <c r="K59" s="21"/>
      <c r="L59" s="21"/>
      <c r="M59" s="21"/>
      <c r="N59" s="21"/>
      <c r="O59" s="21"/>
      <c r="P59" s="33"/>
      <c r="Q59" s="21"/>
      <c r="R59" s="21"/>
      <c r="S59" s="21"/>
      <c r="T59" s="21"/>
      <c r="U59" s="21"/>
      <c r="V59" s="21"/>
    </row>
    <row r="60">
      <c r="A60" s="21"/>
      <c r="B60" s="21"/>
      <c r="C60" s="21"/>
      <c r="D60" s="21"/>
      <c r="E60" s="136"/>
      <c r="F60" s="136"/>
      <c r="G60" s="21"/>
      <c r="H60" s="21"/>
      <c r="I60" s="21"/>
      <c r="J60" s="21"/>
      <c r="K60" s="21"/>
      <c r="L60" s="21"/>
      <c r="M60" s="21"/>
      <c r="N60" s="21"/>
      <c r="O60" s="21"/>
      <c r="P60" s="33"/>
      <c r="Q60" s="21"/>
      <c r="R60" s="21"/>
      <c r="S60" s="21"/>
      <c r="T60" s="21"/>
      <c r="U60" s="21"/>
      <c r="V60" s="21"/>
    </row>
    <row r="61">
      <c r="A61" s="21"/>
      <c r="B61" s="21"/>
      <c r="C61" s="21"/>
      <c r="D61" s="21"/>
      <c r="E61" s="136"/>
      <c r="F61" s="136"/>
      <c r="G61" s="21"/>
      <c r="H61" s="21"/>
      <c r="I61" s="21"/>
      <c r="J61" s="21"/>
      <c r="K61" s="21"/>
      <c r="L61" s="21"/>
      <c r="M61" s="21"/>
      <c r="N61" s="21"/>
      <c r="O61" s="21"/>
      <c r="P61" s="33"/>
      <c r="Q61" s="21"/>
      <c r="R61" s="21"/>
      <c r="S61" s="21"/>
      <c r="T61" s="21"/>
      <c r="U61" s="21"/>
      <c r="V61" s="21"/>
    </row>
    <row r="62">
      <c r="A62" s="21"/>
      <c r="B62" s="21"/>
      <c r="C62" s="21"/>
      <c r="D62" s="21"/>
      <c r="E62" s="136"/>
      <c r="F62" s="136"/>
      <c r="G62" s="21"/>
      <c r="H62" s="21"/>
      <c r="I62" s="21"/>
      <c r="J62" s="21"/>
      <c r="K62" s="21"/>
      <c r="L62" s="21"/>
      <c r="M62" s="21"/>
      <c r="N62" s="21"/>
      <c r="O62" s="21"/>
      <c r="P62" s="33"/>
      <c r="Q62" s="21"/>
      <c r="R62" s="21"/>
      <c r="S62" s="21"/>
      <c r="T62" s="21"/>
      <c r="U62" s="21"/>
      <c r="V62" s="21"/>
    </row>
    <row r="63">
      <c r="A63" s="21"/>
      <c r="B63" s="21"/>
      <c r="C63" s="21"/>
      <c r="D63" s="21"/>
      <c r="E63" s="136"/>
      <c r="F63" s="136"/>
      <c r="G63" s="21"/>
      <c r="H63" s="21"/>
      <c r="I63" s="21"/>
      <c r="J63" s="21"/>
      <c r="K63" s="21"/>
      <c r="L63" s="21"/>
      <c r="M63" s="21"/>
      <c r="N63" s="21"/>
      <c r="O63" s="21"/>
      <c r="P63" s="33"/>
      <c r="Q63" s="21"/>
      <c r="R63" s="21"/>
      <c r="S63" s="21"/>
      <c r="T63" s="21"/>
      <c r="U63" s="21"/>
      <c r="V63" s="21"/>
    </row>
    <row r="64">
      <c r="A64" s="21"/>
      <c r="B64" s="21"/>
      <c r="C64" s="21"/>
      <c r="D64" s="21"/>
      <c r="E64" s="136"/>
      <c r="F64" s="136"/>
      <c r="G64" s="21"/>
      <c r="H64" s="21"/>
      <c r="I64" s="21"/>
      <c r="J64" s="21"/>
      <c r="K64" s="21"/>
      <c r="L64" s="21"/>
      <c r="M64" s="21"/>
      <c r="N64" s="21"/>
      <c r="O64" s="21"/>
      <c r="P64" s="33"/>
      <c r="Q64" s="21"/>
      <c r="R64" s="21"/>
      <c r="S64" s="21"/>
      <c r="T64" s="21"/>
      <c r="U64" s="21"/>
      <c r="V64" s="21"/>
    </row>
    <row r="65">
      <c r="A65" s="21"/>
      <c r="B65" s="21"/>
      <c r="C65" s="21"/>
      <c r="D65" s="21"/>
      <c r="E65" s="136"/>
      <c r="F65" s="136"/>
      <c r="G65" s="21"/>
      <c r="H65" s="21"/>
      <c r="I65" s="21"/>
      <c r="J65" s="21"/>
      <c r="K65" s="21"/>
      <c r="L65" s="21"/>
      <c r="M65" s="21"/>
      <c r="N65" s="21"/>
      <c r="O65" s="21"/>
      <c r="P65" s="33"/>
      <c r="Q65" s="21"/>
      <c r="R65" s="21"/>
      <c r="S65" s="21"/>
      <c r="T65" s="21"/>
      <c r="U65" s="21"/>
      <c r="V65" s="21"/>
    </row>
    <row r="66">
      <c r="A66" s="21"/>
      <c r="B66" s="21"/>
      <c r="C66" s="21"/>
      <c r="D66" s="21"/>
      <c r="E66" s="136"/>
      <c r="F66" s="136"/>
      <c r="G66" s="21"/>
      <c r="H66" s="21"/>
      <c r="I66" s="21"/>
      <c r="J66" s="21"/>
      <c r="K66" s="21"/>
      <c r="L66" s="21"/>
      <c r="M66" s="21"/>
      <c r="N66" s="21"/>
      <c r="O66" s="21"/>
      <c r="P66" s="33"/>
      <c r="Q66" s="21"/>
      <c r="R66" s="21"/>
      <c r="S66" s="21"/>
      <c r="T66" s="21"/>
      <c r="U66" s="21"/>
      <c r="V66" s="21"/>
    </row>
    <row r="67">
      <c r="A67" s="21"/>
      <c r="B67" s="21"/>
      <c r="C67" s="21"/>
      <c r="D67" s="21"/>
      <c r="E67" s="136"/>
      <c r="F67" s="136"/>
      <c r="G67" s="21"/>
      <c r="H67" s="21"/>
      <c r="I67" s="21"/>
      <c r="J67" s="21"/>
      <c r="K67" s="21"/>
      <c r="L67" s="21"/>
      <c r="M67" s="21"/>
      <c r="N67" s="21"/>
      <c r="O67" s="21"/>
      <c r="P67" s="33"/>
      <c r="Q67" s="21"/>
      <c r="R67" s="21"/>
      <c r="S67" s="21"/>
      <c r="T67" s="21"/>
      <c r="U67" s="21"/>
      <c r="V67" s="21"/>
    </row>
    <row r="68">
      <c r="A68" s="21"/>
      <c r="B68" s="21"/>
      <c r="C68" s="21"/>
      <c r="D68" s="21"/>
      <c r="E68" s="136"/>
      <c r="F68" s="136"/>
      <c r="G68" s="21"/>
      <c r="H68" s="21"/>
      <c r="I68" s="21"/>
      <c r="J68" s="21"/>
      <c r="K68" s="21"/>
      <c r="L68" s="21"/>
      <c r="M68" s="21"/>
      <c r="N68" s="21"/>
      <c r="O68" s="21"/>
      <c r="P68" s="33"/>
      <c r="Q68" s="21"/>
      <c r="R68" s="21"/>
      <c r="S68" s="21"/>
      <c r="T68" s="21"/>
      <c r="U68" s="21"/>
      <c r="V68" s="21"/>
    </row>
    <row r="69">
      <c r="A69" s="21"/>
      <c r="B69" s="21"/>
      <c r="C69" s="21"/>
      <c r="D69" s="21"/>
      <c r="E69" s="136"/>
      <c r="F69" s="136"/>
      <c r="G69" s="21"/>
      <c r="H69" s="21"/>
      <c r="I69" s="21"/>
      <c r="J69" s="21"/>
      <c r="K69" s="21"/>
      <c r="L69" s="21"/>
      <c r="M69" s="21"/>
      <c r="N69" s="21"/>
      <c r="O69" s="21"/>
      <c r="P69" s="33"/>
      <c r="Q69" s="21"/>
      <c r="R69" s="21"/>
      <c r="S69" s="21"/>
      <c r="T69" s="21"/>
      <c r="U69" s="21"/>
      <c r="V69" s="21"/>
    </row>
    <row r="70">
      <c r="A70" s="21"/>
      <c r="B70" s="21"/>
      <c r="C70" s="21"/>
      <c r="D70" s="21"/>
      <c r="E70" s="136"/>
      <c r="F70" s="136"/>
      <c r="G70" s="21"/>
      <c r="H70" s="21"/>
      <c r="I70" s="21"/>
      <c r="J70" s="21"/>
      <c r="K70" s="21"/>
      <c r="L70" s="21"/>
      <c r="M70" s="21"/>
      <c r="N70" s="21"/>
      <c r="O70" s="21"/>
      <c r="P70" s="33"/>
      <c r="Q70" s="21"/>
      <c r="R70" s="21"/>
      <c r="S70" s="21"/>
      <c r="T70" s="21"/>
      <c r="U70" s="21"/>
      <c r="V70" s="21"/>
    </row>
    <row r="71">
      <c r="A71" s="21"/>
      <c r="B71" s="21"/>
      <c r="C71" s="21"/>
      <c r="D71" s="21"/>
      <c r="E71" s="136"/>
      <c r="F71" s="136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</row>
    <row r="72">
      <c r="A72" s="21"/>
      <c r="B72" s="21"/>
      <c r="C72" s="21"/>
      <c r="D72" s="21"/>
      <c r="E72" s="136"/>
      <c r="F72" s="136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</row>
    <row r="73">
      <c r="A73" s="21"/>
      <c r="B73" s="21"/>
      <c r="C73" s="21"/>
      <c r="D73" s="21"/>
      <c r="E73" s="136"/>
      <c r="F73" s="136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</row>
    <row r="74">
      <c r="A74" s="21"/>
      <c r="B74" s="21"/>
      <c r="C74" s="21"/>
      <c r="D74" s="21"/>
      <c r="E74" s="136"/>
      <c r="F74" s="136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</row>
    <row r="75">
      <c r="A75" s="21"/>
      <c r="B75" s="21"/>
      <c r="C75" s="21"/>
      <c r="D75" s="21"/>
      <c r="E75" s="136"/>
      <c r="F75" s="136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</row>
    <row r="76">
      <c r="A76" s="21"/>
      <c r="B76" s="21"/>
      <c r="C76" s="21"/>
      <c r="D76" s="21"/>
      <c r="E76" s="136"/>
      <c r="F76" s="136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</row>
    <row r="77">
      <c r="A77" s="21"/>
      <c r="B77" s="21"/>
      <c r="C77" s="21"/>
      <c r="D77" s="21"/>
      <c r="E77" s="136"/>
      <c r="F77" s="136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</row>
    <row r="78">
      <c r="A78" s="21"/>
      <c r="B78" s="21"/>
      <c r="C78" s="21"/>
      <c r="D78" s="21"/>
      <c r="E78" s="136"/>
      <c r="F78" s="136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</row>
    <row r="79">
      <c r="A79" s="21"/>
      <c r="B79" s="21"/>
      <c r="C79" s="21"/>
      <c r="D79" s="21"/>
      <c r="E79" s="136"/>
      <c r="F79" s="136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</row>
    <row r="80">
      <c r="A80" s="21"/>
      <c r="B80" s="21"/>
      <c r="C80" s="21"/>
      <c r="D80" s="21"/>
      <c r="E80" s="136"/>
      <c r="F80" s="136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</row>
    <row r="81">
      <c r="A81" s="21"/>
      <c r="B81" s="21"/>
      <c r="C81" s="21"/>
      <c r="D81" s="21"/>
      <c r="E81" s="136"/>
      <c r="F81" s="136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</row>
    <row r="82">
      <c r="A82" s="21"/>
      <c r="B82" s="21"/>
      <c r="C82" s="21"/>
      <c r="D82" s="21"/>
      <c r="E82" s="136"/>
      <c r="F82" s="136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</row>
    <row r="83">
      <c r="A83" s="21"/>
      <c r="B83" s="21"/>
      <c r="C83" s="21"/>
      <c r="D83" s="21"/>
      <c r="E83" s="136"/>
      <c r="F83" s="136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</row>
    <row r="84">
      <c r="A84" s="21"/>
      <c r="B84" s="21"/>
      <c r="C84" s="21"/>
      <c r="D84" s="21"/>
      <c r="E84" s="136"/>
      <c r="F84" s="136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</row>
    <row r="85">
      <c r="A85" s="21"/>
      <c r="B85" s="21"/>
      <c r="C85" s="21"/>
      <c r="D85" s="21"/>
      <c r="E85" s="136"/>
      <c r="F85" s="136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</row>
    <row r="86">
      <c r="A86" s="21"/>
      <c r="B86" s="21"/>
      <c r="C86" s="21"/>
      <c r="D86" s="21"/>
      <c r="E86" s="136"/>
      <c r="F86" s="136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</row>
    <row r="87">
      <c r="A87" s="21"/>
      <c r="B87" s="21"/>
      <c r="C87" s="21"/>
      <c r="D87" s="21"/>
      <c r="E87" s="136"/>
      <c r="F87" s="136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</row>
    <row r="88">
      <c r="A88" s="21"/>
      <c r="B88" s="21"/>
      <c r="C88" s="21"/>
      <c r="D88" s="21"/>
      <c r="E88" s="136"/>
      <c r="F88" s="136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</row>
    <row r="89">
      <c r="A89" s="21"/>
      <c r="B89" s="21"/>
      <c r="C89" s="21"/>
      <c r="D89" s="21"/>
      <c r="E89" s="136"/>
      <c r="F89" s="136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</row>
    <row r="90">
      <c r="A90" s="21"/>
      <c r="B90" s="21"/>
      <c r="C90" s="21"/>
      <c r="D90" s="21"/>
      <c r="E90" s="136"/>
      <c r="F90" s="136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>
      <c r="A91" s="21"/>
      <c r="B91" s="21"/>
      <c r="C91" s="21"/>
      <c r="D91" s="21"/>
      <c r="E91" s="136"/>
      <c r="F91" s="136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</row>
    <row r="92">
      <c r="A92" s="21"/>
      <c r="B92" s="21"/>
      <c r="C92" s="21"/>
      <c r="D92" s="21"/>
      <c r="E92" s="136"/>
      <c r="F92" s="136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</row>
    <row r="93">
      <c r="A93" s="21"/>
      <c r="B93" s="21"/>
      <c r="C93" s="21"/>
      <c r="D93" s="21"/>
      <c r="E93" s="136"/>
      <c r="F93" s="136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</row>
    <row r="94">
      <c r="A94" s="21"/>
      <c r="B94" s="21"/>
      <c r="C94" s="21"/>
      <c r="D94" s="21"/>
      <c r="E94" s="136"/>
      <c r="F94" s="136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>
      <c r="A95" s="21"/>
      <c r="B95" s="21"/>
      <c r="C95" s="21"/>
      <c r="D95" s="21"/>
      <c r="E95" s="136"/>
      <c r="F95" s="136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>
      <c r="A96" s="21"/>
      <c r="B96" s="21"/>
      <c r="C96" s="21"/>
      <c r="D96" s="21"/>
      <c r="E96" s="136"/>
      <c r="F96" s="136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>
      <c r="A97" s="21"/>
      <c r="B97" s="21"/>
      <c r="C97" s="21"/>
      <c r="D97" s="21"/>
      <c r="E97" s="136"/>
      <c r="F97" s="136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>
      <c r="A98" s="21"/>
      <c r="B98" s="21"/>
      <c r="C98" s="21"/>
      <c r="D98" s="21"/>
      <c r="E98" s="136"/>
      <c r="F98" s="136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>
      <c r="A99" s="21"/>
      <c r="B99" s="21"/>
      <c r="C99" s="21"/>
      <c r="D99" s="21"/>
      <c r="E99" s="136"/>
      <c r="F99" s="136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>
      <c r="A100" s="21"/>
      <c r="B100" s="21"/>
      <c r="C100" s="21"/>
      <c r="D100" s="21"/>
      <c r="E100" s="136"/>
      <c r="F100" s="136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>
      <c r="A101" s="21"/>
      <c r="B101" s="21"/>
      <c r="C101" s="21"/>
      <c r="D101" s="21"/>
      <c r="E101" s="136"/>
      <c r="F101" s="136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>
      <c r="A102" s="21"/>
      <c r="B102" s="21"/>
      <c r="C102" s="21"/>
      <c r="D102" s="21"/>
      <c r="E102" s="136"/>
      <c r="F102" s="136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  <row r="103">
      <c r="A103" s="21"/>
      <c r="B103" s="21"/>
      <c r="C103" s="21"/>
      <c r="D103" s="21"/>
      <c r="E103" s="136"/>
      <c r="F103" s="136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</row>
    <row r="104">
      <c r="A104" s="21"/>
      <c r="B104" s="21"/>
      <c r="C104" s="21"/>
      <c r="D104" s="21"/>
      <c r="E104" s="136"/>
      <c r="F104" s="136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</row>
    <row r="105">
      <c r="A105" s="21"/>
      <c r="B105" s="21"/>
      <c r="C105" s="21"/>
      <c r="D105" s="21"/>
      <c r="E105" s="136"/>
      <c r="F105" s="136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</row>
    <row r="106">
      <c r="A106" s="21"/>
      <c r="B106" s="21"/>
      <c r="C106" s="21"/>
      <c r="D106" s="21"/>
      <c r="E106" s="136"/>
      <c r="F106" s="136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</row>
    <row r="107">
      <c r="A107" s="21"/>
      <c r="B107" s="21"/>
      <c r="C107" s="21"/>
      <c r="D107" s="21"/>
      <c r="E107" s="136"/>
      <c r="F107" s="136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</row>
    <row r="108">
      <c r="A108" s="21"/>
      <c r="B108" s="21"/>
      <c r="C108" s="21"/>
      <c r="D108" s="21"/>
      <c r="E108" s="136"/>
      <c r="F108" s="136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</row>
    <row r="109">
      <c r="A109" s="21"/>
      <c r="B109" s="21"/>
      <c r="C109" s="21"/>
      <c r="D109" s="21"/>
      <c r="E109" s="136"/>
      <c r="F109" s="136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</row>
    <row r="110">
      <c r="A110" s="21"/>
      <c r="B110" s="21"/>
      <c r="C110" s="21"/>
      <c r="D110" s="21"/>
      <c r="E110" s="136"/>
      <c r="F110" s="136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</row>
    <row r="111">
      <c r="A111" s="21"/>
      <c r="B111" s="21"/>
      <c r="C111" s="21"/>
      <c r="D111" s="21"/>
      <c r="E111" s="136"/>
      <c r="F111" s="136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</row>
    <row r="112">
      <c r="A112" s="21"/>
      <c r="B112" s="21"/>
      <c r="C112" s="21"/>
      <c r="D112" s="21"/>
      <c r="E112" s="136"/>
      <c r="F112" s="136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</row>
    <row r="113">
      <c r="A113" s="21"/>
      <c r="B113" s="21"/>
      <c r="C113" s="21"/>
      <c r="D113" s="21"/>
      <c r="E113" s="136"/>
      <c r="F113" s="136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</row>
    <row r="114">
      <c r="A114" s="21"/>
      <c r="B114" s="21"/>
      <c r="C114" s="21"/>
      <c r="D114" s="21"/>
      <c r="E114" s="136"/>
      <c r="F114" s="136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</row>
    <row r="115">
      <c r="A115" s="21"/>
      <c r="B115" s="21"/>
      <c r="C115" s="21"/>
      <c r="D115" s="21"/>
      <c r="E115" s="136"/>
      <c r="F115" s="136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</row>
    <row r="116">
      <c r="A116" s="21"/>
      <c r="B116" s="21"/>
      <c r="C116" s="21"/>
      <c r="D116" s="21"/>
      <c r="E116" s="136"/>
      <c r="F116" s="136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</row>
    <row r="117">
      <c r="A117" s="21"/>
      <c r="B117" s="21"/>
      <c r="C117" s="21"/>
      <c r="D117" s="21"/>
      <c r="E117" s="136"/>
      <c r="F117" s="136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</row>
    <row r="118">
      <c r="A118" s="21"/>
      <c r="B118" s="21"/>
      <c r="C118" s="21"/>
      <c r="D118" s="21"/>
      <c r="E118" s="136"/>
      <c r="F118" s="136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</row>
    <row r="119">
      <c r="A119" s="21"/>
      <c r="B119" s="21"/>
      <c r="C119" s="21"/>
      <c r="D119" s="21"/>
      <c r="E119" s="136"/>
      <c r="F119" s="136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</row>
    <row r="120">
      <c r="A120" s="21"/>
      <c r="B120" s="21"/>
      <c r="C120" s="21"/>
      <c r="D120" s="21"/>
      <c r="E120" s="136"/>
      <c r="F120" s="136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</row>
    <row r="121">
      <c r="A121" s="21"/>
      <c r="B121" s="21"/>
      <c r="C121" s="21"/>
      <c r="D121" s="21"/>
      <c r="E121" s="136"/>
      <c r="F121" s="136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</row>
    <row r="122">
      <c r="A122" s="21"/>
      <c r="B122" s="21"/>
      <c r="C122" s="21"/>
      <c r="D122" s="21"/>
      <c r="E122" s="136"/>
      <c r="F122" s="136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</row>
    <row r="123">
      <c r="A123" s="21"/>
      <c r="B123" s="21"/>
      <c r="C123" s="21"/>
      <c r="D123" s="21"/>
      <c r="E123" s="136"/>
      <c r="F123" s="136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</row>
    <row r="124">
      <c r="A124" s="21"/>
      <c r="B124" s="21"/>
      <c r="C124" s="21"/>
      <c r="D124" s="21"/>
      <c r="E124" s="136"/>
      <c r="F124" s="136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</row>
    <row r="125">
      <c r="A125" s="21"/>
      <c r="B125" s="21"/>
      <c r="C125" s="21"/>
      <c r="D125" s="21"/>
      <c r="E125" s="136"/>
      <c r="F125" s="136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</row>
    <row r="126">
      <c r="A126" s="21"/>
      <c r="B126" s="21"/>
      <c r="C126" s="21"/>
      <c r="D126" s="21"/>
      <c r="E126" s="136"/>
      <c r="F126" s="136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</row>
    <row r="127">
      <c r="A127" s="21"/>
      <c r="B127" s="21"/>
      <c r="C127" s="21"/>
      <c r="D127" s="21"/>
      <c r="E127" s="136"/>
      <c r="F127" s="136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</row>
    <row r="128">
      <c r="A128" s="21"/>
      <c r="B128" s="21"/>
      <c r="C128" s="21"/>
      <c r="D128" s="21"/>
      <c r="E128" s="136"/>
      <c r="F128" s="136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</row>
    <row r="129">
      <c r="A129" s="21"/>
      <c r="B129" s="21"/>
      <c r="C129" s="21"/>
      <c r="D129" s="21"/>
      <c r="E129" s="136"/>
      <c r="F129" s="136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</row>
    <row r="130">
      <c r="A130" s="21"/>
      <c r="B130" s="21"/>
      <c r="C130" s="21"/>
      <c r="D130" s="21"/>
      <c r="E130" s="136"/>
      <c r="F130" s="136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</row>
    <row r="131">
      <c r="A131" s="21"/>
      <c r="B131" s="21"/>
      <c r="C131" s="21"/>
      <c r="D131" s="21"/>
      <c r="E131" s="136"/>
      <c r="F131" s="136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</row>
    <row r="132">
      <c r="A132" s="21"/>
      <c r="B132" s="21"/>
      <c r="C132" s="21"/>
      <c r="D132" s="21"/>
      <c r="E132" s="136"/>
      <c r="F132" s="136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</row>
    <row r="133">
      <c r="A133" s="21"/>
      <c r="B133" s="21"/>
      <c r="C133" s="21"/>
      <c r="D133" s="21"/>
      <c r="E133" s="136"/>
      <c r="F133" s="136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</row>
    <row r="134">
      <c r="A134" s="21"/>
      <c r="B134" s="21"/>
      <c r="C134" s="21"/>
      <c r="D134" s="21"/>
      <c r="E134" s="136"/>
      <c r="F134" s="136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</row>
    <row r="135">
      <c r="A135" s="21"/>
      <c r="B135" s="21"/>
      <c r="C135" s="21"/>
      <c r="D135" s="21"/>
      <c r="E135" s="136"/>
      <c r="F135" s="136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</row>
    <row r="136">
      <c r="A136" s="21"/>
      <c r="B136" s="21"/>
      <c r="C136" s="21"/>
      <c r="D136" s="21"/>
      <c r="E136" s="136"/>
      <c r="F136" s="136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</row>
    <row r="137">
      <c r="A137" s="21"/>
      <c r="B137" s="21"/>
      <c r="C137" s="21"/>
      <c r="D137" s="21"/>
      <c r="E137" s="136"/>
      <c r="F137" s="136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</row>
    <row r="138">
      <c r="A138" s="21"/>
      <c r="B138" s="21"/>
      <c r="C138" s="21"/>
      <c r="D138" s="21"/>
      <c r="E138" s="136"/>
      <c r="F138" s="136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</row>
    <row r="139">
      <c r="A139" s="21"/>
      <c r="B139" s="21"/>
      <c r="C139" s="21"/>
      <c r="D139" s="21"/>
      <c r="E139" s="136"/>
      <c r="F139" s="136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</row>
    <row r="140">
      <c r="A140" s="21"/>
      <c r="B140" s="21"/>
      <c r="C140" s="21"/>
      <c r="D140" s="21"/>
      <c r="E140" s="136"/>
      <c r="F140" s="136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</row>
    <row r="141">
      <c r="A141" s="21"/>
      <c r="B141" s="21"/>
      <c r="C141" s="21"/>
      <c r="D141" s="21"/>
      <c r="E141" s="136"/>
      <c r="F141" s="136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</row>
    <row r="142">
      <c r="A142" s="21"/>
      <c r="B142" s="21"/>
      <c r="C142" s="21"/>
      <c r="D142" s="21"/>
      <c r="E142" s="136"/>
      <c r="F142" s="136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</row>
    <row r="143">
      <c r="A143" s="21"/>
      <c r="B143" s="21"/>
      <c r="C143" s="21"/>
      <c r="D143" s="21"/>
      <c r="E143" s="136"/>
      <c r="F143" s="136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</row>
    <row r="144">
      <c r="A144" s="21"/>
      <c r="B144" s="21"/>
      <c r="C144" s="21"/>
      <c r="D144" s="21"/>
      <c r="E144" s="136"/>
      <c r="F144" s="136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</row>
    <row r="145">
      <c r="A145" s="21"/>
      <c r="B145" s="21"/>
      <c r="C145" s="21"/>
      <c r="D145" s="21"/>
      <c r="E145" s="136"/>
      <c r="F145" s="136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</row>
    <row r="146">
      <c r="A146" s="21"/>
      <c r="B146" s="21"/>
      <c r="C146" s="21"/>
      <c r="D146" s="21"/>
      <c r="E146" s="136"/>
      <c r="F146" s="136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</row>
    <row r="147">
      <c r="A147" s="21"/>
      <c r="B147" s="21"/>
      <c r="C147" s="21"/>
      <c r="D147" s="21"/>
      <c r="E147" s="136"/>
      <c r="F147" s="136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</row>
    <row r="148">
      <c r="A148" s="21"/>
      <c r="B148" s="21"/>
      <c r="C148" s="21"/>
      <c r="D148" s="21"/>
      <c r="E148" s="136"/>
      <c r="F148" s="136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</row>
    <row r="149">
      <c r="A149" s="21"/>
      <c r="B149" s="21"/>
      <c r="C149" s="21"/>
      <c r="D149" s="21"/>
      <c r="E149" s="136"/>
      <c r="F149" s="136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</row>
    <row r="150">
      <c r="A150" s="21"/>
      <c r="B150" s="21"/>
      <c r="C150" s="21"/>
      <c r="D150" s="21"/>
      <c r="E150" s="136"/>
      <c r="F150" s="136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</row>
    <row r="151">
      <c r="A151" s="21"/>
      <c r="B151" s="21"/>
      <c r="C151" s="21"/>
      <c r="D151" s="21"/>
      <c r="E151" s="136"/>
      <c r="F151" s="136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</row>
    <row r="152">
      <c r="A152" s="21"/>
      <c r="B152" s="21"/>
      <c r="C152" s="21"/>
      <c r="D152" s="21"/>
      <c r="E152" s="136"/>
      <c r="F152" s="136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</row>
    <row r="153">
      <c r="A153" s="21"/>
      <c r="B153" s="21"/>
      <c r="C153" s="21"/>
      <c r="D153" s="21"/>
      <c r="E153" s="136"/>
      <c r="F153" s="136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</row>
    <row r="154">
      <c r="A154" s="21"/>
      <c r="B154" s="21"/>
      <c r="C154" s="21"/>
      <c r="D154" s="21"/>
      <c r="E154" s="136"/>
      <c r="F154" s="136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</row>
    <row r="155">
      <c r="A155" s="21"/>
      <c r="B155" s="21"/>
      <c r="C155" s="21"/>
      <c r="D155" s="21"/>
      <c r="E155" s="136"/>
      <c r="F155" s="136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</row>
    <row r="156">
      <c r="A156" s="21"/>
      <c r="B156" s="21"/>
      <c r="C156" s="21"/>
      <c r="D156" s="21"/>
      <c r="E156" s="136"/>
      <c r="F156" s="136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</row>
    <row r="157">
      <c r="A157" s="21"/>
      <c r="B157" s="21"/>
      <c r="C157" s="21"/>
      <c r="D157" s="21"/>
      <c r="E157" s="136"/>
      <c r="F157" s="136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</row>
    <row r="158">
      <c r="A158" s="21"/>
      <c r="B158" s="21"/>
      <c r="C158" s="21"/>
      <c r="D158" s="21"/>
      <c r="E158" s="136"/>
      <c r="F158" s="136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</row>
    <row r="159">
      <c r="A159" s="21"/>
      <c r="B159" s="21"/>
      <c r="C159" s="21"/>
      <c r="D159" s="21"/>
      <c r="E159" s="136"/>
      <c r="F159" s="136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</row>
    <row r="160">
      <c r="A160" s="21"/>
      <c r="B160" s="21"/>
      <c r="C160" s="21"/>
      <c r="D160" s="21"/>
      <c r="E160" s="136"/>
      <c r="F160" s="136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</row>
    <row r="161">
      <c r="A161" s="21"/>
      <c r="B161" s="21"/>
      <c r="C161" s="21"/>
      <c r="D161" s="21"/>
      <c r="E161" s="136"/>
      <c r="F161" s="136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</row>
    <row r="162">
      <c r="A162" s="21"/>
      <c r="B162" s="21"/>
      <c r="C162" s="21"/>
      <c r="D162" s="21"/>
      <c r="E162" s="136"/>
      <c r="F162" s="136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</row>
    <row r="163">
      <c r="A163" s="21"/>
      <c r="B163" s="21"/>
      <c r="C163" s="21"/>
      <c r="D163" s="21"/>
      <c r="E163" s="136"/>
      <c r="F163" s="136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</row>
    <row r="164">
      <c r="A164" s="21"/>
      <c r="B164" s="21"/>
      <c r="C164" s="21"/>
      <c r="D164" s="21"/>
      <c r="E164" s="136"/>
      <c r="F164" s="136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</row>
    <row r="165">
      <c r="A165" s="21"/>
      <c r="B165" s="21"/>
      <c r="C165" s="21"/>
      <c r="D165" s="21"/>
      <c r="E165" s="136"/>
      <c r="F165" s="136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</row>
    <row r="166">
      <c r="A166" s="21"/>
      <c r="B166" s="21"/>
      <c r="C166" s="21"/>
      <c r="D166" s="21"/>
      <c r="E166" s="136"/>
      <c r="F166" s="136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</row>
    <row r="167">
      <c r="A167" s="21"/>
      <c r="B167" s="21"/>
      <c r="C167" s="21"/>
      <c r="D167" s="21"/>
      <c r="E167" s="136"/>
      <c r="F167" s="136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</row>
    <row r="168">
      <c r="A168" s="21"/>
      <c r="B168" s="21"/>
      <c r="C168" s="21"/>
      <c r="D168" s="21"/>
      <c r="E168" s="136"/>
      <c r="F168" s="136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</row>
    <row r="169">
      <c r="A169" s="21"/>
      <c r="B169" s="21"/>
      <c r="C169" s="21"/>
      <c r="D169" s="21"/>
      <c r="E169" s="136"/>
      <c r="F169" s="136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</row>
    <row r="170">
      <c r="A170" s="21"/>
      <c r="B170" s="21"/>
      <c r="C170" s="21"/>
      <c r="D170" s="21"/>
      <c r="E170" s="136"/>
      <c r="F170" s="136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</row>
    <row r="171">
      <c r="A171" s="21"/>
      <c r="B171" s="21"/>
      <c r="C171" s="21"/>
      <c r="D171" s="21"/>
      <c r="E171" s="136"/>
      <c r="F171" s="136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</row>
    <row r="172">
      <c r="A172" s="21"/>
      <c r="B172" s="21"/>
      <c r="C172" s="21"/>
      <c r="D172" s="21"/>
      <c r="E172" s="136"/>
      <c r="F172" s="136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</row>
    <row r="173">
      <c r="A173" s="21"/>
      <c r="B173" s="21"/>
      <c r="C173" s="21"/>
      <c r="D173" s="21"/>
      <c r="E173" s="136"/>
      <c r="F173" s="136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</row>
    <row r="174">
      <c r="A174" s="21"/>
      <c r="B174" s="21"/>
      <c r="C174" s="21"/>
      <c r="D174" s="21"/>
      <c r="E174" s="136"/>
      <c r="F174" s="136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</row>
    <row r="175">
      <c r="A175" s="21"/>
      <c r="B175" s="21"/>
      <c r="C175" s="21"/>
      <c r="D175" s="21"/>
      <c r="E175" s="136"/>
      <c r="F175" s="136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</row>
    <row r="176">
      <c r="A176" s="21"/>
      <c r="B176" s="21"/>
      <c r="C176" s="21"/>
      <c r="D176" s="21"/>
      <c r="E176" s="136"/>
      <c r="F176" s="136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</row>
    <row r="177">
      <c r="A177" s="21"/>
      <c r="B177" s="21"/>
      <c r="C177" s="21"/>
      <c r="D177" s="21"/>
      <c r="E177" s="136"/>
      <c r="F177" s="136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</row>
    <row r="178">
      <c r="A178" s="21"/>
      <c r="B178" s="21"/>
      <c r="C178" s="21"/>
      <c r="D178" s="21"/>
      <c r="E178" s="136"/>
      <c r="F178" s="136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</row>
    <row r="179">
      <c r="A179" s="21"/>
      <c r="B179" s="21"/>
      <c r="C179" s="21"/>
      <c r="D179" s="21"/>
      <c r="E179" s="136"/>
      <c r="F179" s="136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</row>
    <row r="180">
      <c r="A180" s="21"/>
      <c r="B180" s="21"/>
      <c r="C180" s="21"/>
      <c r="D180" s="21"/>
      <c r="E180" s="136"/>
      <c r="F180" s="136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</row>
    <row r="181">
      <c r="A181" s="21"/>
      <c r="B181" s="21"/>
      <c r="C181" s="21"/>
      <c r="D181" s="21"/>
      <c r="E181" s="136"/>
      <c r="F181" s="136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</row>
    <row r="182">
      <c r="A182" s="21"/>
      <c r="B182" s="21"/>
      <c r="C182" s="21"/>
      <c r="D182" s="21"/>
      <c r="E182" s="136"/>
      <c r="F182" s="136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</row>
    <row r="183">
      <c r="A183" s="21"/>
      <c r="B183" s="21"/>
      <c r="C183" s="21"/>
      <c r="D183" s="21"/>
      <c r="E183" s="136"/>
      <c r="F183" s="136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</row>
    <row r="184">
      <c r="A184" s="21"/>
      <c r="B184" s="21"/>
      <c r="C184" s="21"/>
      <c r="D184" s="21"/>
      <c r="E184" s="136"/>
      <c r="F184" s="136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</row>
    <row r="185">
      <c r="A185" s="21"/>
      <c r="B185" s="21"/>
      <c r="C185" s="21"/>
      <c r="D185" s="21"/>
      <c r="E185" s="136"/>
      <c r="F185" s="136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</row>
    <row r="186">
      <c r="A186" s="21"/>
      <c r="B186" s="21"/>
      <c r="C186" s="21"/>
      <c r="D186" s="21"/>
      <c r="E186" s="136"/>
      <c r="F186" s="136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</row>
    <row r="187">
      <c r="A187" s="21"/>
      <c r="B187" s="21"/>
      <c r="C187" s="21"/>
      <c r="D187" s="21"/>
      <c r="E187" s="136"/>
      <c r="F187" s="136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</row>
    <row r="188">
      <c r="A188" s="21"/>
      <c r="B188" s="21"/>
      <c r="C188" s="21"/>
      <c r="D188" s="21"/>
      <c r="E188" s="136"/>
      <c r="F188" s="136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</row>
    <row r="189">
      <c r="A189" s="21"/>
      <c r="B189" s="21"/>
      <c r="C189" s="21"/>
      <c r="D189" s="21"/>
      <c r="E189" s="136"/>
      <c r="F189" s="136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</row>
    <row r="190">
      <c r="A190" s="21"/>
      <c r="B190" s="21"/>
      <c r="C190" s="21"/>
      <c r="D190" s="21"/>
      <c r="E190" s="136"/>
      <c r="F190" s="136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</row>
    <row r="191">
      <c r="A191" s="21"/>
      <c r="B191" s="21"/>
      <c r="C191" s="21"/>
      <c r="D191" s="21"/>
      <c r="E191" s="136"/>
      <c r="F191" s="136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</row>
    <row r="192">
      <c r="A192" s="21"/>
      <c r="B192" s="21"/>
      <c r="C192" s="21"/>
      <c r="D192" s="21"/>
      <c r="E192" s="136"/>
      <c r="F192" s="136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</row>
    <row r="193">
      <c r="A193" s="21"/>
      <c r="B193" s="21"/>
      <c r="C193" s="21"/>
      <c r="D193" s="21"/>
      <c r="E193" s="136"/>
      <c r="F193" s="136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</row>
    <row r="194">
      <c r="A194" s="21"/>
      <c r="B194" s="21"/>
      <c r="C194" s="21"/>
      <c r="D194" s="21"/>
      <c r="E194" s="136"/>
      <c r="F194" s="136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</row>
    <row r="195">
      <c r="A195" s="21"/>
      <c r="B195" s="21"/>
      <c r="C195" s="21"/>
      <c r="D195" s="21"/>
      <c r="E195" s="136"/>
      <c r="F195" s="136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</row>
    <row r="196">
      <c r="A196" s="21"/>
      <c r="B196" s="21"/>
      <c r="C196" s="21"/>
      <c r="D196" s="21"/>
      <c r="E196" s="136"/>
      <c r="F196" s="136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</row>
    <row r="197">
      <c r="A197" s="21"/>
      <c r="B197" s="21"/>
      <c r="C197" s="21"/>
      <c r="D197" s="21"/>
      <c r="E197" s="136"/>
      <c r="F197" s="136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</row>
    <row r="198">
      <c r="A198" s="21"/>
      <c r="B198" s="21"/>
      <c r="C198" s="21"/>
      <c r="D198" s="21"/>
      <c r="E198" s="136"/>
      <c r="F198" s="136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</row>
    <row r="199">
      <c r="A199" s="21"/>
      <c r="B199" s="21"/>
      <c r="C199" s="21"/>
      <c r="D199" s="21"/>
      <c r="E199" s="136"/>
      <c r="F199" s="136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</row>
    <row r="200">
      <c r="A200" s="21"/>
      <c r="B200" s="21"/>
      <c r="C200" s="21"/>
      <c r="D200" s="21"/>
      <c r="E200" s="136"/>
      <c r="F200" s="136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</row>
    <row r="201">
      <c r="A201" s="21"/>
      <c r="B201" s="21"/>
      <c r="C201" s="21"/>
      <c r="D201" s="21"/>
      <c r="E201" s="136"/>
      <c r="F201" s="136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</row>
    <row r="202">
      <c r="A202" s="21"/>
      <c r="B202" s="21"/>
      <c r="C202" s="21"/>
      <c r="D202" s="21"/>
      <c r="E202" s="136"/>
      <c r="F202" s="136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</row>
    <row r="203">
      <c r="A203" s="21"/>
      <c r="B203" s="21"/>
      <c r="C203" s="21"/>
      <c r="D203" s="21"/>
      <c r="E203" s="136"/>
      <c r="F203" s="136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</row>
    <row r="204">
      <c r="A204" s="21"/>
      <c r="B204" s="21"/>
      <c r="C204" s="21"/>
      <c r="D204" s="21"/>
      <c r="E204" s="136"/>
      <c r="F204" s="136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</row>
    <row r="205">
      <c r="A205" s="21"/>
      <c r="B205" s="21"/>
      <c r="C205" s="21"/>
      <c r="D205" s="21"/>
      <c r="E205" s="136"/>
      <c r="F205" s="136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</row>
    <row r="206">
      <c r="A206" s="21"/>
      <c r="B206" s="21"/>
      <c r="C206" s="21"/>
      <c r="D206" s="21"/>
      <c r="E206" s="136"/>
      <c r="F206" s="136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</row>
    <row r="207">
      <c r="A207" s="21"/>
      <c r="B207" s="21"/>
      <c r="C207" s="21"/>
      <c r="D207" s="21"/>
      <c r="E207" s="136"/>
      <c r="F207" s="136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</row>
    <row r="208">
      <c r="A208" s="21"/>
      <c r="B208" s="21"/>
      <c r="C208" s="21"/>
      <c r="D208" s="21"/>
      <c r="E208" s="136"/>
      <c r="F208" s="136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</row>
    <row r="209">
      <c r="A209" s="21"/>
      <c r="B209" s="21"/>
      <c r="C209" s="21"/>
      <c r="D209" s="21"/>
      <c r="E209" s="136"/>
      <c r="F209" s="136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</row>
    <row r="210">
      <c r="A210" s="21"/>
      <c r="B210" s="21"/>
      <c r="C210" s="21"/>
      <c r="D210" s="21"/>
      <c r="E210" s="136"/>
      <c r="F210" s="136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</row>
    <row r="211">
      <c r="A211" s="21"/>
      <c r="B211" s="21"/>
      <c r="C211" s="21"/>
      <c r="D211" s="21"/>
      <c r="E211" s="136"/>
      <c r="F211" s="136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</row>
    <row r="212">
      <c r="A212" s="21"/>
      <c r="B212" s="21"/>
      <c r="C212" s="21"/>
      <c r="D212" s="21"/>
      <c r="E212" s="136"/>
      <c r="F212" s="136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</row>
    <row r="213">
      <c r="A213" s="21"/>
      <c r="B213" s="21"/>
      <c r="C213" s="21"/>
      <c r="D213" s="21"/>
      <c r="E213" s="136"/>
      <c r="F213" s="136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</row>
    <row r="214">
      <c r="A214" s="21"/>
      <c r="B214" s="21"/>
      <c r="C214" s="21"/>
      <c r="D214" s="21"/>
      <c r="E214" s="136"/>
      <c r="F214" s="136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</row>
    <row r="215">
      <c r="A215" s="21"/>
      <c r="B215" s="21"/>
      <c r="C215" s="21"/>
      <c r="D215" s="21"/>
      <c r="E215" s="136"/>
      <c r="F215" s="136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</row>
    <row r="216">
      <c r="A216" s="21"/>
      <c r="B216" s="21"/>
      <c r="C216" s="21"/>
      <c r="D216" s="21"/>
      <c r="E216" s="136"/>
      <c r="F216" s="136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</row>
    <row r="217">
      <c r="A217" s="21"/>
      <c r="B217" s="21"/>
      <c r="C217" s="21"/>
      <c r="D217" s="21"/>
      <c r="E217" s="136"/>
      <c r="F217" s="136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</row>
    <row r="218">
      <c r="A218" s="21"/>
      <c r="B218" s="21"/>
      <c r="C218" s="21"/>
      <c r="D218" s="21"/>
      <c r="E218" s="136"/>
      <c r="F218" s="136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</row>
    <row r="219">
      <c r="A219" s="21"/>
      <c r="B219" s="21"/>
      <c r="C219" s="21"/>
      <c r="D219" s="21"/>
      <c r="E219" s="136"/>
      <c r="F219" s="136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</row>
    <row r="220">
      <c r="A220" s="21"/>
      <c r="B220" s="21"/>
      <c r="C220" s="21"/>
      <c r="D220" s="21"/>
      <c r="E220" s="136"/>
      <c r="F220" s="136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</row>
    <row r="221">
      <c r="A221" s="21"/>
      <c r="B221" s="21"/>
      <c r="C221" s="21"/>
      <c r="D221" s="21"/>
      <c r="E221" s="136"/>
      <c r="F221" s="136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</row>
    <row r="222">
      <c r="A222" s="21"/>
      <c r="B222" s="21"/>
      <c r="C222" s="21"/>
      <c r="D222" s="21"/>
      <c r="E222" s="136"/>
      <c r="F222" s="136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</row>
    <row r="223">
      <c r="A223" s="21"/>
      <c r="B223" s="21"/>
      <c r="C223" s="21"/>
      <c r="D223" s="21"/>
      <c r="E223" s="136"/>
      <c r="F223" s="136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</row>
    <row r="224">
      <c r="A224" s="21"/>
      <c r="B224" s="21"/>
      <c r="C224" s="21"/>
      <c r="D224" s="21"/>
      <c r="E224" s="136"/>
      <c r="F224" s="136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</row>
    <row r="225">
      <c r="A225" s="21"/>
      <c r="B225" s="21"/>
      <c r="C225" s="21"/>
      <c r="D225" s="21"/>
      <c r="E225" s="136"/>
      <c r="F225" s="136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</row>
    <row r="226">
      <c r="A226" s="21"/>
      <c r="B226" s="21"/>
      <c r="C226" s="21"/>
      <c r="D226" s="21"/>
      <c r="E226" s="136"/>
      <c r="F226" s="136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</row>
    <row r="227">
      <c r="A227" s="21"/>
      <c r="B227" s="21"/>
      <c r="C227" s="21"/>
      <c r="D227" s="21"/>
      <c r="E227" s="136"/>
      <c r="F227" s="136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</row>
    <row r="228">
      <c r="A228" s="21"/>
      <c r="B228" s="21"/>
      <c r="C228" s="21"/>
      <c r="D228" s="21"/>
      <c r="E228" s="136"/>
      <c r="F228" s="136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</row>
    <row r="229">
      <c r="A229" s="21"/>
      <c r="B229" s="21"/>
      <c r="C229" s="21"/>
      <c r="D229" s="21"/>
      <c r="E229" s="136"/>
      <c r="F229" s="136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</row>
    <row r="230">
      <c r="A230" s="21"/>
      <c r="B230" s="21"/>
      <c r="C230" s="21"/>
      <c r="D230" s="21"/>
      <c r="E230" s="136"/>
      <c r="F230" s="136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</row>
    <row r="231">
      <c r="A231" s="21"/>
      <c r="B231" s="21"/>
      <c r="C231" s="21"/>
      <c r="D231" s="21"/>
      <c r="E231" s="136"/>
      <c r="F231" s="136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</row>
    <row r="232">
      <c r="A232" s="21"/>
      <c r="B232" s="21"/>
      <c r="C232" s="21"/>
      <c r="D232" s="21"/>
      <c r="E232" s="136"/>
      <c r="F232" s="136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</row>
    <row r="233">
      <c r="A233" s="21"/>
      <c r="B233" s="21"/>
      <c r="C233" s="21"/>
      <c r="D233" s="21"/>
      <c r="E233" s="136"/>
      <c r="F233" s="136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</row>
    <row r="234">
      <c r="A234" s="21"/>
      <c r="B234" s="21"/>
      <c r="C234" s="21"/>
      <c r="D234" s="21"/>
      <c r="E234" s="136"/>
      <c r="F234" s="136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</row>
    <row r="235">
      <c r="A235" s="21"/>
      <c r="B235" s="21"/>
      <c r="C235" s="21"/>
      <c r="D235" s="21"/>
      <c r="E235" s="136"/>
      <c r="F235" s="136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</row>
    <row r="236">
      <c r="A236" s="21"/>
      <c r="B236" s="21"/>
      <c r="C236" s="21"/>
      <c r="D236" s="21"/>
      <c r="E236" s="136"/>
      <c r="F236" s="136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</row>
    <row r="237">
      <c r="A237" s="21"/>
      <c r="B237" s="21"/>
      <c r="C237" s="21"/>
      <c r="D237" s="21"/>
      <c r="E237" s="136"/>
      <c r="F237" s="136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</row>
    <row r="238">
      <c r="A238" s="21"/>
      <c r="B238" s="21"/>
      <c r="C238" s="21"/>
      <c r="D238" s="21"/>
      <c r="E238" s="136"/>
      <c r="F238" s="136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</row>
    <row r="239">
      <c r="A239" s="21"/>
      <c r="B239" s="21"/>
      <c r="C239" s="21"/>
      <c r="D239" s="21"/>
      <c r="E239" s="136"/>
      <c r="F239" s="136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</row>
    <row r="240">
      <c r="A240" s="21"/>
      <c r="B240" s="21"/>
      <c r="C240" s="21"/>
      <c r="D240" s="21"/>
      <c r="E240" s="136"/>
      <c r="F240" s="136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</row>
    <row r="241">
      <c r="A241" s="21"/>
      <c r="B241" s="21"/>
      <c r="C241" s="21"/>
      <c r="D241" s="21"/>
      <c r="E241" s="136"/>
      <c r="F241" s="136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</row>
    <row r="242">
      <c r="A242" s="21"/>
      <c r="B242" s="21"/>
      <c r="C242" s="21"/>
      <c r="D242" s="21"/>
      <c r="E242" s="136"/>
      <c r="F242" s="136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</row>
    <row r="243">
      <c r="A243" s="21"/>
      <c r="B243" s="21"/>
      <c r="C243" s="21"/>
      <c r="D243" s="21"/>
      <c r="E243" s="136"/>
      <c r="F243" s="136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</row>
    <row r="244">
      <c r="A244" s="21"/>
      <c r="B244" s="21"/>
      <c r="C244" s="21"/>
      <c r="D244" s="21"/>
      <c r="E244" s="136"/>
      <c r="F244" s="136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</row>
    <row r="245">
      <c r="A245" s="21"/>
      <c r="B245" s="21"/>
      <c r="C245" s="21"/>
      <c r="D245" s="21"/>
      <c r="E245" s="136"/>
      <c r="F245" s="136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</row>
    <row r="246">
      <c r="A246" s="21"/>
      <c r="B246" s="21"/>
      <c r="C246" s="21"/>
      <c r="D246" s="21"/>
      <c r="E246" s="136"/>
      <c r="F246" s="136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</row>
    <row r="247">
      <c r="A247" s="21"/>
      <c r="B247" s="21"/>
      <c r="C247" s="21"/>
      <c r="D247" s="21"/>
      <c r="E247" s="136"/>
      <c r="F247" s="136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</row>
    <row r="248">
      <c r="A248" s="21"/>
      <c r="B248" s="21"/>
      <c r="C248" s="21"/>
      <c r="D248" s="21"/>
      <c r="E248" s="136"/>
      <c r="F248" s="136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</row>
    <row r="249">
      <c r="A249" s="21"/>
      <c r="B249" s="21"/>
      <c r="C249" s="21"/>
      <c r="D249" s="21"/>
      <c r="E249" s="136"/>
      <c r="F249" s="136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</row>
    <row r="250">
      <c r="A250" s="21"/>
      <c r="B250" s="21"/>
      <c r="C250" s="21"/>
      <c r="D250" s="21"/>
      <c r="E250" s="136"/>
      <c r="F250" s="136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</row>
    <row r="251">
      <c r="A251" s="21"/>
      <c r="B251" s="21"/>
      <c r="C251" s="21"/>
      <c r="D251" s="21"/>
      <c r="E251" s="136"/>
      <c r="F251" s="136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</row>
    <row r="252">
      <c r="A252" s="21"/>
      <c r="B252" s="21"/>
      <c r="C252" s="21"/>
      <c r="D252" s="21"/>
      <c r="E252" s="136"/>
      <c r="F252" s="136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</row>
    <row r="253">
      <c r="A253" s="21"/>
      <c r="B253" s="21"/>
      <c r="C253" s="21"/>
      <c r="D253" s="21"/>
      <c r="E253" s="136"/>
      <c r="F253" s="136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</row>
    <row r="254">
      <c r="A254" s="21"/>
      <c r="B254" s="21"/>
      <c r="C254" s="21"/>
      <c r="D254" s="21"/>
      <c r="E254" s="136"/>
      <c r="F254" s="136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</row>
    <row r="255">
      <c r="A255" s="21"/>
      <c r="B255" s="21"/>
      <c r="C255" s="21"/>
      <c r="D255" s="21"/>
      <c r="E255" s="136"/>
      <c r="F255" s="136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</row>
    <row r="256">
      <c r="A256" s="21"/>
      <c r="B256" s="21"/>
      <c r="C256" s="21"/>
      <c r="D256" s="21"/>
      <c r="E256" s="136"/>
      <c r="F256" s="136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</row>
    <row r="257">
      <c r="A257" s="21"/>
      <c r="B257" s="21"/>
      <c r="C257" s="21"/>
      <c r="D257" s="21"/>
      <c r="E257" s="136"/>
      <c r="F257" s="136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</row>
    <row r="258">
      <c r="A258" s="21"/>
      <c r="B258" s="21"/>
      <c r="C258" s="21"/>
      <c r="D258" s="21"/>
      <c r="E258" s="136"/>
      <c r="F258" s="136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</row>
    <row r="259">
      <c r="A259" s="21"/>
      <c r="B259" s="21"/>
      <c r="C259" s="21"/>
      <c r="D259" s="21"/>
      <c r="E259" s="136"/>
      <c r="F259" s="136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</row>
    <row r="260">
      <c r="A260" s="21"/>
      <c r="B260" s="21"/>
      <c r="C260" s="21"/>
      <c r="D260" s="21"/>
      <c r="E260" s="136"/>
      <c r="F260" s="136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</row>
    <row r="261">
      <c r="A261" s="21"/>
      <c r="B261" s="21"/>
      <c r="C261" s="21"/>
      <c r="D261" s="21"/>
      <c r="E261" s="136"/>
      <c r="F261" s="136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</row>
    <row r="262">
      <c r="A262" s="21"/>
      <c r="B262" s="21"/>
      <c r="C262" s="21"/>
      <c r="D262" s="21"/>
      <c r="E262" s="136"/>
      <c r="F262" s="136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</row>
    <row r="263">
      <c r="A263" s="21"/>
      <c r="B263" s="21"/>
      <c r="C263" s="21"/>
      <c r="D263" s="21"/>
      <c r="E263" s="136"/>
      <c r="F263" s="136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</row>
    <row r="264">
      <c r="A264" s="21"/>
      <c r="B264" s="21"/>
      <c r="C264" s="21"/>
      <c r="D264" s="21"/>
      <c r="E264" s="136"/>
      <c r="F264" s="136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</row>
    <row r="265">
      <c r="A265" s="21"/>
      <c r="B265" s="21"/>
      <c r="C265" s="21"/>
      <c r="D265" s="21"/>
      <c r="E265" s="136"/>
      <c r="F265" s="136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</row>
    <row r="266">
      <c r="A266" s="21"/>
      <c r="B266" s="21"/>
      <c r="C266" s="21"/>
      <c r="D266" s="21"/>
      <c r="E266" s="136"/>
      <c r="F266" s="136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</row>
    <row r="267">
      <c r="A267" s="21"/>
      <c r="B267" s="21"/>
      <c r="C267" s="21"/>
      <c r="D267" s="21"/>
      <c r="E267" s="136"/>
      <c r="F267" s="136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</row>
    <row r="268">
      <c r="A268" s="21"/>
      <c r="B268" s="21"/>
      <c r="C268" s="21"/>
      <c r="D268" s="21"/>
      <c r="E268" s="136"/>
      <c r="F268" s="136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</row>
    <row r="269">
      <c r="A269" s="21"/>
      <c r="B269" s="21"/>
      <c r="C269" s="21"/>
      <c r="D269" s="21"/>
      <c r="E269" s="136"/>
      <c r="F269" s="136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</row>
    <row r="270">
      <c r="A270" s="21"/>
      <c r="B270" s="21"/>
      <c r="C270" s="21"/>
      <c r="D270" s="21"/>
      <c r="E270" s="136"/>
      <c r="F270" s="136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</row>
    <row r="271">
      <c r="A271" s="21"/>
      <c r="B271" s="21"/>
      <c r="C271" s="21"/>
      <c r="D271" s="21"/>
      <c r="E271" s="136"/>
      <c r="F271" s="136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</row>
    <row r="272">
      <c r="A272" s="21"/>
      <c r="B272" s="21"/>
      <c r="C272" s="21"/>
      <c r="D272" s="21"/>
      <c r="E272" s="136"/>
      <c r="F272" s="136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</row>
    <row r="273">
      <c r="A273" s="21"/>
      <c r="B273" s="21"/>
      <c r="C273" s="21"/>
      <c r="D273" s="21"/>
      <c r="E273" s="136"/>
      <c r="F273" s="136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</row>
    <row r="274">
      <c r="A274" s="21"/>
      <c r="B274" s="21"/>
      <c r="C274" s="21"/>
      <c r="D274" s="21"/>
      <c r="E274" s="136"/>
      <c r="F274" s="136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</row>
    <row r="275">
      <c r="A275" s="21"/>
      <c r="B275" s="21"/>
      <c r="C275" s="21"/>
      <c r="D275" s="21"/>
      <c r="E275" s="136"/>
      <c r="F275" s="136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</row>
    <row r="276">
      <c r="A276" s="21"/>
      <c r="B276" s="21"/>
      <c r="C276" s="21"/>
      <c r="D276" s="21"/>
      <c r="E276" s="136"/>
      <c r="F276" s="136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</row>
    <row r="277">
      <c r="A277" s="21"/>
      <c r="B277" s="21"/>
      <c r="C277" s="21"/>
      <c r="D277" s="21"/>
      <c r="E277" s="136"/>
      <c r="F277" s="136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</row>
    <row r="278">
      <c r="A278" s="21"/>
      <c r="B278" s="21"/>
      <c r="C278" s="21"/>
      <c r="D278" s="21"/>
      <c r="E278" s="136"/>
      <c r="F278" s="136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</row>
    <row r="279">
      <c r="A279" s="21"/>
      <c r="B279" s="21"/>
      <c r="C279" s="21"/>
      <c r="D279" s="21"/>
      <c r="E279" s="136"/>
      <c r="F279" s="136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</row>
    <row r="280">
      <c r="A280" s="21"/>
      <c r="B280" s="21"/>
      <c r="C280" s="21"/>
      <c r="D280" s="21"/>
      <c r="E280" s="136"/>
      <c r="F280" s="136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</row>
    <row r="281">
      <c r="A281" s="21"/>
      <c r="B281" s="21"/>
      <c r="C281" s="21"/>
      <c r="D281" s="21"/>
      <c r="E281" s="136"/>
      <c r="F281" s="136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</row>
    <row r="282">
      <c r="A282" s="21"/>
      <c r="B282" s="21"/>
      <c r="C282" s="21"/>
      <c r="D282" s="21"/>
      <c r="E282" s="136"/>
      <c r="F282" s="136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</row>
    <row r="283">
      <c r="A283" s="21"/>
      <c r="B283" s="21"/>
      <c r="C283" s="21"/>
      <c r="D283" s="21"/>
      <c r="E283" s="136"/>
      <c r="F283" s="136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</row>
    <row r="284">
      <c r="A284" s="21"/>
      <c r="B284" s="21"/>
      <c r="C284" s="21"/>
      <c r="D284" s="21"/>
      <c r="E284" s="136"/>
      <c r="F284" s="136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</row>
    <row r="285">
      <c r="A285" s="21"/>
      <c r="B285" s="21"/>
      <c r="C285" s="21"/>
      <c r="D285" s="21"/>
      <c r="E285" s="136"/>
      <c r="F285" s="136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</row>
    <row r="286">
      <c r="A286" s="21"/>
      <c r="B286" s="21"/>
      <c r="C286" s="21"/>
      <c r="D286" s="21"/>
      <c r="E286" s="136"/>
      <c r="F286" s="136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</row>
    <row r="287">
      <c r="A287" s="21"/>
      <c r="B287" s="21"/>
      <c r="C287" s="21"/>
      <c r="D287" s="21"/>
      <c r="E287" s="136"/>
      <c r="F287" s="136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</row>
    <row r="288">
      <c r="A288" s="21"/>
      <c r="B288" s="21"/>
      <c r="C288" s="21"/>
      <c r="D288" s="21"/>
      <c r="E288" s="136"/>
      <c r="F288" s="136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</row>
    <row r="289">
      <c r="A289" s="21"/>
      <c r="B289" s="21"/>
      <c r="C289" s="21"/>
      <c r="D289" s="21"/>
      <c r="E289" s="136"/>
      <c r="F289" s="136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</row>
    <row r="290">
      <c r="A290" s="21"/>
      <c r="B290" s="21"/>
      <c r="C290" s="21"/>
      <c r="D290" s="21"/>
      <c r="E290" s="136"/>
      <c r="F290" s="136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</row>
    <row r="291">
      <c r="A291" s="21"/>
      <c r="B291" s="21"/>
      <c r="C291" s="21"/>
      <c r="D291" s="21"/>
      <c r="E291" s="136"/>
      <c r="F291" s="136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</row>
    <row r="292">
      <c r="A292" s="21"/>
      <c r="B292" s="21"/>
      <c r="C292" s="21"/>
      <c r="D292" s="21"/>
      <c r="E292" s="136"/>
      <c r="F292" s="136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</row>
    <row r="293">
      <c r="A293" s="21"/>
      <c r="B293" s="21"/>
      <c r="C293" s="21"/>
      <c r="D293" s="21"/>
      <c r="E293" s="136"/>
      <c r="F293" s="136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</row>
    <row r="294">
      <c r="A294" s="21"/>
      <c r="B294" s="21"/>
      <c r="C294" s="21"/>
      <c r="D294" s="21"/>
      <c r="E294" s="136"/>
      <c r="F294" s="136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</row>
    <row r="295">
      <c r="A295" s="21"/>
      <c r="B295" s="21"/>
      <c r="C295" s="21"/>
      <c r="D295" s="21"/>
      <c r="E295" s="136"/>
      <c r="F295" s="136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</row>
    <row r="296">
      <c r="A296" s="21"/>
      <c r="B296" s="21"/>
      <c r="C296" s="21"/>
      <c r="D296" s="21"/>
      <c r="E296" s="136"/>
      <c r="F296" s="136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</row>
    <row r="297">
      <c r="A297" s="21"/>
      <c r="B297" s="21"/>
      <c r="C297" s="21"/>
      <c r="D297" s="21"/>
      <c r="E297" s="136"/>
      <c r="F297" s="136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</row>
    <row r="298">
      <c r="A298" s="21"/>
      <c r="B298" s="21"/>
      <c r="C298" s="21"/>
      <c r="D298" s="21"/>
      <c r="E298" s="136"/>
      <c r="F298" s="136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</row>
    <row r="299">
      <c r="A299" s="21"/>
      <c r="B299" s="21"/>
      <c r="C299" s="21"/>
      <c r="D299" s="21"/>
      <c r="E299" s="136"/>
      <c r="F299" s="136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</row>
    <row r="300">
      <c r="A300" s="21"/>
      <c r="B300" s="21"/>
      <c r="C300" s="21"/>
      <c r="D300" s="21"/>
      <c r="E300" s="136"/>
      <c r="F300" s="136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</row>
    <row r="301">
      <c r="A301" s="21"/>
      <c r="B301" s="21"/>
      <c r="C301" s="21"/>
      <c r="D301" s="21"/>
      <c r="E301" s="136"/>
      <c r="F301" s="136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</row>
    <row r="302">
      <c r="A302" s="21"/>
      <c r="B302" s="21"/>
      <c r="C302" s="21"/>
      <c r="D302" s="21"/>
      <c r="E302" s="136"/>
      <c r="F302" s="136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</row>
    <row r="303">
      <c r="A303" s="21"/>
      <c r="B303" s="21"/>
      <c r="C303" s="21"/>
      <c r="D303" s="21"/>
      <c r="E303" s="136"/>
      <c r="F303" s="136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</row>
    <row r="304">
      <c r="A304" s="21"/>
      <c r="B304" s="21"/>
      <c r="C304" s="21"/>
      <c r="D304" s="21"/>
      <c r="E304" s="136"/>
      <c r="F304" s="136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</row>
    <row r="305">
      <c r="A305" s="21"/>
      <c r="B305" s="21"/>
      <c r="C305" s="21"/>
      <c r="D305" s="21"/>
      <c r="E305" s="136"/>
      <c r="F305" s="136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</row>
    <row r="306">
      <c r="A306" s="21"/>
      <c r="B306" s="21"/>
      <c r="C306" s="21"/>
      <c r="D306" s="21"/>
      <c r="E306" s="136"/>
      <c r="F306" s="136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</row>
    <row r="307">
      <c r="A307" s="21"/>
      <c r="B307" s="21"/>
      <c r="C307" s="21"/>
      <c r="D307" s="21"/>
      <c r="E307" s="136"/>
      <c r="F307" s="136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</row>
    <row r="308">
      <c r="A308" s="21"/>
      <c r="B308" s="21"/>
      <c r="C308" s="21"/>
      <c r="D308" s="21"/>
      <c r="E308" s="136"/>
      <c r="F308" s="136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</row>
    <row r="309">
      <c r="A309" s="21"/>
      <c r="B309" s="21"/>
      <c r="C309" s="21"/>
      <c r="D309" s="21"/>
      <c r="E309" s="136"/>
      <c r="F309" s="136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</row>
    <row r="310">
      <c r="A310" s="21"/>
      <c r="B310" s="21"/>
      <c r="C310" s="21"/>
      <c r="D310" s="21"/>
      <c r="E310" s="136"/>
      <c r="F310" s="136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</row>
    <row r="311">
      <c r="A311" s="21"/>
      <c r="B311" s="21"/>
      <c r="C311" s="21"/>
      <c r="D311" s="21"/>
      <c r="E311" s="136"/>
      <c r="F311" s="136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</row>
    <row r="312">
      <c r="A312" s="21"/>
      <c r="B312" s="21"/>
      <c r="C312" s="21"/>
      <c r="D312" s="21"/>
      <c r="E312" s="136"/>
      <c r="F312" s="136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</row>
    <row r="313">
      <c r="A313" s="21"/>
      <c r="B313" s="21"/>
      <c r="C313" s="21"/>
      <c r="D313" s="21"/>
      <c r="E313" s="136"/>
      <c r="F313" s="136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</row>
    <row r="314">
      <c r="A314" s="21"/>
      <c r="B314" s="21"/>
      <c r="C314" s="21"/>
      <c r="D314" s="21"/>
      <c r="E314" s="136"/>
      <c r="F314" s="136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</row>
    <row r="315">
      <c r="A315" s="21"/>
      <c r="B315" s="21"/>
      <c r="C315" s="21"/>
      <c r="D315" s="21"/>
      <c r="E315" s="136"/>
      <c r="F315" s="136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</row>
    <row r="316">
      <c r="A316" s="21"/>
      <c r="B316" s="21"/>
      <c r="C316" s="21"/>
      <c r="D316" s="21"/>
      <c r="E316" s="136"/>
      <c r="F316" s="136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</row>
    <row r="317">
      <c r="A317" s="21"/>
      <c r="B317" s="21"/>
      <c r="C317" s="21"/>
      <c r="D317" s="21"/>
      <c r="E317" s="136"/>
      <c r="F317" s="136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</row>
    <row r="318">
      <c r="A318" s="21"/>
      <c r="B318" s="21"/>
      <c r="C318" s="21"/>
      <c r="D318" s="21"/>
      <c r="E318" s="136"/>
      <c r="F318" s="136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</row>
    <row r="319">
      <c r="A319" s="21"/>
      <c r="B319" s="21"/>
      <c r="C319" s="21"/>
      <c r="D319" s="21"/>
      <c r="E319" s="136"/>
      <c r="F319" s="136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</row>
    <row r="320">
      <c r="A320" s="21"/>
      <c r="B320" s="21"/>
      <c r="C320" s="21"/>
      <c r="D320" s="21"/>
      <c r="E320" s="136"/>
      <c r="F320" s="136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</row>
    <row r="321">
      <c r="A321" s="21"/>
      <c r="B321" s="21"/>
      <c r="C321" s="21"/>
      <c r="D321" s="21"/>
      <c r="E321" s="136"/>
      <c r="F321" s="136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</row>
    <row r="322">
      <c r="A322" s="21"/>
      <c r="B322" s="21"/>
      <c r="C322" s="21"/>
      <c r="D322" s="21"/>
      <c r="E322" s="136"/>
      <c r="F322" s="136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</row>
    <row r="323">
      <c r="A323" s="21"/>
      <c r="B323" s="21"/>
      <c r="C323" s="21"/>
      <c r="D323" s="21"/>
      <c r="E323" s="136"/>
      <c r="F323" s="136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</row>
    <row r="324">
      <c r="A324" s="21"/>
      <c r="B324" s="21"/>
      <c r="C324" s="21"/>
      <c r="D324" s="21"/>
      <c r="E324" s="136"/>
      <c r="F324" s="136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</row>
    <row r="325">
      <c r="A325" s="21"/>
      <c r="B325" s="21"/>
      <c r="C325" s="21"/>
      <c r="D325" s="21"/>
      <c r="E325" s="136"/>
      <c r="F325" s="136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</row>
    <row r="326">
      <c r="A326" s="21"/>
      <c r="B326" s="21"/>
      <c r="C326" s="21"/>
      <c r="D326" s="21"/>
      <c r="E326" s="136"/>
      <c r="F326" s="136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</row>
    <row r="327">
      <c r="A327" s="21"/>
      <c r="B327" s="21"/>
      <c r="C327" s="21"/>
      <c r="D327" s="21"/>
      <c r="E327" s="136"/>
      <c r="F327" s="136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</row>
    <row r="328">
      <c r="A328" s="21"/>
      <c r="B328" s="21"/>
      <c r="C328" s="21"/>
      <c r="D328" s="21"/>
      <c r="E328" s="136"/>
      <c r="F328" s="136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</row>
    <row r="329">
      <c r="A329" s="21"/>
      <c r="B329" s="21"/>
      <c r="C329" s="21"/>
      <c r="D329" s="21"/>
      <c r="E329" s="136"/>
      <c r="F329" s="136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</row>
    <row r="330">
      <c r="A330" s="21"/>
      <c r="B330" s="21"/>
      <c r="C330" s="21"/>
      <c r="D330" s="21"/>
      <c r="E330" s="136"/>
      <c r="F330" s="136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</row>
    <row r="331">
      <c r="A331" s="21"/>
      <c r="B331" s="21"/>
      <c r="C331" s="21"/>
      <c r="D331" s="21"/>
      <c r="E331" s="136"/>
      <c r="F331" s="136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</row>
    <row r="332">
      <c r="A332" s="21"/>
      <c r="B332" s="21"/>
      <c r="C332" s="21"/>
      <c r="D332" s="21"/>
      <c r="E332" s="136"/>
      <c r="F332" s="136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</row>
    <row r="333">
      <c r="A333" s="21"/>
      <c r="B333" s="21"/>
      <c r="C333" s="21"/>
      <c r="D333" s="21"/>
      <c r="E333" s="136"/>
      <c r="F333" s="136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</row>
    <row r="334">
      <c r="A334" s="21"/>
      <c r="B334" s="21"/>
      <c r="C334" s="21"/>
      <c r="D334" s="21"/>
      <c r="E334" s="136"/>
      <c r="F334" s="136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</row>
    <row r="335">
      <c r="A335" s="21"/>
      <c r="B335" s="21"/>
      <c r="C335" s="21"/>
      <c r="D335" s="21"/>
      <c r="E335" s="136"/>
      <c r="F335" s="136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</row>
    <row r="336">
      <c r="A336" s="21"/>
      <c r="B336" s="21"/>
      <c r="C336" s="21"/>
      <c r="D336" s="21"/>
      <c r="E336" s="136"/>
      <c r="F336" s="136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</row>
    <row r="337">
      <c r="A337" s="21"/>
      <c r="B337" s="21"/>
      <c r="C337" s="21"/>
      <c r="D337" s="21"/>
      <c r="E337" s="136"/>
      <c r="F337" s="136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</row>
    <row r="338">
      <c r="A338" s="21"/>
      <c r="B338" s="21"/>
      <c r="C338" s="21"/>
      <c r="D338" s="21"/>
      <c r="E338" s="136"/>
      <c r="F338" s="136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</row>
    <row r="339">
      <c r="A339" s="21"/>
      <c r="B339" s="21"/>
      <c r="C339" s="21"/>
      <c r="D339" s="21"/>
      <c r="E339" s="136"/>
      <c r="F339" s="136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</row>
    <row r="340">
      <c r="A340" s="21"/>
      <c r="B340" s="21"/>
      <c r="C340" s="21"/>
      <c r="D340" s="21"/>
      <c r="E340" s="136"/>
      <c r="F340" s="136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</row>
    <row r="341">
      <c r="A341" s="21"/>
      <c r="B341" s="21"/>
      <c r="C341" s="21"/>
      <c r="D341" s="21"/>
      <c r="E341" s="136"/>
      <c r="F341" s="136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</row>
    <row r="342">
      <c r="A342" s="21"/>
      <c r="B342" s="21"/>
      <c r="C342" s="21"/>
      <c r="D342" s="21"/>
      <c r="E342" s="136"/>
      <c r="F342" s="136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</row>
    <row r="343">
      <c r="A343" s="21"/>
      <c r="B343" s="21"/>
      <c r="C343" s="21"/>
      <c r="D343" s="21"/>
      <c r="E343" s="136"/>
      <c r="F343" s="136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</row>
    <row r="344">
      <c r="A344" s="21"/>
      <c r="B344" s="21"/>
      <c r="C344" s="21"/>
      <c r="D344" s="21"/>
      <c r="E344" s="136"/>
      <c r="F344" s="136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</row>
    <row r="345">
      <c r="A345" s="21"/>
      <c r="B345" s="21"/>
      <c r="C345" s="21"/>
      <c r="D345" s="21"/>
      <c r="E345" s="136"/>
      <c r="F345" s="136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</row>
    <row r="346">
      <c r="A346" s="21"/>
      <c r="B346" s="21"/>
      <c r="C346" s="21"/>
      <c r="D346" s="21"/>
      <c r="E346" s="136"/>
      <c r="F346" s="136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</row>
    <row r="347">
      <c r="A347" s="21"/>
      <c r="B347" s="21"/>
      <c r="C347" s="21"/>
      <c r="D347" s="21"/>
      <c r="E347" s="136"/>
      <c r="F347" s="136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</row>
    <row r="348">
      <c r="A348" s="21"/>
      <c r="B348" s="21"/>
      <c r="C348" s="21"/>
      <c r="D348" s="21"/>
      <c r="E348" s="136"/>
      <c r="F348" s="136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</row>
    <row r="349">
      <c r="A349" s="21"/>
      <c r="B349" s="21"/>
      <c r="C349" s="21"/>
      <c r="D349" s="21"/>
      <c r="E349" s="136"/>
      <c r="F349" s="136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</row>
    <row r="350">
      <c r="A350" s="21"/>
      <c r="B350" s="21"/>
      <c r="C350" s="21"/>
      <c r="D350" s="21"/>
      <c r="E350" s="136"/>
      <c r="F350" s="136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</row>
    <row r="351">
      <c r="A351" s="21"/>
      <c r="B351" s="21"/>
      <c r="C351" s="21"/>
      <c r="D351" s="21"/>
      <c r="E351" s="136"/>
      <c r="F351" s="136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</row>
    <row r="352">
      <c r="A352" s="21"/>
      <c r="B352" s="21"/>
      <c r="C352" s="21"/>
      <c r="D352" s="21"/>
      <c r="E352" s="136"/>
      <c r="F352" s="136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</row>
    <row r="353">
      <c r="A353" s="21"/>
      <c r="B353" s="21"/>
      <c r="C353" s="21"/>
      <c r="D353" s="21"/>
      <c r="E353" s="136"/>
      <c r="F353" s="136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</row>
    <row r="354">
      <c r="A354" s="21"/>
      <c r="B354" s="21"/>
      <c r="C354" s="21"/>
      <c r="D354" s="21"/>
      <c r="E354" s="136"/>
      <c r="F354" s="136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</row>
    <row r="355">
      <c r="A355" s="21"/>
      <c r="B355" s="21"/>
      <c r="C355" s="21"/>
      <c r="D355" s="21"/>
      <c r="E355" s="136"/>
      <c r="F355" s="136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</row>
    <row r="356">
      <c r="A356" s="21"/>
      <c r="B356" s="21"/>
      <c r="C356" s="21"/>
      <c r="D356" s="21"/>
      <c r="E356" s="136"/>
      <c r="F356" s="136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</row>
    <row r="357">
      <c r="A357" s="21"/>
      <c r="B357" s="21"/>
      <c r="C357" s="21"/>
      <c r="D357" s="21"/>
      <c r="E357" s="136"/>
      <c r="F357" s="136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</row>
    <row r="358">
      <c r="A358" s="21"/>
      <c r="B358" s="21"/>
      <c r="C358" s="21"/>
      <c r="D358" s="21"/>
      <c r="E358" s="136"/>
      <c r="F358" s="136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</row>
    <row r="359">
      <c r="A359" s="21"/>
      <c r="B359" s="21"/>
      <c r="C359" s="21"/>
      <c r="D359" s="21"/>
      <c r="E359" s="136"/>
      <c r="F359" s="136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</row>
    <row r="360">
      <c r="A360" s="21"/>
      <c r="B360" s="21"/>
      <c r="C360" s="21"/>
      <c r="D360" s="21"/>
      <c r="E360" s="136"/>
      <c r="F360" s="136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</row>
    <row r="361">
      <c r="A361" s="21"/>
      <c r="B361" s="21"/>
      <c r="C361" s="21"/>
      <c r="D361" s="21"/>
      <c r="E361" s="136"/>
      <c r="F361" s="136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</row>
    <row r="362">
      <c r="A362" s="21"/>
      <c r="B362" s="21"/>
      <c r="C362" s="21"/>
      <c r="D362" s="21"/>
      <c r="E362" s="136"/>
      <c r="F362" s="136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</row>
    <row r="363">
      <c r="A363" s="21"/>
      <c r="B363" s="21"/>
      <c r="C363" s="21"/>
      <c r="D363" s="21"/>
      <c r="E363" s="136"/>
      <c r="F363" s="136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</row>
    <row r="364">
      <c r="A364" s="21"/>
      <c r="B364" s="21"/>
      <c r="C364" s="21"/>
      <c r="D364" s="21"/>
      <c r="E364" s="136"/>
      <c r="F364" s="136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</row>
    <row r="365">
      <c r="A365" s="21"/>
      <c r="B365" s="21"/>
      <c r="C365" s="21"/>
      <c r="D365" s="21"/>
      <c r="E365" s="136"/>
      <c r="F365" s="136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</row>
    <row r="366">
      <c r="A366" s="21"/>
      <c r="B366" s="21"/>
      <c r="C366" s="21"/>
      <c r="D366" s="21"/>
      <c r="E366" s="136"/>
      <c r="F366" s="136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</row>
    <row r="367">
      <c r="A367" s="21"/>
      <c r="B367" s="21"/>
      <c r="C367" s="21"/>
      <c r="D367" s="21"/>
      <c r="E367" s="136"/>
      <c r="F367" s="136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</row>
    <row r="368">
      <c r="A368" s="21"/>
      <c r="B368" s="21"/>
      <c r="C368" s="21"/>
      <c r="D368" s="21"/>
      <c r="E368" s="136"/>
      <c r="F368" s="136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</row>
    <row r="369">
      <c r="A369" s="21"/>
      <c r="B369" s="21"/>
      <c r="C369" s="21"/>
      <c r="D369" s="21"/>
      <c r="E369" s="136"/>
      <c r="F369" s="136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</row>
    <row r="370">
      <c r="A370" s="21"/>
      <c r="B370" s="21"/>
      <c r="C370" s="21"/>
      <c r="D370" s="21"/>
      <c r="E370" s="136"/>
      <c r="F370" s="136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</row>
    <row r="371">
      <c r="A371" s="21"/>
      <c r="B371" s="21"/>
      <c r="C371" s="21"/>
      <c r="D371" s="21"/>
      <c r="E371" s="136"/>
      <c r="F371" s="136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</row>
    <row r="372">
      <c r="A372" s="21"/>
      <c r="B372" s="21"/>
      <c r="C372" s="21"/>
      <c r="D372" s="21"/>
      <c r="E372" s="136"/>
      <c r="F372" s="136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</row>
    <row r="373">
      <c r="A373" s="21"/>
      <c r="B373" s="21"/>
      <c r="C373" s="21"/>
      <c r="D373" s="21"/>
      <c r="E373" s="136"/>
      <c r="F373" s="136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</row>
    <row r="374">
      <c r="A374" s="21"/>
      <c r="B374" s="21"/>
      <c r="C374" s="21"/>
      <c r="D374" s="21"/>
      <c r="E374" s="136"/>
      <c r="F374" s="136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</row>
    <row r="375">
      <c r="A375" s="21"/>
      <c r="B375" s="21"/>
      <c r="C375" s="21"/>
      <c r="D375" s="21"/>
      <c r="E375" s="136"/>
      <c r="F375" s="136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</row>
    <row r="376">
      <c r="A376" s="21"/>
      <c r="B376" s="21"/>
      <c r="C376" s="21"/>
      <c r="D376" s="21"/>
      <c r="E376" s="136"/>
      <c r="F376" s="136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</row>
    <row r="377">
      <c r="A377" s="21"/>
      <c r="B377" s="21"/>
      <c r="C377" s="21"/>
      <c r="D377" s="21"/>
      <c r="E377" s="136"/>
      <c r="F377" s="136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</row>
    <row r="378">
      <c r="A378" s="21"/>
      <c r="B378" s="21"/>
      <c r="C378" s="21"/>
      <c r="D378" s="21"/>
      <c r="E378" s="136"/>
      <c r="F378" s="136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</row>
    <row r="379">
      <c r="A379" s="21"/>
      <c r="B379" s="21"/>
      <c r="C379" s="21"/>
      <c r="D379" s="21"/>
      <c r="E379" s="136"/>
      <c r="F379" s="136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</row>
    <row r="380">
      <c r="A380" s="21"/>
      <c r="B380" s="21"/>
      <c r="C380" s="21"/>
      <c r="D380" s="21"/>
      <c r="E380" s="136"/>
      <c r="F380" s="136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</row>
    <row r="381">
      <c r="A381" s="21"/>
      <c r="B381" s="21"/>
      <c r="C381" s="21"/>
      <c r="D381" s="21"/>
      <c r="E381" s="136"/>
      <c r="F381" s="136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</row>
    <row r="382">
      <c r="A382" s="21"/>
      <c r="B382" s="21"/>
      <c r="C382" s="21"/>
      <c r="D382" s="21"/>
      <c r="E382" s="136"/>
      <c r="F382" s="136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</row>
    <row r="383">
      <c r="A383" s="21"/>
      <c r="B383" s="21"/>
      <c r="C383" s="21"/>
      <c r="D383" s="21"/>
      <c r="E383" s="136"/>
      <c r="F383" s="136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</row>
    <row r="384">
      <c r="A384" s="21"/>
      <c r="B384" s="21"/>
      <c r="C384" s="21"/>
      <c r="D384" s="21"/>
      <c r="E384" s="136"/>
      <c r="F384" s="136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</row>
    <row r="385">
      <c r="A385" s="21"/>
      <c r="B385" s="21"/>
      <c r="C385" s="21"/>
      <c r="D385" s="21"/>
      <c r="E385" s="136"/>
      <c r="F385" s="136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</row>
    <row r="386">
      <c r="A386" s="21"/>
      <c r="B386" s="21"/>
      <c r="C386" s="21"/>
      <c r="D386" s="21"/>
      <c r="E386" s="136"/>
      <c r="F386" s="136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</row>
    <row r="387">
      <c r="A387" s="21"/>
      <c r="B387" s="21"/>
      <c r="C387" s="21"/>
      <c r="D387" s="21"/>
      <c r="E387" s="136"/>
      <c r="F387" s="136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</row>
    <row r="388">
      <c r="A388" s="21"/>
      <c r="B388" s="21"/>
      <c r="C388" s="21"/>
      <c r="D388" s="21"/>
      <c r="E388" s="136"/>
      <c r="F388" s="136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</row>
    <row r="389">
      <c r="A389" s="21"/>
      <c r="B389" s="21"/>
      <c r="C389" s="21"/>
      <c r="D389" s="21"/>
      <c r="E389" s="136"/>
      <c r="F389" s="136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</row>
    <row r="390">
      <c r="A390" s="21"/>
      <c r="B390" s="21"/>
      <c r="C390" s="21"/>
      <c r="D390" s="21"/>
      <c r="E390" s="136"/>
      <c r="F390" s="136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</row>
    <row r="391">
      <c r="A391" s="21"/>
      <c r="B391" s="21"/>
      <c r="C391" s="21"/>
      <c r="D391" s="21"/>
      <c r="E391" s="136"/>
      <c r="F391" s="136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</row>
    <row r="392">
      <c r="A392" s="21"/>
      <c r="B392" s="21"/>
      <c r="C392" s="21"/>
      <c r="D392" s="21"/>
      <c r="E392" s="136"/>
      <c r="F392" s="136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</row>
    <row r="393">
      <c r="A393" s="21"/>
      <c r="B393" s="21"/>
      <c r="C393" s="21"/>
      <c r="D393" s="21"/>
      <c r="E393" s="136"/>
      <c r="F393" s="136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</row>
    <row r="394">
      <c r="A394" s="21"/>
      <c r="B394" s="21"/>
      <c r="C394" s="21"/>
      <c r="D394" s="21"/>
      <c r="E394" s="136"/>
      <c r="F394" s="136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</row>
    <row r="395">
      <c r="A395" s="21"/>
      <c r="B395" s="21"/>
      <c r="C395" s="21"/>
      <c r="D395" s="21"/>
      <c r="E395" s="136"/>
      <c r="F395" s="136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</row>
    <row r="396">
      <c r="A396" s="21"/>
      <c r="B396" s="21"/>
      <c r="C396" s="21"/>
      <c r="D396" s="21"/>
      <c r="E396" s="136"/>
      <c r="F396" s="136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</row>
    <row r="397">
      <c r="A397" s="21"/>
      <c r="B397" s="21"/>
      <c r="C397" s="21"/>
      <c r="D397" s="21"/>
      <c r="E397" s="136"/>
      <c r="F397" s="136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</row>
    <row r="398">
      <c r="A398" s="21"/>
      <c r="B398" s="21"/>
      <c r="C398" s="21"/>
      <c r="D398" s="21"/>
      <c r="E398" s="136"/>
      <c r="F398" s="136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</row>
    <row r="399">
      <c r="A399" s="21"/>
      <c r="B399" s="21"/>
      <c r="C399" s="21"/>
      <c r="D399" s="21"/>
      <c r="E399" s="136"/>
      <c r="F399" s="136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</row>
    <row r="400">
      <c r="A400" s="21"/>
      <c r="B400" s="21"/>
      <c r="C400" s="21"/>
      <c r="D400" s="21"/>
      <c r="E400" s="136"/>
      <c r="F400" s="136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</row>
    <row r="401">
      <c r="A401" s="21"/>
      <c r="B401" s="21"/>
      <c r="C401" s="21"/>
      <c r="D401" s="21"/>
      <c r="E401" s="136"/>
      <c r="F401" s="136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</row>
    <row r="402">
      <c r="A402" s="21"/>
      <c r="B402" s="21"/>
      <c r="C402" s="21"/>
      <c r="D402" s="21"/>
      <c r="E402" s="136"/>
      <c r="F402" s="136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</row>
    <row r="403">
      <c r="A403" s="21"/>
      <c r="B403" s="21"/>
      <c r="C403" s="21"/>
      <c r="D403" s="21"/>
      <c r="E403" s="136"/>
      <c r="F403" s="136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</row>
    <row r="404">
      <c r="A404" s="21"/>
      <c r="B404" s="21"/>
      <c r="C404" s="21"/>
      <c r="D404" s="21"/>
      <c r="E404" s="136"/>
      <c r="F404" s="136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</row>
    <row r="405">
      <c r="A405" s="21"/>
      <c r="B405" s="21"/>
      <c r="C405" s="21"/>
      <c r="D405" s="21"/>
      <c r="E405" s="136"/>
      <c r="F405" s="136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</row>
    <row r="406">
      <c r="A406" s="21"/>
      <c r="B406" s="21"/>
      <c r="C406" s="21"/>
      <c r="D406" s="21"/>
      <c r="E406" s="136"/>
      <c r="F406" s="136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</row>
    <row r="407">
      <c r="A407" s="21"/>
      <c r="B407" s="21"/>
      <c r="C407" s="21"/>
      <c r="D407" s="21"/>
      <c r="E407" s="136"/>
      <c r="F407" s="136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</row>
    <row r="408">
      <c r="A408" s="21"/>
      <c r="B408" s="21"/>
      <c r="C408" s="21"/>
      <c r="D408" s="21"/>
      <c r="E408" s="136"/>
      <c r="F408" s="136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</row>
    <row r="409">
      <c r="A409" s="21"/>
      <c r="B409" s="21"/>
      <c r="C409" s="21"/>
      <c r="D409" s="21"/>
      <c r="E409" s="136"/>
      <c r="F409" s="136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</row>
    <row r="410">
      <c r="A410" s="21"/>
      <c r="B410" s="21"/>
      <c r="C410" s="21"/>
      <c r="D410" s="21"/>
      <c r="E410" s="136"/>
      <c r="F410" s="136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</row>
    <row r="411">
      <c r="A411" s="21"/>
      <c r="B411" s="21"/>
      <c r="C411" s="21"/>
      <c r="D411" s="21"/>
      <c r="E411" s="136"/>
      <c r="F411" s="136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</row>
    <row r="412">
      <c r="A412" s="21"/>
      <c r="B412" s="21"/>
      <c r="C412" s="21"/>
      <c r="D412" s="21"/>
      <c r="E412" s="136"/>
      <c r="F412" s="136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</row>
    <row r="413">
      <c r="A413" s="21"/>
      <c r="B413" s="21"/>
      <c r="C413" s="21"/>
      <c r="D413" s="21"/>
      <c r="E413" s="136"/>
      <c r="F413" s="136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</row>
    <row r="414">
      <c r="A414" s="21"/>
      <c r="B414" s="21"/>
      <c r="C414" s="21"/>
      <c r="D414" s="21"/>
      <c r="E414" s="136"/>
      <c r="F414" s="136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</row>
    <row r="415">
      <c r="A415" s="21"/>
      <c r="B415" s="21"/>
      <c r="C415" s="21"/>
      <c r="D415" s="21"/>
      <c r="E415" s="136"/>
      <c r="F415" s="136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</row>
    <row r="416">
      <c r="A416" s="21"/>
      <c r="B416" s="21"/>
      <c r="C416" s="21"/>
      <c r="D416" s="21"/>
      <c r="E416" s="136"/>
      <c r="F416" s="136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</row>
    <row r="417">
      <c r="A417" s="21"/>
      <c r="B417" s="21"/>
      <c r="C417" s="21"/>
      <c r="D417" s="21"/>
      <c r="E417" s="136"/>
      <c r="F417" s="136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</row>
    <row r="418">
      <c r="A418" s="21"/>
      <c r="B418" s="21"/>
      <c r="C418" s="21"/>
      <c r="D418" s="21"/>
      <c r="E418" s="136"/>
      <c r="F418" s="136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</row>
    <row r="419">
      <c r="A419" s="21"/>
      <c r="B419" s="21"/>
      <c r="C419" s="21"/>
      <c r="D419" s="21"/>
      <c r="E419" s="136"/>
      <c r="F419" s="136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</row>
    <row r="420">
      <c r="A420" s="21"/>
      <c r="B420" s="21"/>
      <c r="C420" s="21"/>
      <c r="D420" s="21"/>
      <c r="E420" s="136"/>
      <c r="F420" s="136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</row>
    <row r="421">
      <c r="A421" s="21"/>
      <c r="B421" s="21"/>
      <c r="C421" s="21"/>
      <c r="D421" s="21"/>
      <c r="E421" s="136"/>
      <c r="F421" s="136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</row>
    <row r="422">
      <c r="A422" s="21"/>
      <c r="B422" s="21"/>
      <c r="C422" s="21"/>
      <c r="D422" s="21"/>
      <c r="E422" s="136"/>
      <c r="F422" s="136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</row>
    <row r="423">
      <c r="A423" s="21"/>
      <c r="B423" s="21"/>
      <c r="C423" s="21"/>
      <c r="D423" s="21"/>
      <c r="E423" s="136"/>
      <c r="F423" s="136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</row>
    <row r="424">
      <c r="A424" s="21"/>
      <c r="B424" s="21"/>
      <c r="C424" s="21"/>
      <c r="D424" s="21"/>
      <c r="E424" s="136"/>
      <c r="F424" s="136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</row>
    <row r="425">
      <c r="A425" s="21"/>
      <c r="B425" s="21"/>
      <c r="C425" s="21"/>
      <c r="D425" s="21"/>
      <c r="E425" s="136"/>
      <c r="F425" s="136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</row>
    <row r="426">
      <c r="A426" s="21"/>
      <c r="B426" s="21"/>
      <c r="C426" s="21"/>
      <c r="D426" s="21"/>
      <c r="E426" s="136"/>
      <c r="F426" s="136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</row>
    <row r="427">
      <c r="A427" s="21"/>
      <c r="B427" s="21"/>
      <c r="C427" s="21"/>
      <c r="D427" s="21"/>
      <c r="E427" s="136"/>
      <c r="F427" s="136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</row>
    <row r="428">
      <c r="A428" s="21"/>
      <c r="B428" s="21"/>
      <c r="C428" s="21"/>
      <c r="D428" s="21"/>
      <c r="E428" s="136"/>
      <c r="F428" s="136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</row>
    <row r="429">
      <c r="A429" s="21"/>
      <c r="B429" s="21"/>
      <c r="C429" s="21"/>
      <c r="D429" s="21"/>
      <c r="E429" s="136"/>
      <c r="F429" s="136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</row>
    <row r="430">
      <c r="A430" s="21"/>
      <c r="B430" s="21"/>
      <c r="C430" s="21"/>
      <c r="D430" s="21"/>
      <c r="E430" s="136"/>
      <c r="F430" s="136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</row>
    <row r="431">
      <c r="A431" s="21"/>
      <c r="B431" s="21"/>
      <c r="C431" s="21"/>
      <c r="D431" s="21"/>
      <c r="E431" s="136"/>
      <c r="F431" s="136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</row>
    <row r="432">
      <c r="A432" s="21"/>
      <c r="B432" s="21"/>
      <c r="C432" s="21"/>
      <c r="D432" s="21"/>
      <c r="E432" s="136"/>
      <c r="F432" s="136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</row>
    <row r="433">
      <c r="A433" s="21"/>
      <c r="B433" s="21"/>
      <c r="C433" s="21"/>
      <c r="D433" s="21"/>
      <c r="E433" s="136"/>
      <c r="F433" s="136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</row>
    <row r="434">
      <c r="A434" s="21"/>
      <c r="B434" s="21"/>
      <c r="C434" s="21"/>
      <c r="D434" s="21"/>
      <c r="E434" s="136"/>
      <c r="F434" s="136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</row>
    <row r="435">
      <c r="A435" s="21"/>
      <c r="B435" s="21"/>
      <c r="C435" s="21"/>
      <c r="D435" s="21"/>
      <c r="E435" s="136"/>
      <c r="F435" s="136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</row>
    <row r="436">
      <c r="A436" s="21"/>
      <c r="B436" s="21"/>
      <c r="C436" s="21"/>
      <c r="D436" s="21"/>
      <c r="E436" s="136"/>
      <c r="F436" s="136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</row>
    <row r="437">
      <c r="A437" s="21"/>
      <c r="B437" s="21"/>
      <c r="C437" s="21"/>
      <c r="D437" s="21"/>
      <c r="E437" s="136"/>
      <c r="F437" s="136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</row>
    <row r="438">
      <c r="A438" s="21"/>
      <c r="B438" s="21"/>
      <c r="C438" s="21"/>
      <c r="D438" s="21"/>
      <c r="E438" s="136"/>
      <c r="F438" s="136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</row>
    <row r="439">
      <c r="A439" s="21"/>
      <c r="B439" s="21"/>
      <c r="C439" s="21"/>
      <c r="D439" s="21"/>
      <c r="E439" s="136"/>
      <c r="F439" s="136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</row>
    <row r="440">
      <c r="A440" s="21"/>
      <c r="B440" s="21"/>
      <c r="C440" s="21"/>
      <c r="D440" s="21"/>
      <c r="E440" s="136"/>
      <c r="F440" s="136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</row>
    <row r="441">
      <c r="A441" s="21"/>
      <c r="B441" s="21"/>
      <c r="C441" s="21"/>
      <c r="D441" s="21"/>
      <c r="E441" s="136"/>
      <c r="F441" s="136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</row>
    <row r="442">
      <c r="A442" s="21"/>
      <c r="B442" s="21"/>
      <c r="C442" s="21"/>
      <c r="D442" s="21"/>
      <c r="E442" s="136"/>
      <c r="F442" s="136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</row>
    <row r="443">
      <c r="A443" s="21"/>
      <c r="B443" s="21"/>
      <c r="C443" s="21"/>
      <c r="D443" s="21"/>
      <c r="E443" s="136"/>
      <c r="F443" s="136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</row>
    <row r="444">
      <c r="A444" s="21"/>
      <c r="B444" s="21"/>
      <c r="C444" s="21"/>
      <c r="D444" s="21"/>
      <c r="E444" s="136"/>
      <c r="F444" s="136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</row>
    <row r="445">
      <c r="A445" s="21"/>
      <c r="B445" s="21"/>
      <c r="C445" s="21"/>
      <c r="D445" s="21"/>
      <c r="E445" s="136"/>
      <c r="F445" s="136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</row>
    <row r="446">
      <c r="A446" s="21"/>
      <c r="B446" s="21"/>
      <c r="C446" s="21"/>
      <c r="D446" s="21"/>
      <c r="E446" s="136"/>
      <c r="F446" s="136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</row>
    <row r="447">
      <c r="A447" s="21"/>
      <c r="B447" s="21"/>
      <c r="C447" s="21"/>
      <c r="D447" s="21"/>
      <c r="E447" s="136"/>
      <c r="F447" s="136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</row>
    <row r="448">
      <c r="A448" s="21"/>
      <c r="B448" s="21"/>
      <c r="C448" s="21"/>
      <c r="D448" s="21"/>
      <c r="E448" s="136"/>
      <c r="F448" s="136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</row>
    <row r="449">
      <c r="A449" s="21"/>
      <c r="B449" s="21"/>
      <c r="C449" s="21"/>
      <c r="D449" s="21"/>
      <c r="E449" s="136"/>
      <c r="F449" s="136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</row>
    <row r="450">
      <c r="A450" s="21"/>
      <c r="B450" s="21"/>
      <c r="C450" s="21"/>
      <c r="D450" s="21"/>
      <c r="E450" s="136"/>
      <c r="F450" s="136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</row>
    <row r="451">
      <c r="A451" s="21"/>
      <c r="B451" s="21"/>
      <c r="C451" s="21"/>
      <c r="D451" s="21"/>
      <c r="E451" s="136"/>
      <c r="F451" s="136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</row>
    <row r="452">
      <c r="A452" s="21"/>
      <c r="B452" s="21"/>
      <c r="C452" s="21"/>
      <c r="D452" s="21"/>
      <c r="E452" s="136"/>
      <c r="F452" s="136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</row>
    <row r="453">
      <c r="A453" s="21"/>
      <c r="B453" s="21"/>
      <c r="C453" s="21"/>
      <c r="D453" s="21"/>
      <c r="E453" s="136"/>
      <c r="F453" s="136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</row>
    <row r="454">
      <c r="A454" s="21"/>
      <c r="B454" s="21"/>
      <c r="C454" s="21"/>
      <c r="D454" s="21"/>
      <c r="E454" s="136"/>
      <c r="F454" s="136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</row>
    <row r="455">
      <c r="A455" s="21"/>
      <c r="B455" s="21"/>
      <c r="C455" s="21"/>
      <c r="D455" s="21"/>
      <c r="E455" s="136"/>
      <c r="F455" s="136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</row>
    <row r="456">
      <c r="A456" s="21"/>
      <c r="B456" s="21"/>
      <c r="C456" s="21"/>
      <c r="D456" s="21"/>
      <c r="E456" s="136"/>
      <c r="F456" s="136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</row>
    <row r="457">
      <c r="A457" s="21"/>
      <c r="B457" s="21"/>
      <c r="C457" s="21"/>
      <c r="D457" s="21"/>
      <c r="E457" s="136"/>
      <c r="F457" s="136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</row>
    <row r="458">
      <c r="A458" s="21"/>
      <c r="B458" s="21"/>
      <c r="C458" s="21"/>
      <c r="D458" s="21"/>
      <c r="E458" s="136"/>
      <c r="F458" s="136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</row>
    <row r="459">
      <c r="A459" s="21"/>
      <c r="B459" s="21"/>
      <c r="C459" s="21"/>
      <c r="D459" s="21"/>
      <c r="E459" s="136"/>
      <c r="F459" s="136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</row>
    <row r="460">
      <c r="A460" s="21"/>
      <c r="B460" s="21"/>
      <c r="C460" s="21"/>
      <c r="D460" s="21"/>
      <c r="E460" s="136"/>
      <c r="F460" s="136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</row>
    <row r="461">
      <c r="A461" s="21"/>
      <c r="B461" s="21"/>
      <c r="C461" s="21"/>
      <c r="D461" s="21"/>
      <c r="E461" s="136"/>
      <c r="F461" s="136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</row>
    <row r="462">
      <c r="A462" s="21"/>
      <c r="B462" s="21"/>
      <c r="C462" s="21"/>
      <c r="D462" s="21"/>
      <c r="E462" s="136"/>
      <c r="F462" s="136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</row>
    <row r="463">
      <c r="A463" s="21"/>
      <c r="B463" s="21"/>
      <c r="C463" s="21"/>
      <c r="D463" s="21"/>
      <c r="E463" s="136"/>
      <c r="F463" s="136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</row>
    <row r="464">
      <c r="A464" s="21"/>
      <c r="B464" s="21"/>
      <c r="C464" s="21"/>
      <c r="D464" s="21"/>
      <c r="E464" s="136"/>
      <c r="F464" s="136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</row>
    <row r="465">
      <c r="A465" s="21"/>
      <c r="B465" s="21"/>
      <c r="C465" s="21"/>
      <c r="D465" s="21"/>
      <c r="E465" s="136"/>
      <c r="F465" s="136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</row>
    <row r="466">
      <c r="A466" s="21"/>
      <c r="B466" s="21"/>
      <c r="C466" s="21"/>
      <c r="D466" s="21"/>
      <c r="E466" s="136"/>
      <c r="F466" s="136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</row>
    <row r="467">
      <c r="A467" s="21"/>
      <c r="B467" s="21"/>
      <c r="C467" s="21"/>
      <c r="D467" s="21"/>
      <c r="E467" s="136"/>
      <c r="F467" s="136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</row>
    <row r="468">
      <c r="A468" s="21"/>
      <c r="B468" s="21"/>
      <c r="C468" s="21"/>
      <c r="D468" s="21"/>
      <c r="E468" s="136"/>
      <c r="F468" s="136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</row>
    <row r="469">
      <c r="A469" s="21"/>
      <c r="B469" s="21"/>
      <c r="C469" s="21"/>
      <c r="D469" s="21"/>
      <c r="E469" s="136"/>
      <c r="F469" s="136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</row>
    <row r="470">
      <c r="A470" s="21"/>
      <c r="B470" s="21"/>
      <c r="C470" s="21"/>
      <c r="D470" s="21"/>
      <c r="E470" s="136"/>
      <c r="F470" s="136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</row>
    <row r="471">
      <c r="A471" s="21"/>
      <c r="B471" s="21"/>
      <c r="C471" s="21"/>
      <c r="D471" s="21"/>
      <c r="E471" s="136"/>
      <c r="F471" s="136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</row>
    <row r="472">
      <c r="A472" s="21"/>
      <c r="B472" s="21"/>
      <c r="C472" s="21"/>
      <c r="D472" s="21"/>
      <c r="E472" s="136"/>
      <c r="F472" s="136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</row>
    <row r="473">
      <c r="A473" s="21"/>
      <c r="B473" s="21"/>
      <c r="C473" s="21"/>
      <c r="D473" s="21"/>
      <c r="E473" s="136"/>
      <c r="F473" s="136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</row>
    <row r="474">
      <c r="A474" s="21"/>
      <c r="B474" s="21"/>
      <c r="C474" s="21"/>
      <c r="D474" s="21"/>
      <c r="E474" s="136"/>
      <c r="F474" s="136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</row>
    <row r="475">
      <c r="A475" s="21"/>
      <c r="B475" s="21"/>
      <c r="C475" s="21"/>
      <c r="D475" s="21"/>
      <c r="E475" s="136"/>
      <c r="F475" s="136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</row>
    <row r="476">
      <c r="A476" s="21"/>
      <c r="B476" s="21"/>
      <c r="C476" s="21"/>
      <c r="D476" s="21"/>
      <c r="E476" s="136"/>
      <c r="F476" s="136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</row>
    <row r="477">
      <c r="A477" s="21"/>
      <c r="B477" s="21"/>
      <c r="C477" s="21"/>
      <c r="D477" s="21"/>
      <c r="E477" s="136"/>
      <c r="F477" s="136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</row>
    <row r="478">
      <c r="A478" s="21"/>
      <c r="B478" s="21"/>
      <c r="C478" s="21"/>
      <c r="D478" s="21"/>
      <c r="E478" s="136"/>
      <c r="F478" s="136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</row>
    <row r="479">
      <c r="A479" s="21"/>
      <c r="B479" s="21"/>
      <c r="C479" s="21"/>
      <c r="D479" s="21"/>
      <c r="E479" s="136"/>
      <c r="F479" s="136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</row>
    <row r="480">
      <c r="A480" s="21"/>
      <c r="B480" s="21"/>
      <c r="C480" s="21"/>
      <c r="D480" s="21"/>
      <c r="E480" s="136"/>
      <c r="F480" s="136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</row>
    <row r="481">
      <c r="A481" s="21"/>
      <c r="B481" s="21"/>
      <c r="C481" s="21"/>
      <c r="D481" s="21"/>
      <c r="E481" s="136"/>
      <c r="F481" s="136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</row>
    <row r="482">
      <c r="A482" s="21"/>
      <c r="B482" s="21"/>
      <c r="C482" s="21"/>
      <c r="D482" s="21"/>
      <c r="E482" s="136"/>
      <c r="F482" s="136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</row>
    <row r="483">
      <c r="A483" s="21"/>
      <c r="B483" s="21"/>
      <c r="C483" s="21"/>
      <c r="D483" s="21"/>
      <c r="E483" s="136"/>
      <c r="F483" s="136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</row>
    <row r="484">
      <c r="A484" s="21"/>
      <c r="B484" s="21"/>
      <c r="C484" s="21"/>
      <c r="D484" s="21"/>
      <c r="E484" s="136"/>
      <c r="F484" s="136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</row>
    <row r="485">
      <c r="A485" s="21"/>
      <c r="B485" s="21"/>
      <c r="C485" s="21"/>
      <c r="D485" s="21"/>
      <c r="E485" s="136"/>
      <c r="F485" s="136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</row>
    <row r="486">
      <c r="A486" s="21"/>
      <c r="B486" s="21"/>
      <c r="C486" s="21"/>
      <c r="D486" s="21"/>
      <c r="E486" s="136"/>
      <c r="F486" s="136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</row>
    <row r="487">
      <c r="A487" s="21"/>
      <c r="B487" s="21"/>
      <c r="C487" s="21"/>
      <c r="D487" s="21"/>
      <c r="E487" s="136"/>
      <c r="F487" s="136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</row>
    <row r="488">
      <c r="A488" s="21"/>
      <c r="B488" s="21"/>
      <c r="C488" s="21"/>
      <c r="D488" s="21"/>
      <c r="E488" s="136"/>
      <c r="F488" s="136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</row>
    <row r="489">
      <c r="A489" s="21"/>
      <c r="B489" s="21"/>
      <c r="C489" s="21"/>
      <c r="D489" s="21"/>
      <c r="E489" s="136"/>
      <c r="F489" s="136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</row>
    <row r="490">
      <c r="A490" s="21"/>
      <c r="B490" s="21"/>
      <c r="C490" s="21"/>
      <c r="D490" s="21"/>
      <c r="E490" s="136"/>
      <c r="F490" s="136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</row>
    <row r="491">
      <c r="A491" s="21"/>
      <c r="B491" s="21"/>
      <c r="C491" s="21"/>
      <c r="D491" s="21"/>
      <c r="E491" s="136"/>
      <c r="F491" s="136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</row>
    <row r="492">
      <c r="A492" s="21"/>
      <c r="B492" s="21"/>
      <c r="C492" s="21"/>
      <c r="D492" s="21"/>
      <c r="E492" s="136"/>
      <c r="F492" s="136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</row>
    <row r="493">
      <c r="A493" s="21"/>
      <c r="B493" s="21"/>
      <c r="C493" s="21"/>
      <c r="D493" s="21"/>
      <c r="E493" s="136"/>
      <c r="F493" s="136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</row>
    <row r="494">
      <c r="A494" s="21"/>
      <c r="B494" s="21"/>
      <c r="C494" s="21"/>
      <c r="D494" s="21"/>
      <c r="E494" s="136"/>
      <c r="F494" s="136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</row>
    <row r="495">
      <c r="A495" s="21"/>
      <c r="B495" s="21"/>
      <c r="C495" s="21"/>
      <c r="D495" s="21"/>
      <c r="E495" s="136"/>
      <c r="F495" s="136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</row>
    <row r="496">
      <c r="A496" s="21"/>
      <c r="B496" s="21"/>
      <c r="C496" s="21"/>
      <c r="D496" s="21"/>
      <c r="E496" s="136"/>
      <c r="F496" s="136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</row>
    <row r="497">
      <c r="A497" s="21"/>
      <c r="B497" s="21"/>
      <c r="C497" s="21"/>
      <c r="D497" s="21"/>
      <c r="E497" s="136"/>
      <c r="F497" s="136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</row>
    <row r="498">
      <c r="A498" s="21"/>
      <c r="B498" s="21"/>
      <c r="C498" s="21"/>
      <c r="D498" s="21"/>
      <c r="E498" s="136"/>
      <c r="F498" s="136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</row>
    <row r="499">
      <c r="A499" s="21"/>
      <c r="B499" s="21"/>
      <c r="C499" s="21"/>
      <c r="D499" s="21"/>
      <c r="E499" s="136"/>
      <c r="F499" s="136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</row>
    <row r="500">
      <c r="A500" s="21"/>
      <c r="B500" s="21"/>
      <c r="C500" s="21"/>
      <c r="D500" s="21"/>
      <c r="E500" s="136"/>
      <c r="F500" s="136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</row>
    <row r="501">
      <c r="A501" s="21"/>
      <c r="B501" s="21"/>
      <c r="C501" s="21"/>
      <c r="D501" s="21"/>
      <c r="E501" s="136"/>
      <c r="F501" s="136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</row>
    <row r="502">
      <c r="A502" s="21"/>
      <c r="B502" s="21"/>
      <c r="C502" s="21"/>
      <c r="D502" s="21"/>
      <c r="E502" s="136"/>
      <c r="F502" s="136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</row>
    <row r="503">
      <c r="A503" s="21"/>
      <c r="B503" s="21"/>
      <c r="C503" s="21"/>
      <c r="D503" s="21"/>
      <c r="E503" s="136"/>
      <c r="F503" s="136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</row>
    <row r="504">
      <c r="A504" s="21"/>
      <c r="B504" s="21"/>
      <c r="C504" s="21"/>
      <c r="D504" s="21"/>
      <c r="E504" s="136"/>
      <c r="F504" s="136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</row>
    <row r="505">
      <c r="A505" s="21"/>
      <c r="B505" s="21"/>
      <c r="C505" s="21"/>
      <c r="D505" s="21"/>
      <c r="E505" s="136"/>
      <c r="F505" s="136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</row>
    <row r="506">
      <c r="A506" s="21"/>
      <c r="B506" s="21"/>
      <c r="C506" s="21"/>
      <c r="D506" s="21"/>
      <c r="E506" s="136"/>
      <c r="F506" s="136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</row>
    <row r="507">
      <c r="A507" s="21"/>
      <c r="B507" s="21"/>
      <c r="C507" s="21"/>
      <c r="D507" s="21"/>
      <c r="E507" s="136"/>
      <c r="F507" s="136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</row>
    <row r="508">
      <c r="A508" s="21"/>
      <c r="B508" s="21"/>
      <c r="C508" s="21"/>
      <c r="D508" s="21"/>
      <c r="E508" s="136"/>
      <c r="F508" s="136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</row>
    <row r="509">
      <c r="A509" s="21"/>
      <c r="B509" s="21"/>
      <c r="C509" s="21"/>
      <c r="D509" s="21"/>
      <c r="E509" s="136"/>
      <c r="F509" s="136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</row>
    <row r="510">
      <c r="A510" s="21"/>
      <c r="B510" s="21"/>
      <c r="C510" s="21"/>
      <c r="D510" s="21"/>
      <c r="E510" s="136"/>
      <c r="F510" s="136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</row>
    <row r="511">
      <c r="A511" s="21"/>
      <c r="B511" s="21"/>
      <c r="C511" s="21"/>
      <c r="D511" s="21"/>
      <c r="E511" s="136"/>
      <c r="F511" s="136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</row>
    <row r="512">
      <c r="A512" s="21"/>
      <c r="B512" s="21"/>
      <c r="C512" s="21"/>
      <c r="D512" s="21"/>
      <c r="E512" s="136"/>
      <c r="F512" s="136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</row>
    <row r="513">
      <c r="A513" s="21"/>
      <c r="B513" s="21"/>
      <c r="C513" s="21"/>
      <c r="D513" s="21"/>
      <c r="E513" s="136"/>
      <c r="F513" s="136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</row>
    <row r="514">
      <c r="A514" s="21"/>
      <c r="B514" s="21"/>
      <c r="C514" s="21"/>
      <c r="D514" s="21"/>
      <c r="E514" s="136"/>
      <c r="F514" s="136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</row>
    <row r="515">
      <c r="A515" s="21"/>
      <c r="B515" s="21"/>
      <c r="C515" s="21"/>
      <c r="D515" s="21"/>
      <c r="E515" s="136"/>
      <c r="F515" s="136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</row>
    <row r="516">
      <c r="A516" s="21"/>
      <c r="B516" s="21"/>
      <c r="C516" s="21"/>
      <c r="D516" s="21"/>
      <c r="E516" s="136"/>
      <c r="F516" s="136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</row>
    <row r="517">
      <c r="A517" s="21"/>
      <c r="B517" s="21"/>
      <c r="C517" s="21"/>
      <c r="D517" s="21"/>
      <c r="E517" s="136"/>
      <c r="F517" s="136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</row>
    <row r="518">
      <c r="A518" s="21"/>
      <c r="B518" s="21"/>
      <c r="C518" s="21"/>
      <c r="D518" s="21"/>
      <c r="E518" s="136"/>
      <c r="F518" s="136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</row>
    <row r="519">
      <c r="A519" s="21"/>
      <c r="B519" s="21"/>
      <c r="C519" s="21"/>
      <c r="D519" s="21"/>
      <c r="E519" s="136"/>
      <c r="F519" s="136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</row>
    <row r="520">
      <c r="A520" s="21"/>
      <c r="B520" s="21"/>
      <c r="C520" s="21"/>
      <c r="D520" s="21"/>
      <c r="E520" s="136"/>
      <c r="F520" s="136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</row>
    <row r="521">
      <c r="A521" s="21"/>
      <c r="B521" s="21"/>
      <c r="C521" s="21"/>
      <c r="D521" s="21"/>
      <c r="E521" s="136"/>
      <c r="F521" s="136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</row>
    <row r="522">
      <c r="A522" s="21"/>
      <c r="B522" s="21"/>
      <c r="C522" s="21"/>
      <c r="D522" s="21"/>
      <c r="E522" s="136"/>
      <c r="F522" s="136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</row>
    <row r="523">
      <c r="A523" s="21"/>
      <c r="B523" s="21"/>
      <c r="C523" s="21"/>
      <c r="D523" s="21"/>
      <c r="E523" s="136"/>
      <c r="F523" s="136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</row>
    <row r="524">
      <c r="A524" s="21"/>
      <c r="B524" s="21"/>
      <c r="C524" s="21"/>
      <c r="D524" s="21"/>
      <c r="E524" s="136"/>
      <c r="F524" s="136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</row>
    <row r="525">
      <c r="A525" s="21"/>
      <c r="B525" s="21"/>
      <c r="C525" s="21"/>
      <c r="D525" s="21"/>
      <c r="E525" s="136"/>
      <c r="F525" s="136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</row>
    <row r="526">
      <c r="A526" s="21"/>
      <c r="B526" s="21"/>
      <c r="C526" s="21"/>
      <c r="D526" s="21"/>
      <c r="E526" s="136"/>
      <c r="F526" s="136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</row>
    <row r="527">
      <c r="A527" s="21"/>
      <c r="B527" s="21"/>
      <c r="C527" s="21"/>
      <c r="D527" s="21"/>
      <c r="E527" s="136"/>
      <c r="F527" s="136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</row>
    <row r="528">
      <c r="A528" s="21"/>
      <c r="B528" s="21"/>
      <c r="C528" s="21"/>
      <c r="D528" s="21"/>
      <c r="E528" s="136"/>
      <c r="F528" s="136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</row>
    <row r="529">
      <c r="A529" s="21"/>
      <c r="B529" s="21"/>
      <c r="C529" s="21"/>
      <c r="D529" s="21"/>
      <c r="E529" s="136"/>
      <c r="F529" s="136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</row>
    <row r="530">
      <c r="A530" s="21"/>
      <c r="B530" s="21"/>
      <c r="C530" s="21"/>
      <c r="D530" s="21"/>
      <c r="E530" s="136"/>
      <c r="F530" s="136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</row>
    <row r="531">
      <c r="A531" s="21"/>
      <c r="B531" s="21"/>
      <c r="C531" s="21"/>
      <c r="D531" s="21"/>
      <c r="E531" s="136"/>
      <c r="F531" s="136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</row>
    <row r="532">
      <c r="A532" s="21"/>
      <c r="B532" s="21"/>
      <c r="C532" s="21"/>
      <c r="D532" s="21"/>
      <c r="E532" s="136"/>
      <c r="F532" s="136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</row>
    <row r="533">
      <c r="A533" s="21"/>
      <c r="B533" s="21"/>
      <c r="C533" s="21"/>
      <c r="D533" s="21"/>
      <c r="E533" s="136"/>
      <c r="F533" s="136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</row>
    <row r="534">
      <c r="A534" s="21"/>
      <c r="B534" s="21"/>
      <c r="C534" s="21"/>
      <c r="D534" s="21"/>
      <c r="E534" s="136"/>
      <c r="F534" s="136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</row>
    <row r="535">
      <c r="A535" s="21"/>
      <c r="B535" s="21"/>
      <c r="C535" s="21"/>
      <c r="D535" s="21"/>
      <c r="E535" s="136"/>
      <c r="F535" s="136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</row>
    <row r="536">
      <c r="A536" s="21"/>
      <c r="B536" s="21"/>
      <c r="C536" s="21"/>
      <c r="D536" s="21"/>
      <c r="E536" s="136"/>
      <c r="F536" s="136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</row>
    <row r="537">
      <c r="A537" s="21"/>
      <c r="B537" s="21"/>
      <c r="C537" s="21"/>
      <c r="D537" s="21"/>
      <c r="E537" s="136"/>
      <c r="F537" s="136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</row>
    <row r="538">
      <c r="A538" s="21"/>
      <c r="B538" s="21"/>
      <c r="C538" s="21"/>
      <c r="D538" s="21"/>
      <c r="E538" s="136"/>
      <c r="F538" s="136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</row>
    <row r="539">
      <c r="A539" s="21"/>
      <c r="B539" s="21"/>
      <c r="C539" s="21"/>
      <c r="D539" s="21"/>
      <c r="E539" s="136"/>
      <c r="F539" s="136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</row>
    <row r="540">
      <c r="A540" s="21"/>
      <c r="B540" s="21"/>
      <c r="C540" s="21"/>
      <c r="D540" s="21"/>
      <c r="E540" s="136"/>
      <c r="F540" s="136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</row>
    <row r="541">
      <c r="A541" s="21"/>
      <c r="B541" s="21"/>
      <c r="C541" s="21"/>
      <c r="D541" s="21"/>
      <c r="E541" s="136"/>
      <c r="F541" s="136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</row>
    <row r="542">
      <c r="A542" s="21"/>
      <c r="B542" s="21"/>
      <c r="C542" s="21"/>
      <c r="D542" s="21"/>
      <c r="E542" s="136"/>
      <c r="F542" s="136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</row>
    <row r="543">
      <c r="A543" s="21"/>
      <c r="B543" s="21"/>
      <c r="C543" s="21"/>
      <c r="D543" s="21"/>
      <c r="E543" s="136"/>
      <c r="F543" s="136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</row>
    <row r="544">
      <c r="A544" s="21"/>
      <c r="B544" s="21"/>
      <c r="C544" s="21"/>
      <c r="D544" s="21"/>
      <c r="E544" s="136"/>
      <c r="F544" s="136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</row>
    <row r="545">
      <c r="A545" s="21"/>
      <c r="B545" s="21"/>
      <c r="C545" s="21"/>
      <c r="D545" s="21"/>
      <c r="E545" s="136"/>
      <c r="F545" s="136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</row>
    <row r="546">
      <c r="A546" s="21"/>
      <c r="B546" s="21"/>
      <c r="C546" s="21"/>
      <c r="D546" s="21"/>
      <c r="E546" s="136"/>
      <c r="F546" s="136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</row>
    <row r="547">
      <c r="A547" s="21"/>
      <c r="B547" s="21"/>
      <c r="C547" s="21"/>
      <c r="D547" s="21"/>
      <c r="E547" s="136"/>
      <c r="F547" s="136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</row>
    <row r="548">
      <c r="A548" s="21"/>
      <c r="B548" s="21"/>
      <c r="C548" s="21"/>
      <c r="D548" s="21"/>
      <c r="E548" s="136"/>
      <c r="F548" s="136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</row>
    <row r="549">
      <c r="A549" s="21"/>
      <c r="B549" s="21"/>
      <c r="C549" s="21"/>
      <c r="D549" s="21"/>
      <c r="E549" s="136"/>
      <c r="F549" s="136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</row>
    <row r="550">
      <c r="A550" s="21"/>
      <c r="B550" s="21"/>
      <c r="C550" s="21"/>
      <c r="D550" s="21"/>
      <c r="E550" s="136"/>
      <c r="F550" s="136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</row>
    <row r="551">
      <c r="A551" s="21"/>
      <c r="B551" s="21"/>
      <c r="C551" s="21"/>
      <c r="D551" s="21"/>
      <c r="E551" s="136"/>
      <c r="F551" s="136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</row>
    <row r="552">
      <c r="A552" s="21"/>
      <c r="B552" s="21"/>
      <c r="C552" s="21"/>
      <c r="D552" s="21"/>
      <c r="E552" s="136"/>
      <c r="F552" s="136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</row>
    <row r="553">
      <c r="A553" s="21"/>
      <c r="B553" s="21"/>
      <c r="C553" s="21"/>
      <c r="D553" s="21"/>
      <c r="E553" s="136"/>
      <c r="F553" s="136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</row>
    <row r="554">
      <c r="A554" s="21"/>
      <c r="B554" s="21"/>
      <c r="C554" s="21"/>
      <c r="D554" s="21"/>
      <c r="E554" s="136"/>
      <c r="F554" s="136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</row>
    <row r="555">
      <c r="A555" s="21"/>
      <c r="B555" s="21"/>
      <c r="C555" s="21"/>
      <c r="D555" s="21"/>
      <c r="E555" s="136"/>
      <c r="F555" s="136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</row>
    <row r="556">
      <c r="A556" s="21"/>
      <c r="B556" s="21"/>
      <c r="C556" s="21"/>
      <c r="D556" s="21"/>
      <c r="E556" s="136"/>
      <c r="F556" s="136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</row>
    <row r="557">
      <c r="A557" s="21"/>
      <c r="B557" s="21"/>
      <c r="C557" s="21"/>
      <c r="D557" s="21"/>
      <c r="E557" s="136"/>
      <c r="F557" s="136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</row>
    <row r="558">
      <c r="A558" s="21"/>
      <c r="B558" s="21"/>
      <c r="C558" s="21"/>
      <c r="D558" s="21"/>
      <c r="E558" s="136"/>
      <c r="F558" s="136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</row>
    <row r="559">
      <c r="A559" s="21"/>
      <c r="B559" s="21"/>
      <c r="C559" s="21"/>
      <c r="D559" s="21"/>
      <c r="E559" s="136"/>
      <c r="F559" s="136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</row>
    <row r="560">
      <c r="A560" s="21"/>
      <c r="B560" s="21"/>
      <c r="C560" s="21"/>
      <c r="D560" s="21"/>
      <c r="E560" s="136"/>
      <c r="F560" s="136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</row>
    <row r="561">
      <c r="A561" s="21"/>
      <c r="B561" s="21"/>
      <c r="C561" s="21"/>
      <c r="D561" s="21"/>
      <c r="E561" s="136"/>
      <c r="F561" s="136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</row>
    <row r="562">
      <c r="A562" s="21"/>
      <c r="B562" s="21"/>
      <c r="C562" s="21"/>
      <c r="D562" s="21"/>
      <c r="E562" s="136"/>
      <c r="F562" s="136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</row>
    <row r="563">
      <c r="A563" s="21"/>
      <c r="B563" s="21"/>
      <c r="C563" s="21"/>
      <c r="D563" s="21"/>
      <c r="E563" s="136"/>
      <c r="F563" s="136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</row>
    <row r="564">
      <c r="A564" s="21"/>
      <c r="B564" s="21"/>
      <c r="C564" s="21"/>
      <c r="D564" s="21"/>
      <c r="E564" s="136"/>
      <c r="F564" s="136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</row>
    <row r="565">
      <c r="A565" s="21"/>
      <c r="B565" s="21"/>
      <c r="C565" s="21"/>
      <c r="D565" s="21"/>
      <c r="E565" s="136"/>
      <c r="F565" s="136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</row>
    <row r="566">
      <c r="A566" s="21"/>
      <c r="B566" s="21"/>
      <c r="C566" s="21"/>
      <c r="D566" s="21"/>
      <c r="E566" s="136"/>
      <c r="F566" s="136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</row>
    <row r="567">
      <c r="A567" s="21"/>
      <c r="B567" s="21"/>
      <c r="C567" s="21"/>
      <c r="D567" s="21"/>
      <c r="E567" s="136"/>
      <c r="F567" s="136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</row>
    <row r="568">
      <c r="A568" s="21"/>
      <c r="B568" s="21"/>
      <c r="C568" s="21"/>
      <c r="D568" s="21"/>
      <c r="E568" s="136"/>
      <c r="F568" s="136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</row>
    <row r="569">
      <c r="A569" s="21"/>
      <c r="B569" s="21"/>
      <c r="C569" s="21"/>
      <c r="D569" s="21"/>
      <c r="E569" s="136"/>
      <c r="F569" s="136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</row>
    <row r="570">
      <c r="A570" s="21"/>
      <c r="B570" s="21"/>
      <c r="C570" s="21"/>
      <c r="D570" s="21"/>
      <c r="E570" s="136"/>
      <c r="F570" s="136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</row>
    <row r="571">
      <c r="A571" s="21"/>
      <c r="B571" s="21"/>
      <c r="C571" s="21"/>
      <c r="D571" s="21"/>
      <c r="E571" s="136"/>
      <c r="F571" s="136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</row>
    <row r="572">
      <c r="A572" s="21"/>
      <c r="B572" s="21"/>
      <c r="C572" s="21"/>
      <c r="D572" s="21"/>
      <c r="E572" s="136"/>
      <c r="F572" s="136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</row>
    <row r="573">
      <c r="A573" s="21"/>
      <c r="B573" s="21"/>
      <c r="C573" s="21"/>
      <c r="D573" s="21"/>
      <c r="E573" s="136"/>
      <c r="F573" s="136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</row>
    <row r="574">
      <c r="A574" s="21"/>
      <c r="B574" s="21"/>
      <c r="C574" s="21"/>
      <c r="D574" s="21"/>
      <c r="E574" s="136"/>
      <c r="F574" s="136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</row>
    <row r="575">
      <c r="A575" s="21"/>
      <c r="B575" s="21"/>
      <c r="C575" s="21"/>
      <c r="D575" s="21"/>
      <c r="E575" s="136"/>
      <c r="F575" s="136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</row>
    <row r="576">
      <c r="A576" s="21"/>
      <c r="B576" s="21"/>
      <c r="C576" s="21"/>
      <c r="D576" s="21"/>
      <c r="E576" s="136"/>
      <c r="F576" s="136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</row>
    <row r="577">
      <c r="A577" s="21"/>
      <c r="B577" s="21"/>
      <c r="C577" s="21"/>
      <c r="D577" s="21"/>
      <c r="E577" s="136"/>
      <c r="F577" s="136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</row>
    <row r="578">
      <c r="A578" s="21"/>
      <c r="B578" s="21"/>
      <c r="C578" s="21"/>
      <c r="D578" s="21"/>
      <c r="E578" s="136"/>
      <c r="F578" s="136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</row>
    <row r="579">
      <c r="A579" s="21"/>
      <c r="B579" s="21"/>
      <c r="C579" s="21"/>
      <c r="D579" s="21"/>
      <c r="E579" s="136"/>
      <c r="F579" s="136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</row>
    <row r="580">
      <c r="A580" s="21"/>
      <c r="B580" s="21"/>
      <c r="C580" s="21"/>
      <c r="D580" s="21"/>
      <c r="E580" s="136"/>
      <c r="F580" s="136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</row>
    <row r="581">
      <c r="A581" s="21"/>
      <c r="B581" s="21"/>
      <c r="C581" s="21"/>
      <c r="D581" s="21"/>
      <c r="E581" s="136"/>
      <c r="F581" s="136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</row>
    <row r="582">
      <c r="A582" s="21"/>
      <c r="B582" s="21"/>
      <c r="C582" s="21"/>
      <c r="D582" s="21"/>
      <c r="E582" s="136"/>
      <c r="F582" s="136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</row>
    <row r="583">
      <c r="A583" s="21"/>
      <c r="B583" s="21"/>
      <c r="C583" s="21"/>
      <c r="D583" s="21"/>
      <c r="E583" s="136"/>
      <c r="F583" s="136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</row>
    <row r="584">
      <c r="A584" s="21"/>
      <c r="B584" s="21"/>
      <c r="C584" s="21"/>
      <c r="D584" s="21"/>
      <c r="E584" s="136"/>
      <c r="F584" s="136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</row>
    <row r="585">
      <c r="A585" s="21"/>
      <c r="B585" s="21"/>
      <c r="C585" s="21"/>
      <c r="D585" s="21"/>
      <c r="E585" s="136"/>
      <c r="F585" s="136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</row>
    <row r="586">
      <c r="A586" s="21"/>
      <c r="B586" s="21"/>
      <c r="C586" s="21"/>
      <c r="D586" s="21"/>
      <c r="E586" s="136"/>
      <c r="F586" s="136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</row>
    <row r="587">
      <c r="A587" s="21"/>
      <c r="B587" s="21"/>
      <c r="C587" s="21"/>
      <c r="D587" s="21"/>
      <c r="E587" s="136"/>
      <c r="F587" s="136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</row>
    <row r="588">
      <c r="A588" s="21"/>
      <c r="B588" s="21"/>
      <c r="C588" s="21"/>
      <c r="D588" s="21"/>
      <c r="E588" s="136"/>
      <c r="F588" s="136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</row>
    <row r="589">
      <c r="A589" s="21"/>
      <c r="B589" s="21"/>
      <c r="C589" s="21"/>
      <c r="D589" s="21"/>
      <c r="E589" s="136"/>
      <c r="F589" s="136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</row>
    <row r="590">
      <c r="A590" s="21"/>
      <c r="B590" s="21"/>
      <c r="C590" s="21"/>
      <c r="D590" s="21"/>
      <c r="E590" s="136"/>
      <c r="F590" s="136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</row>
    <row r="591">
      <c r="A591" s="21"/>
      <c r="B591" s="21"/>
      <c r="C591" s="21"/>
      <c r="D591" s="21"/>
      <c r="E591" s="136"/>
      <c r="F591" s="136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</row>
    <row r="592">
      <c r="A592" s="21"/>
      <c r="B592" s="21"/>
      <c r="C592" s="21"/>
      <c r="D592" s="21"/>
      <c r="E592" s="136"/>
      <c r="F592" s="136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</row>
    <row r="593">
      <c r="A593" s="21"/>
      <c r="B593" s="21"/>
      <c r="C593" s="21"/>
      <c r="D593" s="21"/>
      <c r="E593" s="136"/>
      <c r="F593" s="136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</row>
    <row r="594">
      <c r="A594" s="21"/>
      <c r="B594" s="21"/>
      <c r="C594" s="21"/>
      <c r="D594" s="21"/>
      <c r="E594" s="136"/>
      <c r="F594" s="136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</row>
    <row r="595">
      <c r="A595" s="21"/>
      <c r="B595" s="21"/>
      <c r="C595" s="21"/>
      <c r="D595" s="21"/>
      <c r="E595" s="136"/>
      <c r="F595" s="136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</row>
    <row r="596">
      <c r="A596" s="21"/>
      <c r="B596" s="21"/>
      <c r="C596" s="21"/>
      <c r="D596" s="21"/>
      <c r="E596" s="136"/>
      <c r="F596" s="136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</row>
    <row r="597">
      <c r="A597" s="21"/>
      <c r="B597" s="21"/>
      <c r="C597" s="21"/>
      <c r="D597" s="21"/>
      <c r="E597" s="136"/>
      <c r="F597" s="136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</row>
    <row r="598">
      <c r="A598" s="21"/>
      <c r="B598" s="21"/>
      <c r="C598" s="21"/>
      <c r="D598" s="21"/>
      <c r="E598" s="136"/>
      <c r="F598" s="136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</row>
    <row r="599">
      <c r="A599" s="21"/>
      <c r="B599" s="21"/>
      <c r="C599" s="21"/>
      <c r="D599" s="21"/>
      <c r="E599" s="136"/>
      <c r="F599" s="136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</row>
    <row r="600">
      <c r="A600" s="21"/>
      <c r="B600" s="21"/>
      <c r="C600" s="21"/>
      <c r="D600" s="21"/>
      <c r="E600" s="136"/>
      <c r="F600" s="136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</row>
    <row r="601">
      <c r="A601" s="21"/>
      <c r="B601" s="21"/>
      <c r="C601" s="21"/>
      <c r="D601" s="21"/>
      <c r="E601" s="136"/>
      <c r="F601" s="136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</row>
    <row r="602">
      <c r="A602" s="21"/>
      <c r="B602" s="21"/>
      <c r="C602" s="21"/>
      <c r="D602" s="21"/>
      <c r="E602" s="136"/>
      <c r="F602" s="136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</row>
    <row r="603">
      <c r="A603" s="21"/>
      <c r="B603" s="21"/>
      <c r="C603" s="21"/>
      <c r="D603" s="21"/>
      <c r="E603" s="136"/>
      <c r="F603" s="136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</row>
    <row r="604">
      <c r="A604" s="21"/>
      <c r="B604" s="21"/>
      <c r="C604" s="21"/>
      <c r="D604" s="21"/>
      <c r="E604" s="136"/>
      <c r="F604" s="136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</row>
    <row r="605">
      <c r="A605" s="21"/>
      <c r="B605" s="21"/>
      <c r="C605" s="21"/>
      <c r="D605" s="21"/>
      <c r="E605" s="136"/>
      <c r="F605" s="136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</row>
    <row r="606">
      <c r="A606" s="21"/>
      <c r="B606" s="21"/>
      <c r="C606" s="21"/>
      <c r="D606" s="21"/>
      <c r="E606" s="136"/>
      <c r="F606" s="136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</row>
    <row r="607">
      <c r="A607" s="21"/>
      <c r="B607" s="21"/>
      <c r="C607" s="21"/>
      <c r="D607" s="21"/>
      <c r="E607" s="136"/>
      <c r="F607" s="136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</row>
    <row r="608">
      <c r="A608" s="21"/>
      <c r="B608" s="21"/>
      <c r="C608" s="21"/>
      <c r="D608" s="21"/>
      <c r="E608" s="136"/>
      <c r="F608" s="136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</row>
    <row r="609">
      <c r="A609" s="21"/>
      <c r="B609" s="21"/>
      <c r="C609" s="21"/>
      <c r="D609" s="21"/>
      <c r="E609" s="136"/>
      <c r="F609" s="136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</row>
    <row r="610">
      <c r="A610" s="21"/>
      <c r="B610" s="21"/>
      <c r="C610" s="21"/>
      <c r="D610" s="21"/>
      <c r="E610" s="136"/>
      <c r="F610" s="136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</row>
    <row r="611">
      <c r="A611" s="21"/>
      <c r="B611" s="21"/>
      <c r="C611" s="21"/>
      <c r="D611" s="21"/>
      <c r="E611" s="136"/>
      <c r="F611" s="136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</row>
    <row r="612">
      <c r="A612" s="21"/>
      <c r="B612" s="21"/>
      <c r="C612" s="21"/>
      <c r="D612" s="21"/>
      <c r="E612" s="136"/>
      <c r="F612" s="136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</row>
    <row r="613">
      <c r="A613" s="21"/>
      <c r="B613" s="21"/>
      <c r="C613" s="21"/>
      <c r="D613" s="21"/>
      <c r="E613" s="136"/>
      <c r="F613" s="136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</row>
    <row r="614">
      <c r="A614" s="21"/>
      <c r="B614" s="21"/>
      <c r="C614" s="21"/>
      <c r="D614" s="21"/>
      <c r="E614" s="136"/>
      <c r="F614" s="136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</row>
    <row r="615">
      <c r="A615" s="21"/>
      <c r="B615" s="21"/>
      <c r="C615" s="21"/>
      <c r="D615" s="21"/>
      <c r="E615" s="136"/>
      <c r="F615" s="136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</row>
    <row r="616">
      <c r="A616" s="21"/>
      <c r="B616" s="21"/>
      <c r="C616" s="21"/>
      <c r="D616" s="21"/>
      <c r="E616" s="136"/>
      <c r="F616" s="136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</row>
    <row r="617">
      <c r="A617" s="21"/>
      <c r="B617" s="21"/>
      <c r="C617" s="21"/>
      <c r="D617" s="21"/>
      <c r="E617" s="136"/>
      <c r="F617" s="136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</row>
    <row r="618">
      <c r="A618" s="21"/>
      <c r="B618" s="21"/>
      <c r="C618" s="21"/>
      <c r="D618" s="21"/>
      <c r="E618" s="136"/>
      <c r="F618" s="136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</row>
    <row r="619">
      <c r="A619" s="21"/>
      <c r="B619" s="21"/>
      <c r="C619" s="21"/>
      <c r="D619" s="21"/>
      <c r="E619" s="136"/>
      <c r="F619" s="136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</row>
    <row r="620">
      <c r="A620" s="21"/>
      <c r="B620" s="21"/>
      <c r="C620" s="21"/>
      <c r="D620" s="21"/>
      <c r="E620" s="136"/>
      <c r="F620" s="136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</row>
    <row r="621">
      <c r="A621" s="21"/>
      <c r="B621" s="21"/>
      <c r="C621" s="21"/>
      <c r="D621" s="21"/>
      <c r="E621" s="136"/>
      <c r="F621" s="136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</row>
    <row r="622">
      <c r="A622" s="21"/>
      <c r="B622" s="21"/>
      <c r="C622" s="21"/>
      <c r="D622" s="21"/>
      <c r="E622" s="136"/>
      <c r="F622" s="136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</row>
    <row r="623">
      <c r="A623" s="21"/>
      <c r="B623" s="21"/>
      <c r="C623" s="21"/>
      <c r="D623" s="21"/>
      <c r="E623" s="136"/>
      <c r="F623" s="136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</row>
    <row r="624">
      <c r="A624" s="21"/>
      <c r="B624" s="21"/>
      <c r="C624" s="21"/>
      <c r="D624" s="21"/>
      <c r="E624" s="136"/>
      <c r="F624" s="136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</row>
    <row r="625">
      <c r="A625" s="21"/>
      <c r="B625" s="21"/>
      <c r="C625" s="21"/>
      <c r="D625" s="21"/>
      <c r="E625" s="136"/>
      <c r="F625" s="136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</row>
    <row r="626">
      <c r="A626" s="21"/>
      <c r="B626" s="21"/>
      <c r="C626" s="21"/>
      <c r="D626" s="21"/>
      <c r="E626" s="136"/>
      <c r="F626" s="136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</row>
    <row r="627">
      <c r="A627" s="21"/>
      <c r="B627" s="21"/>
      <c r="C627" s="21"/>
      <c r="D627" s="21"/>
      <c r="E627" s="136"/>
      <c r="F627" s="136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</row>
    <row r="628">
      <c r="A628" s="21"/>
      <c r="B628" s="21"/>
      <c r="C628" s="21"/>
      <c r="D628" s="21"/>
      <c r="E628" s="136"/>
      <c r="F628" s="136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</row>
    <row r="629">
      <c r="A629" s="21"/>
      <c r="B629" s="21"/>
      <c r="C629" s="21"/>
      <c r="D629" s="21"/>
      <c r="E629" s="136"/>
      <c r="F629" s="136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</row>
    <row r="630">
      <c r="A630" s="21"/>
      <c r="B630" s="21"/>
      <c r="C630" s="21"/>
      <c r="D630" s="21"/>
      <c r="E630" s="136"/>
      <c r="F630" s="136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</row>
    <row r="631">
      <c r="A631" s="21"/>
      <c r="B631" s="21"/>
      <c r="C631" s="21"/>
      <c r="D631" s="21"/>
      <c r="E631" s="136"/>
      <c r="F631" s="136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</row>
    <row r="632">
      <c r="A632" s="21"/>
      <c r="B632" s="21"/>
      <c r="C632" s="21"/>
      <c r="D632" s="21"/>
      <c r="E632" s="136"/>
      <c r="F632" s="136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</row>
    <row r="633">
      <c r="A633" s="21"/>
      <c r="B633" s="21"/>
      <c r="C633" s="21"/>
      <c r="D633" s="21"/>
      <c r="E633" s="136"/>
      <c r="F633" s="136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</row>
    <row r="634">
      <c r="A634" s="21"/>
      <c r="B634" s="21"/>
      <c r="C634" s="21"/>
      <c r="D634" s="21"/>
      <c r="E634" s="136"/>
      <c r="F634" s="136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</row>
    <row r="635">
      <c r="A635" s="21"/>
      <c r="B635" s="21"/>
      <c r="C635" s="21"/>
      <c r="D635" s="21"/>
      <c r="E635" s="136"/>
      <c r="F635" s="136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</row>
    <row r="636">
      <c r="A636" s="21"/>
      <c r="B636" s="21"/>
      <c r="C636" s="21"/>
      <c r="D636" s="21"/>
      <c r="E636" s="136"/>
      <c r="F636" s="136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</row>
    <row r="637">
      <c r="A637" s="21"/>
      <c r="B637" s="21"/>
      <c r="C637" s="21"/>
      <c r="D637" s="21"/>
      <c r="E637" s="136"/>
      <c r="F637" s="136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</row>
    <row r="638">
      <c r="A638" s="21"/>
      <c r="B638" s="21"/>
      <c r="C638" s="21"/>
      <c r="D638" s="21"/>
      <c r="E638" s="136"/>
      <c r="F638" s="136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</row>
    <row r="639">
      <c r="A639" s="21"/>
      <c r="B639" s="21"/>
      <c r="C639" s="21"/>
      <c r="D639" s="21"/>
      <c r="E639" s="136"/>
      <c r="F639" s="136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</row>
    <row r="640">
      <c r="A640" s="21"/>
      <c r="B640" s="21"/>
      <c r="C640" s="21"/>
      <c r="D640" s="21"/>
      <c r="E640" s="136"/>
      <c r="F640" s="136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</row>
    <row r="641">
      <c r="A641" s="21"/>
      <c r="B641" s="21"/>
      <c r="C641" s="21"/>
      <c r="D641" s="21"/>
      <c r="E641" s="136"/>
      <c r="F641" s="136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</row>
    <row r="642">
      <c r="A642" s="21"/>
      <c r="B642" s="21"/>
      <c r="C642" s="21"/>
      <c r="D642" s="21"/>
      <c r="E642" s="136"/>
      <c r="F642" s="136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</row>
    <row r="643">
      <c r="A643" s="21"/>
      <c r="B643" s="21"/>
      <c r="C643" s="21"/>
      <c r="D643" s="21"/>
      <c r="E643" s="136"/>
      <c r="F643" s="136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</row>
    <row r="644">
      <c r="A644" s="21"/>
      <c r="B644" s="21"/>
      <c r="C644" s="21"/>
      <c r="D644" s="21"/>
      <c r="E644" s="136"/>
      <c r="F644" s="136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</row>
    <row r="645">
      <c r="A645" s="21"/>
      <c r="B645" s="21"/>
      <c r="C645" s="21"/>
      <c r="D645" s="21"/>
      <c r="E645" s="136"/>
      <c r="F645" s="136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</row>
    <row r="646">
      <c r="A646" s="21"/>
      <c r="B646" s="21"/>
      <c r="C646" s="21"/>
      <c r="D646" s="21"/>
      <c r="E646" s="136"/>
      <c r="F646" s="136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</row>
    <row r="647">
      <c r="A647" s="21"/>
      <c r="B647" s="21"/>
      <c r="C647" s="21"/>
      <c r="D647" s="21"/>
      <c r="E647" s="136"/>
      <c r="F647" s="136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</row>
    <row r="648">
      <c r="A648" s="21"/>
      <c r="B648" s="21"/>
      <c r="C648" s="21"/>
      <c r="D648" s="21"/>
      <c r="E648" s="136"/>
      <c r="F648" s="136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</row>
    <row r="649">
      <c r="A649" s="21"/>
      <c r="B649" s="21"/>
      <c r="C649" s="21"/>
      <c r="D649" s="21"/>
      <c r="E649" s="136"/>
      <c r="F649" s="136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</row>
    <row r="650">
      <c r="A650" s="21"/>
      <c r="B650" s="21"/>
      <c r="C650" s="21"/>
      <c r="D650" s="21"/>
      <c r="E650" s="136"/>
      <c r="F650" s="136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</row>
    <row r="651">
      <c r="A651" s="21"/>
      <c r="B651" s="21"/>
      <c r="C651" s="21"/>
      <c r="D651" s="21"/>
      <c r="E651" s="136"/>
      <c r="F651" s="136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</row>
    <row r="652">
      <c r="A652" s="21"/>
      <c r="B652" s="21"/>
      <c r="C652" s="21"/>
      <c r="D652" s="21"/>
      <c r="E652" s="136"/>
      <c r="F652" s="136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</row>
    <row r="653">
      <c r="A653" s="21"/>
      <c r="B653" s="21"/>
      <c r="C653" s="21"/>
      <c r="D653" s="21"/>
      <c r="E653" s="136"/>
      <c r="F653" s="136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</row>
    <row r="654">
      <c r="A654" s="21"/>
      <c r="B654" s="21"/>
      <c r="C654" s="21"/>
      <c r="D654" s="21"/>
      <c r="E654" s="136"/>
      <c r="F654" s="136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</row>
    <row r="655">
      <c r="A655" s="21"/>
      <c r="B655" s="21"/>
      <c r="C655" s="21"/>
      <c r="D655" s="21"/>
      <c r="E655" s="136"/>
      <c r="F655" s="136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</row>
    <row r="656">
      <c r="A656" s="21"/>
      <c r="B656" s="21"/>
      <c r="C656" s="21"/>
      <c r="D656" s="21"/>
      <c r="E656" s="136"/>
      <c r="F656" s="136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</row>
    <row r="657">
      <c r="A657" s="21"/>
      <c r="B657" s="21"/>
      <c r="C657" s="21"/>
      <c r="D657" s="21"/>
      <c r="E657" s="136"/>
      <c r="F657" s="136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</row>
    <row r="658">
      <c r="A658" s="21"/>
      <c r="B658" s="21"/>
      <c r="C658" s="21"/>
      <c r="D658" s="21"/>
      <c r="E658" s="136"/>
      <c r="F658" s="136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</row>
    <row r="659">
      <c r="A659" s="21"/>
      <c r="B659" s="21"/>
      <c r="C659" s="21"/>
      <c r="D659" s="21"/>
      <c r="E659" s="136"/>
      <c r="F659" s="136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</row>
    <row r="660">
      <c r="A660" s="21"/>
      <c r="B660" s="21"/>
      <c r="C660" s="21"/>
      <c r="D660" s="21"/>
      <c r="E660" s="136"/>
      <c r="F660" s="136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</row>
    <row r="661">
      <c r="A661" s="21"/>
      <c r="B661" s="21"/>
      <c r="C661" s="21"/>
      <c r="D661" s="21"/>
      <c r="E661" s="136"/>
      <c r="F661" s="136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</row>
    <row r="662">
      <c r="A662" s="21"/>
      <c r="B662" s="21"/>
      <c r="C662" s="21"/>
      <c r="D662" s="21"/>
      <c r="E662" s="136"/>
      <c r="F662" s="136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</row>
    <row r="663">
      <c r="A663" s="21"/>
      <c r="B663" s="21"/>
      <c r="C663" s="21"/>
      <c r="D663" s="21"/>
      <c r="E663" s="136"/>
      <c r="F663" s="136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</row>
    <row r="664">
      <c r="A664" s="21"/>
      <c r="B664" s="21"/>
      <c r="C664" s="21"/>
      <c r="D664" s="21"/>
      <c r="E664" s="136"/>
      <c r="F664" s="136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</row>
    <row r="665">
      <c r="A665" s="21"/>
      <c r="B665" s="21"/>
      <c r="C665" s="21"/>
      <c r="D665" s="21"/>
      <c r="E665" s="136"/>
      <c r="F665" s="136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</row>
    <row r="666">
      <c r="A666" s="21"/>
      <c r="B666" s="21"/>
      <c r="C666" s="21"/>
      <c r="D666" s="21"/>
      <c r="E666" s="136"/>
      <c r="F666" s="136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</row>
    <row r="667">
      <c r="A667" s="21"/>
      <c r="B667" s="21"/>
      <c r="C667" s="21"/>
      <c r="D667" s="21"/>
      <c r="E667" s="136"/>
      <c r="F667" s="136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</row>
    <row r="668">
      <c r="A668" s="21"/>
      <c r="B668" s="21"/>
      <c r="C668" s="21"/>
      <c r="D668" s="21"/>
      <c r="E668" s="136"/>
      <c r="F668" s="136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</row>
    <row r="669">
      <c r="A669" s="21"/>
      <c r="B669" s="21"/>
      <c r="C669" s="21"/>
      <c r="D669" s="21"/>
      <c r="E669" s="136"/>
      <c r="F669" s="136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</row>
    <row r="670">
      <c r="A670" s="21"/>
      <c r="B670" s="21"/>
      <c r="C670" s="21"/>
      <c r="D670" s="21"/>
      <c r="E670" s="136"/>
      <c r="F670" s="136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</row>
    <row r="671">
      <c r="A671" s="21"/>
      <c r="B671" s="21"/>
      <c r="C671" s="21"/>
      <c r="D671" s="21"/>
      <c r="E671" s="136"/>
      <c r="F671" s="136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</row>
    <row r="672">
      <c r="A672" s="21"/>
      <c r="B672" s="21"/>
      <c r="C672" s="21"/>
      <c r="D672" s="21"/>
      <c r="E672" s="136"/>
      <c r="F672" s="136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</row>
    <row r="673">
      <c r="A673" s="21"/>
      <c r="B673" s="21"/>
      <c r="C673" s="21"/>
      <c r="D673" s="21"/>
      <c r="E673" s="136"/>
      <c r="F673" s="136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</row>
    <row r="674">
      <c r="A674" s="21"/>
      <c r="B674" s="21"/>
      <c r="C674" s="21"/>
      <c r="D674" s="21"/>
      <c r="E674" s="136"/>
      <c r="F674" s="136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</row>
    <row r="675">
      <c r="A675" s="21"/>
      <c r="B675" s="21"/>
      <c r="C675" s="21"/>
      <c r="D675" s="21"/>
      <c r="E675" s="136"/>
      <c r="F675" s="136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</row>
    <row r="676">
      <c r="A676" s="21"/>
      <c r="B676" s="21"/>
      <c r="C676" s="21"/>
      <c r="D676" s="21"/>
      <c r="E676" s="136"/>
      <c r="F676" s="136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</row>
    <row r="677">
      <c r="A677" s="21"/>
      <c r="B677" s="21"/>
      <c r="C677" s="21"/>
      <c r="D677" s="21"/>
      <c r="E677" s="136"/>
      <c r="F677" s="136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</row>
    <row r="678">
      <c r="A678" s="21"/>
      <c r="B678" s="21"/>
      <c r="C678" s="21"/>
      <c r="D678" s="21"/>
      <c r="E678" s="136"/>
      <c r="F678" s="136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</row>
    <row r="679">
      <c r="A679" s="21"/>
      <c r="B679" s="21"/>
      <c r="C679" s="21"/>
      <c r="D679" s="21"/>
      <c r="E679" s="136"/>
      <c r="F679" s="136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</row>
    <row r="680">
      <c r="A680" s="21"/>
      <c r="B680" s="21"/>
      <c r="C680" s="21"/>
      <c r="D680" s="21"/>
      <c r="E680" s="136"/>
      <c r="F680" s="136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</row>
    <row r="681">
      <c r="A681" s="21"/>
      <c r="B681" s="21"/>
      <c r="C681" s="21"/>
      <c r="D681" s="21"/>
      <c r="E681" s="136"/>
      <c r="F681" s="136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</row>
    <row r="682">
      <c r="A682" s="21"/>
      <c r="B682" s="21"/>
      <c r="C682" s="21"/>
      <c r="D682" s="21"/>
      <c r="E682" s="136"/>
      <c r="F682" s="136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</row>
    <row r="683">
      <c r="A683" s="21"/>
      <c r="B683" s="21"/>
      <c r="C683" s="21"/>
      <c r="D683" s="21"/>
      <c r="E683" s="136"/>
      <c r="F683" s="136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</row>
    <row r="684">
      <c r="A684" s="21"/>
      <c r="B684" s="21"/>
      <c r="C684" s="21"/>
      <c r="D684" s="21"/>
      <c r="E684" s="136"/>
      <c r="F684" s="136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</row>
    <row r="685">
      <c r="A685" s="21"/>
      <c r="B685" s="21"/>
      <c r="C685" s="21"/>
      <c r="D685" s="21"/>
      <c r="E685" s="136"/>
      <c r="F685" s="136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</row>
    <row r="686">
      <c r="A686" s="21"/>
      <c r="B686" s="21"/>
      <c r="C686" s="21"/>
      <c r="D686" s="21"/>
      <c r="E686" s="136"/>
      <c r="F686" s="136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</row>
    <row r="687">
      <c r="A687" s="21"/>
      <c r="B687" s="21"/>
      <c r="C687" s="21"/>
      <c r="D687" s="21"/>
      <c r="E687" s="136"/>
      <c r="F687" s="136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</row>
    <row r="688">
      <c r="A688" s="21"/>
      <c r="B688" s="21"/>
      <c r="C688" s="21"/>
      <c r="D688" s="21"/>
      <c r="E688" s="136"/>
      <c r="F688" s="136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</row>
    <row r="689">
      <c r="A689" s="21"/>
      <c r="B689" s="21"/>
      <c r="C689" s="21"/>
      <c r="D689" s="21"/>
      <c r="E689" s="136"/>
      <c r="F689" s="136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</row>
    <row r="690">
      <c r="A690" s="21"/>
      <c r="B690" s="21"/>
      <c r="C690" s="21"/>
      <c r="D690" s="21"/>
      <c r="E690" s="136"/>
      <c r="F690" s="136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</row>
    <row r="691">
      <c r="A691" s="21"/>
      <c r="B691" s="21"/>
      <c r="C691" s="21"/>
      <c r="D691" s="21"/>
      <c r="E691" s="136"/>
      <c r="F691" s="136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</row>
    <row r="692">
      <c r="A692" s="21"/>
      <c r="B692" s="21"/>
      <c r="C692" s="21"/>
      <c r="D692" s="21"/>
      <c r="E692" s="136"/>
      <c r="F692" s="136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</row>
    <row r="693">
      <c r="A693" s="21"/>
      <c r="B693" s="21"/>
      <c r="C693" s="21"/>
      <c r="D693" s="21"/>
      <c r="E693" s="136"/>
      <c r="F693" s="136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</row>
    <row r="694">
      <c r="A694" s="21"/>
      <c r="B694" s="21"/>
      <c r="C694" s="21"/>
      <c r="D694" s="21"/>
      <c r="E694" s="136"/>
      <c r="F694" s="136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</row>
    <row r="695">
      <c r="A695" s="21"/>
      <c r="B695" s="21"/>
      <c r="C695" s="21"/>
      <c r="D695" s="21"/>
      <c r="E695" s="136"/>
      <c r="F695" s="136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</row>
    <row r="696">
      <c r="A696" s="21"/>
      <c r="B696" s="21"/>
      <c r="C696" s="21"/>
      <c r="D696" s="21"/>
      <c r="E696" s="136"/>
      <c r="F696" s="136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</row>
    <row r="697">
      <c r="A697" s="21"/>
      <c r="B697" s="21"/>
      <c r="C697" s="21"/>
      <c r="D697" s="21"/>
      <c r="E697" s="136"/>
      <c r="F697" s="136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</row>
    <row r="698">
      <c r="A698" s="21"/>
      <c r="B698" s="21"/>
      <c r="C698" s="21"/>
      <c r="D698" s="21"/>
      <c r="E698" s="136"/>
      <c r="F698" s="136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</row>
    <row r="699">
      <c r="A699" s="21"/>
      <c r="B699" s="21"/>
      <c r="C699" s="21"/>
      <c r="D699" s="21"/>
      <c r="E699" s="136"/>
      <c r="F699" s="136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</row>
    <row r="700">
      <c r="A700" s="21"/>
      <c r="B700" s="21"/>
      <c r="C700" s="21"/>
      <c r="D700" s="21"/>
      <c r="E700" s="136"/>
      <c r="F700" s="136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</row>
    <row r="701">
      <c r="A701" s="21"/>
      <c r="B701" s="21"/>
      <c r="C701" s="21"/>
      <c r="D701" s="21"/>
      <c r="E701" s="136"/>
      <c r="F701" s="136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</row>
    <row r="702">
      <c r="A702" s="21"/>
      <c r="B702" s="21"/>
      <c r="C702" s="21"/>
      <c r="D702" s="21"/>
      <c r="E702" s="136"/>
      <c r="F702" s="136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</row>
    <row r="703">
      <c r="A703" s="21"/>
      <c r="B703" s="21"/>
      <c r="C703" s="21"/>
      <c r="D703" s="21"/>
      <c r="E703" s="136"/>
      <c r="F703" s="136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</row>
    <row r="704">
      <c r="A704" s="21"/>
      <c r="B704" s="21"/>
      <c r="C704" s="21"/>
      <c r="D704" s="21"/>
      <c r="E704" s="136"/>
      <c r="F704" s="136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</row>
    <row r="705">
      <c r="A705" s="21"/>
      <c r="B705" s="21"/>
      <c r="C705" s="21"/>
      <c r="D705" s="21"/>
      <c r="E705" s="136"/>
      <c r="F705" s="136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</row>
    <row r="706">
      <c r="A706" s="21"/>
      <c r="B706" s="21"/>
      <c r="C706" s="21"/>
      <c r="D706" s="21"/>
      <c r="E706" s="136"/>
      <c r="F706" s="136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</row>
    <row r="707">
      <c r="A707" s="21"/>
      <c r="B707" s="21"/>
      <c r="C707" s="21"/>
      <c r="D707" s="21"/>
      <c r="E707" s="136"/>
      <c r="F707" s="136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</row>
    <row r="708">
      <c r="A708" s="21"/>
      <c r="B708" s="21"/>
      <c r="C708" s="21"/>
      <c r="D708" s="21"/>
      <c r="E708" s="136"/>
      <c r="F708" s="136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</row>
    <row r="709">
      <c r="A709" s="21"/>
      <c r="B709" s="21"/>
      <c r="C709" s="21"/>
      <c r="D709" s="21"/>
      <c r="E709" s="136"/>
      <c r="F709" s="136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</row>
    <row r="710">
      <c r="A710" s="21"/>
      <c r="B710" s="21"/>
      <c r="C710" s="21"/>
      <c r="D710" s="21"/>
      <c r="E710" s="136"/>
      <c r="F710" s="136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</row>
    <row r="711">
      <c r="A711" s="21"/>
      <c r="B711" s="21"/>
      <c r="C711" s="21"/>
      <c r="D711" s="21"/>
      <c r="E711" s="136"/>
      <c r="F711" s="136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</row>
    <row r="712">
      <c r="A712" s="21"/>
      <c r="B712" s="21"/>
      <c r="C712" s="21"/>
      <c r="D712" s="21"/>
      <c r="E712" s="136"/>
      <c r="F712" s="136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</row>
    <row r="713">
      <c r="A713" s="21"/>
      <c r="B713" s="21"/>
      <c r="C713" s="21"/>
      <c r="D713" s="21"/>
      <c r="E713" s="136"/>
      <c r="F713" s="136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</row>
    <row r="714">
      <c r="A714" s="21"/>
      <c r="B714" s="21"/>
      <c r="C714" s="21"/>
      <c r="D714" s="21"/>
      <c r="E714" s="136"/>
      <c r="F714" s="136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</row>
    <row r="715">
      <c r="A715" s="21"/>
      <c r="B715" s="21"/>
      <c r="C715" s="21"/>
      <c r="D715" s="21"/>
      <c r="E715" s="136"/>
      <c r="F715" s="136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</row>
    <row r="716">
      <c r="A716" s="21"/>
      <c r="B716" s="21"/>
      <c r="C716" s="21"/>
      <c r="D716" s="21"/>
      <c r="E716" s="136"/>
      <c r="F716" s="136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</row>
    <row r="717">
      <c r="A717" s="21"/>
      <c r="B717" s="21"/>
      <c r="C717" s="21"/>
      <c r="D717" s="21"/>
      <c r="E717" s="136"/>
      <c r="F717" s="136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</row>
    <row r="718">
      <c r="A718" s="21"/>
      <c r="B718" s="21"/>
      <c r="C718" s="21"/>
      <c r="D718" s="21"/>
      <c r="E718" s="136"/>
      <c r="F718" s="136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</row>
    <row r="719">
      <c r="A719" s="21"/>
      <c r="B719" s="21"/>
      <c r="C719" s="21"/>
      <c r="D719" s="21"/>
      <c r="E719" s="136"/>
      <c r="F719" s="136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</row>
    <row r="720">
      <c r="A720" s="21"/>
      <c r="B720" s="21"/>
      <c r="C720" s="21"/>
      <c r="D720" s="21"/>
      <c r="E720" s="136"/>
      <c r="F720" s="136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</row>
    <row r="721">
      <c r="A721" s="21"/>
      <c r="B721" s="21"/>
      <c r="C721" s="21"/>
      <c r="D721" s="21"/>
      <c r="E721" s="136"/>
      <c r="F721" s="136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</row>
    <row r="722">
      <c r="A722" s="21"/>
      <c r="B722" s="21"/>
      <c r="C722" s="21"/>
      <c r="D722" s="21"/>
      <c r="E722" s="136"/>
      <c r="F722" s="136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</row>
    <row r="723">
      <c r="A723" s="21"/>
      <c r="B723" s="21"/>
      <c r="C723" s="21"/>
      <c r="D723" s="21"/>
      <c r="E723" s="136"/>
      <c r="F723" s="136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</row>
    <row r="724">
      <c r="A724" s="21"/>
      <c r="B724" s="21"/>
      <c r="C724" s="21"/>
      <c r="D724" s="21"/>
      <c r="E724" s="136"/>
      <c r="F724" s="136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</row>
    <row r="725">
      <c r="A725" s="21"/>
      <c r="B725" s="21"/>
      <c r="C725" s="21"/>
      <c r="D725" s="21"/>
      <c r="E725" s="136"/>
      <c r="F725" s="136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</row>
    <row r="726">
      <c r="A726" s="21"/>
      <c r="B726" s="21"/>
      <c r="C726" s="21"/>
      <c r="D726" s="21"/>
      <c r="E726" s="136"/>
      <c r="F726" s="136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</row>
    <row r="727">
      <c r="A727" s="21"/>
      <c r="B727" s="21"/>
      <c r="C727" s="21"/>
      <c r="D727" s="21"/>
      <c r="E727" s="136"/>
      <c r="F727" s="136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</row>
    <row r="728">
      <c r="A728" s="21"/>
      <c r="B728" s="21"/>
      <c r="C728" s="21"/>
      <c r="D728" s="21"/>
      <c r="E728" s="136"/>
      <c r="F728" s="136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</row>
    <row r="729">
      <c r="A729" s="21"/>
      <c r="B729" s="21"/>
      <c r="C729" s="21"/>
      <c r="D729" s="21"/>
      <c r="E729" s="136"/>
      <c r="F729" s="136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</row>
    <row r="730">
      <c r="A730" s="21"/>
      <c r="B730" s="21"/>
      <c r="C730" s="21"/>
      <c r="D730" s="21"/>
      <c r="E730" s="136"/>
      <c r="F730" s="136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</row>
    <row r="731">
      <c r="A731" s="21"/>
      <c r="B731" s="21"/>
      <c r="C731" s="21"/>
      <c r="D731" s="21"/>
      <c r="E731" s="136"/>
      <c r="F731" s="136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</row>
    <row r="732">
      <c r="A732" s="21"/>
      <c r="B732" s="21"/>
      <c r="C732" s="21"/>
      <c r="D732" s="21"/>
      <c r="E732" s="136"/>
      <c r="F732" s="136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</row>
    <row r="733">
      <c r="A733" s="21"/>
      <c r="B733" s="21"/>
      <c r="C733" s="21"/>
      <c r="D733" s="21"/>
      <c r="E733" s="136"/>
      <c r="F733" s="136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</row>
    <row r="734">
      <c r="A734" s="21"/>
      <c r="B734" s="21"/>
      <c r="C734" s="21"/>
      <c r="D734" s="21"/>
      <c r="E734" s="136"/>
      <c r="F734" s="136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</row>
    <row r="735">
      <c r="A735" s="21"/>
      <c r="B735" s="21"/>
      <c r="C735" s="21"/>
      <c r="D735" s="21"/>
      <c r="E735" s="136"/>
      <c r="F735" s="136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</row>
    <row r="736">
      <c r="A736" s="21"/>
      <c r="B736" s="21"/>
      <c r="C736" s="21"/>
      <c r="D736" s="21"/>
      <c r="E736" s="136"/>
      <c r="F736" s="136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</row>
    <row r="737">
      <c r="A737" s="21"/>
      <c r="B737" s="21"/>
      <c r="C737" s="21"/>
      <c r="D737" s="21"/>
      <c r="E737" s="136"/>
      <c r="F737" s="136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</row>
    <row r="738">
      <c r="A738" s="21"/>
      <c r="B738" s="21"/>
      <c r="C738" s="21"/>
      <c r="D738" s="21"/>
      <c r="E738" s="136"/>
      <c r="F738" s="136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</row>
    <row r="739">
      <c r="A739" s="21"/>
      <c r="B739" s="21"/>
      <c r="C739" s="21"/>
      <c r="D739" s="21"/>
      <c r="E739" s="136"/>
      <c r="F739" s="136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</row>
    <row r="740">
      <c r="A740" s="21"/>
      <c r="B740" s="21"/>
      <c r="C740" s="21"/>
      <c r="D740" s="21"/>
      <c r="E740" s="136"/>
      <c r="F740" s="136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</row>
    <row r="741">
      <c r="A741" s="21"/>
      <c r="B741" s="21"/>
      <c r="C741" s="21"/>
      <c r="D741" s="21"/>
      <c r="E741" s="136"/>
      <c r="F741" s="136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</row>
    <row r="742">
      <c r="A742" s="21"/>
      <c r="B742" s="21"/>
      <c r="C742" s="21"/>
      <c r="D742" s="21"/>
      <c r="E742" s="136"/>
      <c r="F742" s="136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</row>
    <row r="743">
      <c r="A743" s="21"/>
      <c r="B743" s="21"/>
      <c r="C743" s="21"/>
      <c r="D743" s="21"/>
      <c r="E743" s="136"/>
      <c r="F743" s="136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</row>
    <row r="744">
      <c r="A744" s="21"/>
      <c r="B744" s="21"/>
      <c r="C744" s="21"/>
      <c r="D744" s="21"/>
      <c r="E744" s="136"/>
      <c r="F744" s="136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</row>
    <row r="745">
      <c r="A745" s="21"/>
      <c r="B745" s="21"/>
      <c r="C745" s="21"/>
      <c r="D745" s="21"/>
      <c r="E745" s="136"/>
      <c r="F745" s="136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</row>
    <row r="746">
      <c r="A746" s="21"/>
      <c r="B746" s="21"/>
      <c r="C746" s="21"/>
      <c r="D746" s="21"/>
      <c r="E746" s="136"/>
      <c r="F746" s="136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</row>
    <row r="747">
      <c r="A747" s="21"/>
      <c r="B747" s="21"/>
      <c r="C747" s="21"/>
      <c r="D747" s="21"/>
      <c r="E747" s="136"/>
      <c r="F747" s="136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</row>
    <row r="748">
      <c r="A748" s="21"/>
      <c r="B748" s="21"/>
      <c r="C748" s="21"/>
      <c r="D748" s="21"/>
      <c r="E748" s="136"/>
      <c r="F748" s="136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</row>
    <row r="749">
      <c r="A749" s="21"/>
      <c r="B749" s="21"/>
      <c r="C749" s="21"/>
      <c r="D749" s="21"/>
      <c r="E749" s="136"/>
      <c r="F749" s="136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</row>
    <row r="750">
      <c r="A750" s="21"/>
      <c r="B750" s="21"/>
      <c r="C750" s="21"/>
      <c r="D750" s="21"/>
      <c r="E750" s="136"/>
      <c r="F750" s="136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</row>
    <row r="751">
      <c r="A751" s="21"/>
      <c r="B751" s="21"/>
      <c r="C751" s="21"/>
      <c r="D751" s="21"/>
      <c r="E751" s="136"/>
      <c r="F751" s="136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</row>
    <row r="752">
      <c r="A752" s="21"/>
      <c r="B752" s="21"/>
      <c r="C752" s="21"/>
      <c r="D752" s="21"/>
      <c r="E752" s="136"/>
      <c r="F752" s="136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</row>
    <row r="753">
      <c r="A753" s="21"/>
      <c r="B753" s="21"/>
      <c r="C753" s="21"/>
      <c r="D753" s="21"/>
      <c r="E753" s="136"/>
      <c r="F753" s="136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</row>
    <row r="754">
      <c r="A754" s="21"/>
      <c r="B754" s="21"/>
      <c r="C754" s="21"/>
      <c r="D754" s="21"/>
      <c r="E754" s="136"/>
      <c r="F754" s="136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</row>
    <row r="755">
      <c r="A755" s="21"/>
      <c r="B755" s="21"/>
      <c r="C755" s="21"/>
      <c r="D755" s="21"/>
      <c r="E755" s="136"/>
      <c r="F755" s="136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</row>
    <row r="756">
      <c r="A756" s="21"/>
      <c r="B756" s="21"/>
      <c r="C756" s="21"/>
      <c r="D756" s="21"/>
      <c r="E756" s="136"/>
      <c r="F756" s="136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</row>
    <row r="757">
      <c r="A757" s="21"/>
      <c r="B757" s="21"/>
      <c r="C757" s="21"/>
      <c r="D757" s="21"/>
      <c r="E757" s="136"/>
      <c r="F757" s="136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</row>
    <row r="758">
      <c r="A758" s="21"/>
      <c r="B758" s="21"/>
      <c r="C758" s="21"/>
      <c r="D758" s="21"/>
      <c r="E758" s="136"/>
      <c r="F758" s="136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</row>
    <row r="759">
      <c r="A759" s="21"/>
      <c r="B759" s="21"/>
      <c r="C759" s="21"/>
      <c r="D759" s="21"/>
      <c r="E759" s="136"/>
      <c r="F759" s="136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</row>
    <row r="760">
      <c r="A760" s="21"/>
      <c r="B760" s="21"/>
      <c r="C760" s="21"/>
      <c r="D760" s="21"/>
      <c r="E760" s="136"/>
      <c r="F760" s="136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</row>
    <row r="761">
      <c r="A761" s="21"/>
      <c r="B761" s="21"/>
      <c r="C761" s="21"/>
      <c r="D761" s="21"/>
      <c r="E761" s="136"/>
      <c r="F761" s="136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</row>
    <row r="762">
      <c r="A762" s="21"/>
      <c r="B762" s="21"/>
      <c r="C762" s="21"/>
      <c r="D762" s="21"/>
      <c r="E762" s="136"/>
      <c r="F762" s="136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</row>
    <row r="763">
      <c r="A763" s="21"/>
      <c r="B763" s="21"/>
      <c r="C763" s="21"/>
      <c r="D763" s="21"/>
      <c r="E763" s="136"/>
      <c r="F763" s="136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</row>
    <row r="764">
      <c r="A764" s="21"/>
      <c r="B764" s="21"/>
      <c r="C764" s="21"/>
      <c r="D764" s="21"/>
      <c r="E764" s="136"/>
      <c r="F764" s="136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</row>
    <row r="765">
      <c r="A765" s="21"/>
      <c r="B765" s="21"/>
      <c r="C765" s="21"/>
      <c r="D765" s="21"/>
      <c r="E765" s="136"/>
      <c r="F765" s="136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</row>
    <row r="766">
      <c r="A766" s="21"/>
      <c r="B766" s="21"/>
      <c r="C766" s="21"/>
      <c r="D766" s="21"/>
      <c r="E766" s="136"/>
      <c r="F766" s="136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</row>
    <row r="767">
      <c r="A767" s="21"/>
      <c r="B767" s="21"/>
      <c r="C767" s="21"/>
      <c r="D767" s="21"/>
      <c r="E767" s="136"/>
      <c r="F767" s="136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</row>
    <row r="768">
      <c r="A768" s="21"/>
      <c r="B768" s="21"/>
      <c r="C768" s="21"/>
      <c r="D768" s="21"/>
      <c r="E768" s="136"/>
      <c r="F768" s="136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</row>
    <row r="769">
      <c r="A769" s="21"/>
      <c r="B769" s="21"/>
      <c r="C769" s="21"/>
      <c r="D769" s="21"/>
      <c r="E769" s="136"/>
      <c r="F769" s="136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</row>
    <row r="770">
      <c r="A770" s="21"/>
      <c r="B770" s="21"/>
      <c r="C770" s="21"/>
      <c r="D770" s="21"/>
      <c r="E770" s="136"/>
      <c r="F770" s="136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</row>
    <row r="771">
      <c r="A771" s="21"/>
      <c r="B771" s="21"/>
      <c r="C771" s="21"/>
      <c r="D771" s="21"/>
      <c r="E771" s="136"/>
      <c r="F771" s="136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</row>
    <row r="772">
      <c r="A772" s="21"/>
      <c r="B772" s="21"/>
      <c r="C772" s="21"/>
      <c r="D772" s="21"/>
      <c r="E772" s="136"/>
      <c r="F772" s="136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</row>
    <row r="773">
      <c r="A773" s="21"/>
      <c r="B773" s="21"/>
      <c r="C773" s="21"/>
      <c r="D773" s="21"/>
      <c r="E773" s="136"/>
      <c r="F773" s="136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</row>
    <row r="774">
      <c r="A774" s="21"/>
      <c r="B774" s="21"/>
      <c r="C774" s="21"/>
      <c r="D774" s="21"/>
      <c r="E774" s="136"/>
      <c r="F774" s="136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</row>
    <row r="775">
      <c r="A775" s="21"/>
      <c r="B775" s="21"/>
      <c r="C775" s="21"/>
      <c r="D775" s="21"/>
      <c r="E775" s="136"/>
      <c r="F775" s="136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</row>
    <row r="776">
      <c r="A776" s="21"/>
      <c r="B776" s="21"/>
      <c r="C776" s="21"/>
      <c r="D776" s="21"/>
      <c r="E776" s="136"/>
      <c r="F776" s="136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</row>
    <row r="777">
      <c r="A777" s="21"/>
      <c r="B777" s="21"/>
      <c r="C777" s="21"/>
      <c r="D777" s="21"/>
      <c r="E777" s="136"/>
      <c r="F777" s="136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</row>
    <row r="778">
      <c r="A778" s="21"/>
      <c r="B778" s="21"/>
      <c r="C778" s="21"/>
      <c r="D778" s="21"/>
      <c r="E778" s="136"/>
      <c r="F778" s="136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</row>
    <row r="779">
      <c r="A779" s="21"/>
      <c r="B779" s="21"/>
      <c r="C779" s="21"/>
      <c r="D779" s="21"/>
      <c r="E779" s="136"/>
      <c r="F779" s="136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</row>
    <row r="780">
      <c r="A780" s="21"/>
      <c r="B780" s="21"/>
      <c r="C780" s="21"/>
      <c r="D780" s="21"/>
      <c r="E780" s="136"/>
      <c r="F780" s="136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</row>
    <row r="781">
      <c r="A781" s="21"/>
      <c r="B781" s="21"/>
      <c r="C781" s="21"/>
      <c r="D781" s="21"/>
      <c r="E781" s="136"/>
      <c r="F781" s="136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</row>
    <row r="782">
      <c r="A782" s="21"/>
      <c r="B782" s="21"/>
      <c r="C782" s="21"/>
      <c r="D782" s="21"/>
      <c r="E782" s="136"/>
      <c r="F782" s="136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</row>
    <row r="783">
      <c r="A783" s="21"/>
      <c r="B783" s="21"/>
      <c r="C783" s="21"/>
      <c r="D783" s="21"/>
      <c r="E783" s="136"/>
      <c r="F783" s="136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</row>
    <row r="784">
      <c r="A784" s="21"/>
      <c r="B784" s="21"/>
      <c r="C784" s="21"/>
      <c r="D784" s="21"/>
      <c r="E784" s="136"/>
      <c r="F784" s="136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</row>
    <row r="785">
      <c r="A785" s="21"/>
      <c r="B785" s="21"/>
      <c r="C785" s="21"/>
      <c r="D785" s="21"/>
      <c r="E785" s="136"/>
      <c r="F785" s="136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</row>
    <row r="786">
      <c r="A786" s="21"/>
      <c r="B786" s="21"/>
      <c r="C786" s="21"/>
      <c r="D786" s="21"/>
      <c r="E786" s="136"/>
      <c r="F786" s="136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</row>
    <row r="787">
      <c r="A787" s="21"/>
      <c r="B787" s="21"/>
      <c r="C787" s="21"/>
      <c r="D787" s="21"/>
      <c r="E787" s="136"/>
      <c r="F787" s="136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</row>
    <row r="788">
      <c r="A788" s="21"/>
      <c r="B788" s="21"/>
      <c r="C788" s="21"/>
      <c r="D788" s="21"/>
      <c r="E788" s="136"/>
      <c r="F788" s="136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</row>
    <row r="789">
      <c r="A789" s="21"/>
      <c r="B789" s="21"/>
      <c r="C789" s="21"/>
      <c r="D789" s="21"/>
      <c r="E789" s="136"/>
      <c r="F789" s="136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</row>
    <row r="790">
      <c r="A790" s="21"/>
      <c r="B790" s="21"/>
      <c r="C790" s="21"/>
      <c r="D790" s="21"/>
      <c r="E790" s="136"/>
      <c r="F790" s="136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</row>
    <row r="791">
      <c r="A791" s="21"/>
      <c r="B791" s="21"/>
      <c r="C791" s="21"/>
      <c r="D791" s="21"/>
      <c r="E791" s="136"/>
      <c r="F791" s="136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</row>
    <row r="792">
      <c r="A792" s="21"/>
      <c r="B792" s="21"/>
      <c r="C792" s="21"/>
      <c r="D792" s="21"/>
      <c r="E792" s="136"/>
      <c r="F792" s="136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</row>
    <row r="793">
      <c r="A793" s="21"/>
      <c r="B793" s="21"/>
      <c r="C793" s="21"/>
      <c r="D793" s="21"/>
      <c r="E793" s="136"/>
      <c r="F793" s="136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</row>
    <row r="794">
      <c r="A794" s="21"/>
      <c r="B794" s="21"/>
      <c r="C794" s="21"/>
      <c r="D794" s="21"/>
      <c r="E794" s="136"/>
      <c r="F794" s="136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</row>
    <row r="795">
      <c r="A795" s="21"/>
      <c r="B795" s="21"/>
      <c r="C795" s="21"/>
      <c r="D795" s="21"/>
      <c r="E795" s="136"/>
      <c r="F795" s="136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</row>
    <row r="796">
      <c r="A796" s="21"/>
      <c r="B796" s="21"/>
      <c r="C796" s="21"/>
      <c r="D796" s="21"/>
      <c r="E796" s="136"/>
      <c r="F796" s="136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</row>
    <row r="797">
      <c r="A797" s="21"/>
      <c r="B797" s="21"/>
      <c r="C797" s="21"/>
      <c r="D797" s="21"/>
      <c r="E797" s="136"/>
      <c r="F797" s="136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</row>
    <row r="798">
      <c r="A798" s="21"/>
      <c r="B798" s="21"/>
      <c r="C798" s="21"/>
      <c r="D798" s="21"/>
      <c r="E798" s="136"/>
      <c r="F798" s="136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</row>
    <row r="799">
      <c r="A799" s="21"/>
      <c r="B799" s="21"/>
      <c r="C799" s="21"/>
      <c r="D799" s="21"/>
      <c r="E799" s="136"/>
      <c r="F799" s="136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</row>
    <row r="800">
      <c r="A800" s="21"/>
      <c r="B800" s="21"/>
      <c r="C800" s="21"/>
      <c r="D800" s="21"/>
      <c r="E800" s="136"/>
      <c r="F800" s="136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</row>
    <row r="801">
      <c r="A801" s="21"/>
      <c r="B801" s="21"/>
      <c r="C801" s="21"/>
      <c r="D801" s="21"/>
      <c r="E801" s="136"/>
      <c r="F801" s="136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</row>
    <row r="802">
      <c r="A802" s="21"/>
      <c r="B802" s="21"/>
      <c r="C802" s="21"/>
      <c r="D802" s="21"/>
      <c r="E802" s="136"/>
      <c r="F802" s="136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</row>
    <row r="803">
      <c r="A803" s="21"/>
      <c r="B803" s="21"/>
      <c r="C803" s="21"/>
      <c r="D803" s="21"/>
      <c r="E803" s="136"/>
      <c r="F803" s="136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</row>
    <row r="804">
      <c r="A804" s="21"/>
      <c r="B804" s="21"/>
      <c r="C804" s="21"/>
      <c r="D804" s="21"/>
      <c r="E804" s="136"/>
      <c r="F804" s="136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</row>
    <row r="805">
      <c r="A805" s="21"/>
      <c r="B805" s="21"/>
      <c r="C805" s="21"/>
      <c r="D805" s="21"/>
      <c r="E805" s="136"/>
      <c r="F805" s="136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</row>
    <row r="806">
      <c r="A806" s="21"/>
      <c r="B806" s="21"/>
      <c r="C806" s="21"/>
      <c r="D806" s="21"/>
      <c r="E806" s="136"/>
      <c r="F806" s="136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</row>
    <row r="807">
      <c r="A807" s="21"/>
      <c r="B807" s="21"/>
      <c r="C807" s="21"/>
      <c r="D807" s="21"/>
      <c r="E807" s="136"/>
      <c r="F807" s="136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</row>
    <row r="808">
      <c r="A808" s="21"/>
      <c r="B808" s="21"/>
      <c r="C808" s="21"/>
      <c r="D808" s="21"/>
      <c r="E808" s="136"/>
      <c r="F808" s="136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</row>
    <row r="809">
      <c r="A809" s="21"/>
      <c r="B809" s="21"/>
      <c r="C809" s="21"/>
      <c r="D809" s="21"/>
      <c r="E809" s="136"/>
      <c r="F809" s="136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</row>
    <row r="810">
      <c r="A810" s="21"/>
      <c r="B810" s="21"/>
      <c r="C810" s="21"/>
      <c r="D810" s="21"/>
      <c r="E810" s="136"/>
      <c r="F810" s="136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</row>
    <row r="811">
      <c r="A811" s="21"/>
      <c r="B811" s="21"/>
      <c r="C811" s="21"/>
      <c r="D811" s="21"/>
      <c r="E811" s="136"/>
      <c r="F811" s="136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</row>
    <row r="812">
      <c r="A812" s="21"/>
      <c r="B812" s="21"/>
      <c r="C812" s="21"/>
      <c r="D812" s="21"/>
      <c r="E812" s="136"/>
      <c r="F812" s="136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</row>
    <row r="813">
      <c r="A813" s="21"/>
      <c r="B813" s="21"/>
      <c r="C813" s="21"/>
      <c r="D813" s="21"/>
      <c r="E813" s="136"/>
      <c r="F813" s="136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</row>
    <row r="814">
      <c r="A814" s="21"/>
      <c r="B814" s="21"/>
      <c r="C814" s="21"/>
      <c r="D814" s="21"/>
      <c r="E814" s="136"/>
      <c r="F814" s="136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</row>
    <row r="815">
      <c r="A815" s="21"/>
      <c r="B815" s="21"/>
      <c r="C815" s="21"/>
      <c r="D815" s="21"/>
      <c r="E815" s="136"/>
      <c r="F815" s="136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</row>
    <row r="816">
      <c r="A816" s="21"/>
      <c r="B816" s="21"/>
      <c r="C816" s="21"/>
      <c r="D816" s="21"/>
      <c r="E816" s="136"/>
      <c r="F816" s="136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</row>
    <row r="817">
      <c r="A817" s="21"/>
      <c r="B817" s="21"/>
      <c r="C817" s="21"/>
      <c r="D817" s="21"/>
      <c r="E817" s="136"/>
      <c r="F817" s="136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</row>
    <row r="818">
      <c r="A818" s="21"/>
      <c r="B818" s="21"/>
      <c r="C818" s="21"/>
      <c r="D818" s="21"/>
      <c r="E818" s="136"/>
      <c r="F818" s="136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</row>
    <row r="819">
      <c r="A819" s="21"/>
      <c r="B819" s="21"/>
      <c r="C819" s="21"/>
      <c r="D819" s="21"/>
      <c r="E819" s="136"/>
      <c r="F819" s="136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</row>
    <row r="820">
      <c r="A820" s="21"/>
      <c r="B820" s="21"/>
      <c r="C820" s="21"/>
      <c r="D820" s="21"/>
      <c r="E820" s="136"/>
      <c r="F820" s="136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</row>
    <row r="821">
      <c r="A821" s="21"/>
      <c r="B821" s="21"/>
      <c r="C821" s="21"/>
      <c r="D821" s="21"/>
      <c r="E821" s="136"/>
      <c r="F821" s="136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</row>
    <row r="822">
      <c r="A822" s="21"/>
      <c r="B822" s="21"/>
      <c r="C822" s="21"/>
      <c r="D822" s="21"/>
      <c r="E822" s="136"/>
      <c r="F822" s="136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</row>
    <row r="823">
      <c r="A823" s="21"/>
      <c r="B823" s="21"/>
      <c r="C823" s="21"/>
      <c r="D823" s="21"/>
      <c r="E823" s="136"/>
      <c r="F823" s="136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</row>
    <row r="824">
      <c r="A824" s="21"/>
      <c r="B824" s="21"/>
      <c r="C824" s="21"/>
      <c r="D824" s="21"/>
      <c r="E824" s="136"/>
      <c r="F824" s="136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</row>
    <row r="825">
      <c r="A825" s="21"/>
      <c r="B825" s="21"/>
      <c r="C825" s="21"/>
      <c r="D825" s="21"/>
      <c r="E825" s="136"/>
      <c r="F825" s="136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</row>
    <row r="826">
      <c r="A826" s="21"/>
      <c r="B826" s="21"/>
      <c r="C826" s="21"/>
      <c r="D826" s="21"/>
      <c r="E826" s="136"/>
      <c r="F826" s="136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</row>
    <row r="827">
      <c r="A827" s="21"/>
      <c r="B827" s="21"/>
      <c r="C827" s="21"/>
      <c r="D827" s="21"/>
      <c r="E827" s="136"/>
      <c r="F827" s="136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</row>
    <row r="828">
      <c r="A828" s="21"/>
      <c r="B828" s="21"/>
      <c r="C828" s="21"/>
      <c r="D828" s="21"/>
      <c r="E828" s="136"/>
      <c r="F828" s="136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</row>
    <row r="829">
      <c r="A829" s="21"/>
      <c r="B829" s="21"/>
      <c r="C829" s="21"/>
      <c r="D829" s="21"/>
      <c r="E829" s="136"/>
      <c r="F829" s="136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</row>
    <row r="830">
      <c r="A830" s="21"/>
      <c r="B830" s="21"/>
      <c r="C830" s="21"/>
      <c r="D830" s="21"/>
      <c r="E830" s="136"/>
      <c r="F830" s="136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</row>
    <row r="831">
      <c r="A831" s="21"/>
      <c r="B831" s="21"/>
      <c r="C831" s="21"/>
      <c r="D831" s="21"/>
      <c r="E831" s="136"/>
      <c r="F831" s="136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</row>
    <row r="832">
      <c r="A832" s="21"/>
      <c r="B832" s="21"/>
      <c r="C832" s="21"/>
      <c r="D832" s="21"/>
      <c r="E832" s="136"/>
      <c r="F832" s="136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</row>
    <row r="833">
      <c r="A833" s="21"/>
      <c r="B833" s="21"/>
      <c r="C833" s="21"/>
      <c r="D833" s="21"/>
      <c r="E833" s="136"/>
      <c r="F833" s="136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</row>
    <row r="834">
      <c r="A834" s="21"/>
      <c r="B834" s="21"/>
      <c r="C834" s="21"/>
      <c r="D834" s="21"/>
      <c r="E834" s="136"/>
      <c r="F834" s="136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</row>
    <row r="835">
      <c r="A835" s="21"/>
      <c r="B835" s="21"/>
      <c r="C835" s="21"/>
      <c r="D835" s="21"/>
      <c r="E835" s="136"/>
      <c r="F835" s="136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</row>
    <row r="836">
      <c r="A836" s="21"/>
      <c r="B836" s="21"/>
      <c r="C836" s="21"/>
      <c r="D836" s="21"/>
      <c r="E836" s="136"/>
      <c r="F836" s="136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</row>
    <row r="837">
      <c r="A837" s="21"/>
      <c r="B837" s="21"/>
      <c r="C837" s="21"/>
      <c r="D837" s="21"/>
      <c r="E837" s="136"/>
      <c r="F837" s="136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</row>
    <row r="838">
      <c r="A838" s="21"/>
      <c r="B838" s="21"/>
      <c r="C838" s="21"/>
      <c r="D838" s="21"/>
      <c r="E838" s="136"/>
      <c r="F838" s="136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</row>
    <row r="839">
      <c r="A839" s="21"/>
      <c r="B839" s="21"/>
      <c r="C839" s="21"/>
      <c r="D839" s="21"/>
      <c r="E839" s="136"/>
      <c r="F839" s="136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</row>
    <row r="840">
      <c r="A840" s="21"/>
      <c r="B840" s="21"/>
      <c r="C840" s="21"/>
      <c r="D840" s="21"/>
      <c r="E840" s="136"/>
      <c r="F840" s="136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</row>
    <row r="841">
      <c r="A841" s="21"/>
      <c r="B841" s="21"/>
      <c r="C841" s="21"/>
      <c r="D841" s="21"/>
      <c r="E841" s="136"/>
      <c r="F841" s="136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</row>
    <row r="842">
      <c r="A842" s="21"/>
      <c r="B842" s="21"/>
      <c r="C842" s="21"/>
      <c r="D842" s="21"/>
      <c r="E842" s="136"/>
      <c r="F842" s="136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</row>
    <row r="843">
      <c r="A843" s="21"/>
      <c r="B843" s="21"/>
      <c r="C843" s="21"/>
      <c r="D843" s="21"/>
      <c r="E843" s="136"/>
      <c r="F843" s="136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</row>
    <row r="844">
      <c r="A844" s="21"/>
      <c r="B844" s="21"/>
      <c r="C844" s="21"/>
      <c r="D844" s="21"/>
      <c r="E844" s="136"/>
      <c r="F844" s="136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</row>
    <row r="845">
      <c r="A845" s="21"/>
      <c r="B845" s="21"/>
      <c r="C845" s="21"/>
      <c r="D845" s="21"/>
      <c r="E845" s="136"/>
      <c r="F845" s="136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</row>
    <row r="846">
      <c r="A846" s="21"/>
      <c r="B846" s="21"/>
      <c r="C846" s="21"/>
      <c r="D846" s="21"/>
      <c r="E846" s="136"/>
      <c r="F846" s="136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</row>
    <row r="847">
      <c r="A847" s="21"/>
      <c r="B847" s="21"/>
      <c r="C847" s="21"/>
      <c r="D847" s="21"/>
      <c r="E847" s="136"/>
      <c r="F847" s="136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</row>
    <row r="848">
      <c r="A848" s="21"/>
      <c r="B848" s="21"/>
      <c r="C848" s="21"/>
      <c r="D848" s="21"/>
      <c r="E848" s="136"/>
      <c r="F848" s="136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</row>
    <row r="849">
      <c r="A849" s="21"/>
      <c r="B849" s="21"/>
      <c r="C849" s="21"/>
      <c r="D849" s="21"/>
      <c r="E849" s="136"/>
      <c r="F849" s="136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</row>
    <row r="850">
      <c r="A850" s="21"/>
      <c r="B850" s="21"/>
      <c r="C850" s="21"/>
      <c r="D850" s="21"/>
      <c r="E850" s="136"/>
      <c r="F850" s="136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</row>
    <row r="851">
      <c r="A851" s="21"/>
      <c r="B851" s="21"/>
      <c r="C851" s="21"/>
      <c r="D851" s="21"/>
      <c r="E851" s="136"/>
      <c r="F851" s="136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</row>
    <row r="852">
      <c r="A852" s="21"/>
      <c r="B852" s="21"/>
      <c r="C852" s="21"/>
      <c r="D852" s="21"/>
      <c r="E852" s="136"/>
      <c r="F852" s="136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</row>
    <row r="853">
      <c r="A853" s="21"/>
      <c r="B853" s="21"/>
      <c r="C853" s="21"/>
      <c r="D853" s="21"/>
      <c r="E853" s="136"/>
      <c r="F853" s="136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</row>
    <row r="854">
      <c r="A854" s="21"/>
      <c r="B854" s="21"/>
      <c r="C854" s="21"/>
      <c r="D854" s="21"/>
      <c r="E854" s="136"/>
      <c r="F854" s="136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</row>
    <row r="855">
      <c r="A855" s="21"/>
      <c r="B855" s="21"/>
      <c r="C855" s="21"/>
      <c r="D855" s="21"/>
      <c r="E855" s="136"/>
      <c r="F855" s="136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</row>
    <row r="856">
      <c r="A856" s="21"/>
      <c r="B856" s="21"/>
      <c r="C856" s="21"/>
      <c r="D856" s="21"/>
      <c r="E856" s="136"/>
      <c r="F856" s="136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</row>
    <row r="857">
      <c r="A857" s="21"/>
      <c r="B857" s="21"/>
      <c r="C857" s="21"/>
      <c r="D857" s="21"/>
      <c r="E857" s="136"/>
      <c r="F857" s="136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</row>
    <row r="858">
      <c r="A858" s="21"/>
      <c r="B858" s="21"/>
      <c r="C858" s="21"/>
      <c r="D858" s="21"/>
      <c r="E858" s="136"/>
      <c r="F858" s="136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</row>
    <row r="859">
      <c r="A859" s="21"/>
      <c r="B859" s="21"/>
      <c r="C859" s="21"/>
      <c r="D859" s="21"/>
      <c r="E859" s="136"/>
      <c r="F859" s="136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</row>
    <row r="860">
      <c r="A860" s="21"/>
      <c r="B860" s="21"/>
      <c r="C860" s="21"/>
      <c r="D860" s="21"/>
      <c r="E860" s="136"/>
      <c r="F860" s="136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</row>
    <row r="861">
      <c r="A861" s="21"/>
      <c r="B861" s="21"/>
      <c r="C861" s="21"/>
      <c r="D861" s="21"/>
      <c r="E861" s="136"/>
      <c r="F861" s="136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</row>
    <row r="862">
      <c r="A862" s="21"/>
      <c r="B862" s="21"/>
      <c r="C862" s="21"/>
      <c r="D862" s="21"/>
      <c r="E862" s="136"/>
      <c r="F862" s="136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</row>
    <row r="863">
      <c r="A863" s="21"/>
      <c r="B863" s="21"/>
      <c r="C863" s="21"/>
      <c r="D863" s="21"/>
      <c r="E863" s="136"/>
      <c r="F863" s="136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</row>
    <row r="864">
      <c r="A864" s="21"/>
      <c r="B864" s="21"/>
      <c r="C864" s="21"/>
      <c r="D864" s="21"/>
      <c r="E864" s="136"/>
      <c r="F864" s="136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</row>
    <row r="865">
      <c r="A865" s="21"/>
      <c r="B865" s="21"/>
      <c r="C865" s="21"/>
      <c r="D865" s="21"/>
      <c r="E865" s="136"/>
      <c r="F865" s="136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</row>
    <row r="866">
      <c r="A866" s="21"/>
      <c r="B866" s="21"/>
      <c r="C866" s="21"/>
      <c r="D866" s="21"/>
      <c r="E866" s="136"/>
      <c r="F866" s="136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</row>
    <row r="867">
      <c r="A867" s="21"/>
      <c r="B867" s="21"/>
      <c r="C867" s="21"/>
      <c r="D867" s="21"/>
      <c r="E867" s="136"/>
      <c r="F867" s="136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</row>
    <row r="868">
      <c r="A868" s="21"/>
      <c r="B868" s="21"/>
      <c r="C868" s="21"/>
      <c r="D868" s="21"/>
      <c r="E868" s="136"/>
      <c r="F868" s="136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</row>
    <row r="869">
      <c r="A869" s="21"/>
      <c r="B869" s="21"/>
      <c r="C869" s="21"/>
      <c r="D869" s="21"/>
      <c r="E869" s="136"/>
      <c r="F869" s="136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</row>
    <row r="870">
      <c r="A870" s="21"/>
      <c r="B870" s="21"/>
      <c r="C870" s="21"/>
      <c r="D870" s="21"/>
      <c r="E870" s="136"/>
      <c r="F870" s="136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</row>
    <row r="871">
      <c r="A871" s="21"/>
      <c r="B871" s="21"/>
      <c r="C871" s="21"/>
      <c r="D871" s="21"/>
      <c r="E871" s="136"/>
      <c r="F871" s="136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</row>
    <row r="872">
      <c r="A872" s="21"/>
      <c r="B872" s="21"/>
      <c r="C872" s="21"/>
      <c r="D872" s="21"/>
      <c r="E872" s="136"/>
      <c r="F872" s="136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</row>
    <row r="873">
      <c r="A873" s="21"/>
      <c r="B873" s="21"/>
      <c r="C873" s="21"/>
      <c r="D873" s="21"/>
      <c r="E873" s="136"/>
      <c r="F873" s="136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</row>
    <row r="874">
      <c r="A874" s="21"/>
      <c r="B874" s="21"/>
      <c r="C874" s="21"/>
      <c r="D874" s="21"/>
      <c r="E874" s="136"/>
      <c r="F874" s="136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</row>
    <row r="875">
      <c r="A875" s="21"/>
      <c r="B875" s="21"/>
      <c r="C875" s="21"/>
      <c r="D875" s="21"/>
      <c r="E875" s="136"/>
      <c r="F875" s="136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</row>
    <row r="876">
      <c r="A876" s="21"/>
      <c r="B876" s="21"/>
      <c r="C876" s="21"/>
      <c r="D876" s="21"/>
      <c r="E876" s="136"/>
      <c r="F876" s="136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</row>
    <row r="877">
      <c r="A877" s="21"/>
      <c r="B877" s="21"/>
      <c r="C877" s="21"/>
      <c r="D877" s="21"/>
      <c r="E877" s="136"/>
      <c r="F877" s="136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</row>
    <row r="878">
      <c r="A878" s="21"/>
      <c r="B878" s="21"/>
      <c r="C878" s="21"/>
      <c r="D878" s="21"/>
      <c r="E878" s="136"/>
      <c r="F878" s="136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</row>
    <row r="879">
      <c r="A879" s="21"/>
      <c r="B879" s="21"/>
      <c r="C879" s="21"/>
      <c r="D879" s="21"/>
      <c r="E879" s="136"/>
      <c r="F879" s="136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</row>
    <row r="880">
      <c r="A880" s="21"/>
      <c r="B880" s="21"/>
      <c r="C880" s="21"/>
      <c r="D880" s="21"/>
      <c r="E880" s="136"/>
      <c r="F880" s="136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</row>
    <row r="881">
      <c r="A881" s="21"/>
      <c r="B881" s="21"/>
      <c r="C881" s="21"/>
      <c r="D881" s="21"/>
      <c r="E881" s="136"/>
      <c r="F881" s="136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</row>
    <row r="882">
      <c r="A882" s="21"/>
      <c r="B882" s="21"/>
      <c r="C882" s="21"/>
      <c r="D882" s="21"/>
      <c r="E882" s="136"/>
      <c r="F882" s="136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</row>
    <row r="883">
      <c r="A883" s="21"/>
      <c r="B883" s="21"/>
      <c r="C883" s="21"/>
      <c r="D883" s="21"/>
      <c r="E883" s="136"/>
      <c r="F883" s="136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</row>
    <row r="884">
      <c r="A884" s="21"/>
      <c r="B884" s="21"/>
      <c r="C884" s="21"/>
      <c r="D884" s="21"/>
      <c r="E884" s="136"/>
      <c r="F884" s="136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</row>
    <row r="885">
      <c r="A885" s="21"/>
      <c r="B885" s="21"/>
      <c r="C885" s="21"/>
      <c r="D885" s="21"/>
      <c r="E885" s="136"/>
      <c r="F885" s="136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</row>
    <row r="886">
      <c r="A886" s="21"/>
      <c r="B886" s="21"/>
      <c r="C886" s="21"/>
      <c r="D886" s="21"/>
      <c r="E886" s="136"/>
      <c r="F886" s="136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</row>
    <row r="887">
      <c r="A887" s="21"/>
      <c r="B887" s="21"/>
      <c r="C887" s="21"/>
      <c r="D887" s="21"/>
      <c r="E887" s="136"/>
      <c r="F887" s="136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</row>
    <row r="888">
      <c r="A888" s="21"/>
      <c r="B888" s="21"/>
      <c r="C888" s="21"/>
      <c r="D888" s="21"/>
      <c r="E888" s="136"/>
      <c r="F888" s="136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</row>
    <row r="889">
      <c r="A889" s="21"/>
      <c r="B889" s="21"/>
      <c r="C889" s="21"/>
      <c r="D889" s="21"/>
      <c r="E889" s="136"/>
      <c r="F889" s="136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</row>
    <row r="890">
      <c r="A890" s="21"/>
      <c r="B890" s="21"/>
      <c r="C890" s="21"/>
      <c r="D890" s="21"/>
      <c r="E890" s="136"/>
      <c r="F890" s="136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</row>
    <row r="891">
      <c r="A891" s="21"/>
      <c r="B891" s="21"/>
      <c r="C891" s="21"/>
      <c r="D891" s="21"/>
      <c r="E891" s="136"/>
      <c r="F891" s="136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</row>
    <row r="892">
      <c r="A892" s="21"/>
      <c r="B892" s="21"/>
      <c r="C892" s="21"/>
      <c r="D892" s="21"/>
      <c r="E892" s="136"/>
      <c r="F892" s="136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</row>
    <row r="893">
      <c r="A893" s="21"/>
      <c r="B893" s="21"/>
      <c r="C893" s="21"/>
      <c r="D893" s="21"/>
      <c r="E893" s="136"/>
      <c r="F893" s="136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</row>
    <row r="894">
      <c r="A894" s="21"/>
      <c r="B894" s="21"/>
      <c r="C894" s="21"/>
      <c r="D894" s="21"/>
      <c r="E894" s="136"/>
      <c r="F894" s="136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</row>
    <row r="895">
      <c r="A895" s="21"/>
      <c r="B895" s="21"/>
      <c r="C895" s="21"/>
      <c r="D895" s="21"/>
      <c r="E895" s="136"/>
      <c r="F895" s="136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</row>
    <row r="896">
      <c r="A896" s="21"/>
      <c r="B896" s="21"/>
      <c r="C896" s="21"/>
      <c r="D896" s="21"/>
      <c r="E896" s="136"/>
      <c r="F896" s="136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</row>
    <row r="897">
      <c r="A897" s="21"/>
      <c r="B897" s="21"/>
      <c r="C897" s="21"/>
      <c r="D897" s="21"/>
      <c r="E897" s="136"/>
      <c r="F897" s="136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</row>
    <row r="898">
      <c r="A898" s="21"/>
      <c r="B898" s="21"/>
      <c r="C898" s="21"/>
      <c r="D898" s="21"/>
      <c r="E898" s="136"/>
      <c r="F898" s="136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</row>
    <row r="899">
      <c r="A899" s="21"/>
      <c r="B899" s="21"/>
      <c r="C899" s="21"/>
      <c r="D899" s="21"/>
      <c r="E899" s="136"/>
      <c r="F899" s="136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</row>
    <row r="900">
      <c r="A900" s="21"/>
      <c r="B900" s="21"/>
      <c r="C900" s="21"/>
      <c r="D900" s="21"/>
      <c r="E900" s="136"/>
      <c r="F900" s="136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</row>
    <row r="901">
      <c r="A901" s="21"/>
      <c r="B901" s="21"/>
      <c r="C901" s="21"/>
      <c r="D901" s="21"/>
      <c r="E901" s="136"/>
      <c r="F901" s="136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</row>
    <row r="902">
      <c r="A902" s="21"/>
      <c r="B902" s="21"/>
      <c r="C902" s="21"/>
      <c r="D902" s="21"/>
      <c r="E902" s="136"/>
      <c r="F902" s="136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</row>
    <row r="903">
      <c r="A903" s="21"/>
      <c r="B903" s="21"/>
      <c r="C903" s="21"/>
      <c r="D903" s="21"/>
      <c r="E903" s="136"/>
      <c r="F903" s="136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</row>
    <row r="904">
      <c r="A904" s="21"/>
      <c r="B904" s="21"/>
      <c r="C904" s="21"/>
      <c r="D904" s="21"/>
      <c r="E904" s="136"/>
      <c r="F904" s="136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</row>
    <row r="905">
      <c r="A905" s="21"/>
      <c r="B905" s="21"/>
      <c r="C905" s="21"/>
      <c r="D905" s="21"/>
      <c r="E905" s="136"/>
      <c r="F905" s="136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</row>
    <row r="906">
      <c r="A906" s="21"/>
      <c r="B906" s="21"/>
      <c r="C906" s="21"/>
      <c r="D906" s="21"/>
      <c r="E906" s="136"/>
      <c r="F906" s="136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</row>
    <row r="907">
      <c r="A907" s="21"/>
      <c r="B907" s="21"/>
      <c r="C907" s="21"/>
      <c r="D907" s="21"/>
      <c r="E907" s="136"/>
      <c r="F907" s="136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</row>
    <row r="908">
      <c r="A908" s="21"/>
      <c r="B908" s="21"/>
      <c r="C908" s="21"/>
      <c r="D908" s="21"/>
      <c r="E908" s="136"/>
      <c r="F908" s="136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</row>
    <row r="909">
      <c r="A909" s="21"/>
      <c r="B909" s="21"/>
      <c r="C909" s="21"/>
      <c r="D909" s="21"/>
      <c r="E909" s="136"/>
      <c r="F909" s="136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</row>
    <row r="910">
      <c r="A910" s="21"/>
      <c r="B910" s="21"/>
      <c r="C910" s="21"/>
      <c r="D910" s="21"/>
      <c r="E910" s="136"/>
      <c r="F910" s="136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</row>
    <row r="911">
      <c r="A911" s="21"/>
      <c r="B911" s="21"/>
      <c r="C911" s="21"/>
      <c r="D911" s="21"/>
      <c r="E911" s="136"/>
      <c r="F911" s="136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</row>
    <row r="912">
      <c r="A912" s="21"/>
      <c r="B912" s="21"/>
      <c r="C912" s="21"/>
      <c r="D912" s="21"/>
      <c r="E912" s="136"/>
      <c r="F912" s="136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</row>
    <row r="913">
      <c r="A913" s="21"/>
      <c r="B913" s="21"/>
      <c r="C913" s="21"/>
      <c r="D913" s="21"/>
      <c r="E913" s="136"/>
      <c r="F913" s="136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</row>
    <row r="914">
      <c r="A914" s="21"/>
      <c r="B914" s="21"/>
      <c r="C914" s="21"/>
      <c r="D914" s="21"/>
      <c r="E914" s="136"/>
      <c r="F914" s="136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</row>
    <row r="915">
      <c r="A915" s="21"/>
      <c r="B915" s="21"/>
      <c r="C915" s="21"/>
      <c r="D915" s="21"/>
      <c r="E915" s="136"/>
      <c r="F915" s="136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</row>
    <row r="916">
      <c r="A916" s="21"/>
      <c r="B916" s="21"/>
      <c r="C916" s="21"/>
      <c r="D916" s="21"/>
      <c r="E916" s="136"/>
      <c r="F916" s="136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</row>
    <row r="917">
      <c r="A917" s="21"/>
      <c r="B917" s="21"/>
      <c r="C917" s="21"/>
      <c r="D917" s="21"/>
      <c r="E917" s="136"/>
      <c r="F917" s="136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</row>
    <row r="918">
      <c r="A918" s="21"/>
      <c r="B918" s="21"/>
      <c r="C918" s="21"/>
      <c r="D918" s="21"/>
      <c r="E918" s="136"/>
      <c r="F918" s="136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</row>
    <row r="919">
      <c r="A919" s="21"/>
      <c r="B919" s="21"/>
      <c r="C919" s="21"/>
      <c r="D919" s="21"/>
      <c r="E919" s="136"/>
      <c r="F919" s="136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</row>
    <row r="920">
      <c r="A920" s="21"/>
      <c r="B920" s="21"/>
      <c r="C920" s="21"/>
      <c r="D920" s="21"/>
      <c r="E920" s="136"/>
      <c r="F920" s="136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</row>
    <row r="921">
      <c r="A921" s="21"/>
      <c r="B921" s="21"/>
      <c r="C921" s="21"/>
      <c r="D921" s="21"/>
      <c r="E921" s="136"/>
      <c r="F921" s="136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</row>
    <row r="922">
      <c r="A922" s="21"/>
      <c r="B922" s="21"/>
      <c r="C922" s="21"/>
      <c r="D922" s="21"/>
      <c r="E922" s="136"/>
      <c r="F922" s="136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</row>
    <row r="923">
      <c r="A923" s="21"/>
      <c r="B923" s="21"/>
      <c r="C923" s="21"/>
      <c r="D923" s="21"/>
      <c r="E923" s="136"/>
      <c r="F923" s="136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</row>
    <row r="924">
      <c r="A924" s="21"/>
      <c r="B924" s="21"/>
      <c r="C924" s="21"/>
      <c r="D924" s="21"/>
      <c r="E924" s="136"/>
      <c r="F924" s="136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</row>
    <row r="925">
      <c r="A925" s="21"/>
      <c r="B925" s="21"/>
      <c r="C925" s="21"/>
      <c r="D925" s="21"/>
      <c r="E925" s="136"/>
      <c r="F925" s="136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</row>
    <row r="926">
      <c r="A926" s="21"/>
      <c r="B926" s="21"/>
      <c r="C926" s="21"/>
      <c r="D926" s="21"/>
      <c r="E926" s="136"/>
      <c r="F926" s="136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</row>
    <row r="927">
      <c r="A927" s="21"/>
      <c r="B927" s="21"/>
      <c r="C927" s="21"/>
      <c r="D927" s="21"/>
      <c r="E927" s="136"/>
      <c r="F927" s="136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</row>
    <row r="928">
      <c r="A928" s="21"/>
      <c r="B928" s="21"/>
      <c r="C928" s="21"/>
      <c r="D928" s="21"/>
      <c r="E928" s="136"/>
      <c r="F928" s="136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</row>
    <row r="929">
      <c r="A929" s="21"/>
      <c r="B929" s="21"/>
      <c r="C929" s="21"/>
      <c r="D929" s="21"/>
      <c r="E929" s="136"/>
      <c r="F929" s="136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</row>
    <row r="930">
      <c r="A930" s="21"/>
      <c r="B930" s="21"/>
      <c r="C930" s="21"/>
      <c r="D930" s="21"/>
      <c r="E930" s="136"/>
      <c r="F930" s="136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</row>
    <row r="931">
      <c r="A931" s="21"/>
      <c r="B931" s="21"/>
      <c r="C931" s="21"/>
      <c r="D931" s="21"/>
      <c r="E931" s="136"/>
      <c r="F931" s="136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</row>
    <row r="932">
      <c r="A932" s="21"/>
      <c r="B932" s="21"/>
      <c r="C932" s="21"/>
      <c r="D932" s="21"/>
      <c r="E932" s="136"/>
      <c r="F932" s="136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</row>
    <row r="933">
      <c r="A933" s="21"/>
      <c r="B933" s="21"/>
      <c r="C933" s="21"/>
      <c r="D933" s="21"/>
      <c r="E933" s="136"/>
      <c r="F933" s="136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</row>
    <row r="934">
      <c r="A934" s="21"/>
      <c r="B934" s="21"/>
      <c r="C934" s="21"/>
      <c r="D934" s="21"/>
      <c r="E934" s="136"/>
      <c r="F934" s="136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</row>
    <row r="935">
      <c r="A935" s="21"/>
      <c r="B935" s="21"/>
      <c r="C935" s="21"/>
      <c r="D935" s="21"/>
      <c r="E935" s="136"/>
      <c r="F935" s="136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</row>
    <row r="936">
      <c r="A936" s="21"/>
      <c r="B936" s="21"/>
      <c r="C936" s="21"/>
      <c r="D936" s="21"/>
      <c r="E936" s="136"/>
      <c r="F936" s="136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</row>
    <row r="937">
      <c r="A937" s="21"/>
      <c r="B937" s="21"/>
      <c r="C937" s="21"/>
      <c r="D937" s="21"/>
      <c r="E937" s="136"/>
      <c r="F937" s="136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</row>
    <row r="938">
      <c r="A938" s="21"/>
      <c r="B938" s="21"/>
      <c r="C938" s="21"/>
      <c r="D938" s="21"/>
      <c r="E938" s="136"/>
      <c r="F938" s="136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</row>
    <row r="939">
      <c r="A939" s="21"/>
      <c r="B939" s="21"/>
      <c r="C939" s="21"/>
      <c r="D939" s="21"/>
      <c r="E939" s="136"/>
      <c r="F939" s="136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</row>
    <row r="940">
      <c r="A940" s="21"/>
      <c r="B940" s="21"/>
      <c r="C940" s="21"/>
      <c r="D940" s="21"/>
      <c r="E940" s="136"/>
      <c r="F940" s="136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</row>
    <row r="941">
      <c r="A941" s="21"/>
      <c r="B941" s="21"/>
      <c r="C941" s="21"/>
      <c r="D941" s="21"/>
      <c r="E941" s="136"/>
      <c r="F941" s="136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</row>
    <row r="942">
      <c r="A942" s="21"/>
      <c r="B942" s="21"/>
      <c r="C942" s="21"/>
      <c r="D942" s="21"/>
      <c r="E942" s="136"/>
      <c r="F942" s="136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</row>
    <row r="943">
      <c r="A943" s="21"/>
      <c r="B943" s="21"/>
      <c r="C943" s="21"/>
      <c r="D943" s="21"/>
      <c r="E943" s="136"/>
      <c r="F943" s="136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</row>
    <row r="944">
      <c r="A944" s="21"/>
      <c r="B944" s="21"/>
      <c r="C944" s="21"/>
      <c r="D944" s="21"/>
      <c r="E944" s="136"/>
      <c r="F944" s="136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</row>
    <row r="945">
      <c r="A945" s="21"/>
      <c r="B945" s="21"/>
      <c r="C945" s="21"/>
      <c r="D945" s="21"/>
      <c r="E945" s="136"/>
      <c r="F945" s="136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</row>
    <row r="946">
      <c r="A946" s="21"/>
      <c r="B946" s="21"/>
      <c r="C946" s="21"/>
      <c r="D946" s="21"/>
      <c r="E946" s="136"/>
      <c r="F946" s="136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</row>
    <row r="947">
      <c r="A947" s="21"/>
      <c r="B947" s="21"/>
      <c r="C947" s="21"/>
      <c r="D947" s="21"/>
      <c r="E947" s="136"/>
      <c r="F947" s="136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</row>
    <row r="948">
      <c r="A948" s="21"/>
      <c r="B948" s="21"/>
      <c r="C948" s="21"/>
      <c r="D948" s="21"/>
      <c r="E948" s="136"/>
      <c r="F948" s="136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</row>
    <row r="949">
      <c r="A949" s="21"/>
      <c r="B949" s="21"/>
      <c r="C949" s="21"/>
      <c r="D949" s="21"/>
      <c r="E949" s="136"/>
      <c r="F949" s="136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</row>
    <row r="950">
      <c r="A950" s="21"/>
      <c r="B950" s="21"/>
      <c r="C950" s="21"/>
      <c r="D950" s="21"/>
      <c r="E950" s="136"/>
      <c r="F950" s="136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</row>
    <row r="951">
      <c r="A951" s="21"/>
      <c r="B951" s="21"/>
      <c r="C951" s="21"/>
      <c r="D951" s="21"/>
      <c r="E951" s="136"/>
      <c r="F951" s="136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</row>
    <row r="952">
      <c r="A952" s="21"/>
      <c r="B952" s="21"/>
      <c r="C952" s="21"/>
      <c r="D952" s="21"/>
      <c r="E952" s="136"/>
      <c r="F952" s="136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</row>
    <row r="953">
      <c r="A953" s="21"/>
      <c r="B953" s="21"/>
      <c r="C953" s="21"/>
      <c r="D953" s="21"/>
      <c r="E953" s="136"/>
      <c r="F953" s="136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</row>
    <row r="954">
      <c r="A954" s="21"/>
      <c r="B954" s="21"/>
      <c r="C954" s="21"/>
      <c r="D954" s="21"/>
      <c r="E954" s="136"/>
      <c r="F954" s="136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</row>
    <row r="955">
      <c r="A955" s="21"/>
      <c r="B955" s="21"/>
      <c r="C955" s="21"/>
      <c r="D955" s="21"/>
      <c r="E955" s="136"/>
      <c r="F955" s="136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</row>
    <row r="956">
      <c r="A956" s="21"/>
      <c r="B956" s="21"/>
      <c r="C956" s="21"/>
      <c r="D956" s="21"/>
      <c r="E956" s="136"/>
      <c r="F956" s="136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</row>
    <row r="957">
      <c r="A957" s="21"/>
      <c r="B957" s="21"/>
      <c r="C957" s="21"/>
      <c r="D957" s="21"/>
      <c r="E957" s="136"/>
      <c r="F957" s="136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</row>
    <row r="958">
      <c r="A958" s="21"/>
      <c r="B958" s="21"/>
      <c r="C958" s="21"/>
      <c r="D958" s="21"/>
      <c r="E958" s="136"/>
      <c r="F958" s="136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</row>
    <row r="959">
      <c r="A959" s="21"/>
      <c r="B959" s="21"/>
      <c r="C959" s="21"/>
      <c r="D959" s="21"/>
      <c r="E959" s="136"/>
      <c r="F959" s="136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</row>
    <row r="960">
      <c r="A960" s="21"/>
      <c r="B960" s="21"/>
      <c r="C960" s="21"/>
      <c r="D960" s="21"/>
      <c r="E960" s="136"/>
      <c r="F960" s="136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</row>
    <row r="961">
      <c r="A961" s="21"/>
      <c r="B961" s="21"/>
      <c r="C961" s="21"/>
      <c r="D961" s="21"/>
      <c r="E961" s="136"/>
      <c r="F961" s="136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</row>
    <row r="962">
      <c r="A962" s="21"/>
      <c r="B962" s="21"/>
      <c r="C962" s="21"/>
      <c r="D962" s="21"/>
      <c r="E962" s="136"/>
      <c r="F962" s="136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</row>
    <row r="963">
      <c r="A963" s="21"/>
      <c r="B963" s="21"/>
      <c r="C963" s="21"/>
      <c r="D963" s="21"/>
      <c r="E963" s="136"/>
      <c r="F963" s="136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</row>
    <row r="964">
      <c r="A964" s="21"/>
      <c r="B964" s="21"/>
      <c r="C964" s="21"/>
      <c r="D964" s="21"/>
      <c r="E964" s="136"/>
      <c r="F964" s="136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</row>
    <row r="965">
      <c r="A965" s="21"/>
      <c r="B965" s="21"/>
      <c r="C965" s="21"/>
      <c r="D965" s="21"/>
      <c r="E965" s="136"/>
      <c r="F965" s="136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</row>
    <row r="966">
      <c r="A966" s="21"/>
      <c r="B966" s="21"/>
      <c r="C966" s="21"/>
      <c r="D966" s="21"/>
      <c r="E966" s="136"/>
      <c r="F966" s="136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</row>
    <row r="967">
      <c r="A967" s="21"/>
      <c r="B967" s="21"/>
      <c r="C967" s="21"/>
      <c r="D967" s="21"/>
      <c r="E967" s="136"/>
      <c r="F967" s="136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</row>
    <row r="968">
      <c r="A968" s="21"/>
      <c r="B968" s="21"/>
      <c r="C968" s="21"/>
      <c r="D968" s="21"/>
      <c r="E968" s="136"/>
      <c r="F968" s="136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</row>
    <row r="969">
      <c r="A969" s="21"/>
      <c r="B969" s="21"/>
      <c r="C969" s="21"/>
      <c r="D969" s="21"/>
      <c r="E969" s="136"/>
      <c r="F969" s="136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</row>
    <row r="970">
      <c r="A970" s="21"/>
      <c r="B970" s="21"/>
      <c r="C970" s="21"/>
      <c r="D970" s="21"/>
      <c r="E970" s="136"/>
      <c r="F970" s="136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</row>
    <row r="971">
      <c r="A971" s="21"/>
      <c r="B971" s="21"/>
      <c r="C971" s="21"/>
      <c r="D971" s="21"/>
      <c r="E971" s="136"/>
      <c r="F971" s="136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</row>
    <row r="972">
      <c r="A972" s="21"/>
      <c r="B972" s="21"/>
      <c r="C972" s="21"/>
      <c r="D972" s="21"/>
      <c r="E972" s="136"/>
      <c r="F972" s="136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</row>
    <row r="973">
      <c r="A973" s="21"/>
      <c r="B973" s="21"/>
      <c r="C973" s="21"/>
      <c r="D973" s="21"/>
      <c r="E973" s="136"/>
      <c r="F973" s="136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</row>
    <row r="974">
      <c r="A974" s="21"/>
      <c r="B974" s="21"/>
      <c r="C974" s="21"/>
      <c r="D974" s="21"/>
      <c r="E974" s="136"/>
      <c r="F974" s="136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</row>
    <row r="975">
      <c r="A975" s="21"/>
      <c r="B975" s="21"/>
      <c r="C975" s="21"/>
      <c r="D975" s="21"/>
      <c r="E975" s="136"/>
      <c r="F975" s="136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</row>
    <row r="976">
      <c r="A976" s="21"/>
      <c r="B976" s="21"/>
      <c r="C976" s="21"/>
      <c r="D976" s="21"/>
      <c r="E976" s="136"/>
      <c r="F976" s="136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</row>
    <row r="977">
      <c r="A977" s="21"/>
      <c r="B977" s="21"/>
      <c r="C977" s="21"/>
      <c r="D977" s="21"/>
      <c r="E977" s="136"/>
      <c r="F977" s="136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</row>
    <row r="978">
      <c r="A978" s="21"/>
      <c r="B978" s="21"/>
      <c r="C978" s="21"/>
      <c r="D978" s="21"/>
      <c r="E978" s="136"/>
      <c r="F978" s="136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</row>
    <row r="979">
      <c r="A979" s="21"/>
      <c r="B979" s="21"/>
      <c r="C979" s="21"/>
      <c r="D979" s="21"/>
      <c r="E979" s="136"/>
      <c r="F979" s="136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</row>
    <row r="980">
      <c r="A980" s="21"/>
      <c r="B980" s="21"/>
      <c r="C980" s="21"/>
      <c r="D980" s="21"/>
      <c r="E980" s="136"/>
      <c r="F980" s="136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</row>
    <row r="981">
      <c r="A981" s="21"/>
      <c r="B981" s="21"/>
      <c r="C981" s="21"/>
      <c r="D981" s="21"/>
      <c r="E981" s="136"/>
      <c r="F981" s="136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</row>
    <row r="982">
      <c r="A982" s="21"/>
      <c r="B982" s="21"/>
      <c r="C982" s="21"/>
      <c r="D982" s="21"/>
      <c r="E982" s="136"/>
      <c r="F982" s="136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</row>
    <row r="983">
      <c r="A983" s="21"/>
      <c r="B983" s="21"/>
      <c r="C983" s="21"/>
      <c r="D983" s="21"/>
      <c r="E983" s="136"/>
      <c r="F983" s="136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</row>
    <row r="984">
      <c r="A984" s="21"/>
      <c r="B984" s="21"/>
      <c r="C984" s="21"/>
      <c r="D984" s="21"/>
      <c r="E984" s="136"/>
      <c r="F984" s="136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</row>
    <row r="985">
      <c r="A985" s="21"/>
      <c r="B985" s="21"/>
      <c r="C985" s="21"/>
      <c r="D985" s="21"/>
      <c r="E985" s="136"/>
      <c r="F985" s="136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</row>
    <row r="986">
      <c r="A986" s="21"/>
      <c r="B986" s="21"/>
      <c r="C986" s="21"/>
      <c r="D986" s="21"/>
      <c r="E986" s="136"/>
      <c r="F986" s="136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</row>
    <row r="987">
      <c r="A987" s="21"/>
      <c r="B987" s="21"/>
      <c r="C987" s="21"/>
      <c r="D987" s="21"/>
      <c r="E987" s="136"/>
      <c r="F987" s="136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</row>
    <row r="988">
      <c r="A988" s="21"/>
      <c r="B988" s="21"/>
      <c r="C988" s="21"/>
      <c r="D988" s="21"/>
      <c r="E988" s="136"/>
      <c r="F988" s="136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</row>
    <row r="989">
      <c r="A989" s="21"/>
      <c r="B989" s="21"/>
      <c r="C989" s="21"/>
      <c r="D989" s="21"/>
      <c r="E989" s="136"/>
      <c r="F989" s="136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</row>
    <row r="990">
      <c r="A990" s="21"/>
      <c r="B990" s="21"/>
      <c r="C990" s="21"/>
      <c r="D990" s="21"/>
      <c r="E990" s="136"/>
      <c r="F990" s="136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</row>
    <row r="991">
      <c r="A991" s="21"/>
      <c r="B991" s="21"/>
      <c r="C991" s="21"/>
      <c r="D991" s="21"/>
      <c r="E991" s="136"/>
      <c r="F991" s="136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</row>
    <row r="992">
      <c r="A992" s="21"/>
      <c r="B992" s="21"/>
      <c r="C992" s="21"/>
      <c r="D992" s="21"/>
      <c r="E992" s="136"/>
      <c r="F992" s="136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</row>
    <row r="993">
      <c r="A993" s="21"/>
      <c r="B993" s="21"/>
      <c r="C993" s="21"/>
      <c r="D993" s="21"/>
      <c r="E993" s="136"/>
      <c r="F993" s="136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</row>
    <row r="994">
      <c r="A994" s="21"/>
      <c r="B994" s="21"/>
      <c r="C994" s="21"/>
      <c r="D994" s="21"/>
      <c r="E994" s="136"/>
      <c r="F994" s="136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</row>
    <row r="995">
      <c r="A995" s="21"/>
      <c r="B995" s="21"/>
      <c r="C995" s="21"/>
      <c r="D995" s="21"/>
      <c r="E995" s="136"/>
      <c r="F995" s="136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</row>
    <row r="996">
      <c r="A996" s="21"/>
      <c r="B996" s="21"/>
      <c r="C996" s="21"/>
      <c r="D996" s="21"/>
      <c r="E996" s="136"/>
      <c r="F996" s="136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</row>
    <row r="997">
      <c r="A997" s="21"/>
      <c r="B997" s="21"/>
      <c r="C997" s="21"/>
      <c r="D997" s="21"/>
      <c r="E997" s="136"/>
      <c r="F997" s="136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</row>
    <row r="998">
      <c r="A998" s="21"/>
      <c r="B998" s="21"/>
      <c r="C998" s="21"/>
      <c r="D998" s="21"/>
      <c r="E998" s="136"/>
      <c r="F998" s="136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</row>
    <row r="999">
      <c r="A999" s="21"/>
      <c r="B999" s="21"/>
      <c r="C999" s="21"/>
      <c r="D999" s="21"/>
      <c r="E999" s="136"/>
      <c r="F999" s="136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</row>
    <row r="1000">
      <c r="A1000" s="21"/>
      <c r="B1000" s="21"/>
      <c r="C1000" s="21"/>
      <c r="D1000" s="21"/>
      <c r="E1000" s="136"/>
      <c r="F1000" s="136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</row>
    <row r="1001">
      <c r="A1001" s="21"/>
      <c r="B1001" s="21"/>
      <c r="C1001" s="21"/>
      <c r="D1001" s="21"/>
      <c r="E1001" s="136"/>
      <c r="F1001" s="136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</row>
    <row r="1002">
      <c r="A1002" s="21"/>
      <c r="B1002" s="21"/>
      <c r="C1002" s="21"/>
      <c r="D1002" s="21"/>
      <c r="E1002" s="136"/>
      <c r="F1002" s="136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</row>
    <row r="1003">
      <c r="A1003" s="21"/>
      <c r="B1003" s="21"/>
      <c r="C1003" s="21"/>
      <c r="D1003" s="21"/>
      <c r="E1003" s="136"/>
      <c r="F1003" s="136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</row>
  </sheetData>
  <mergeCells count="5">
    <mergeCell ref="A1:B1"/>
    <mergeCell ref="E1:I1"/>
    <mergeCell ref="K1:L1"/>
    <mergeCell ref="M1:N1"/>
    <mergeCell ref="K14:L14"/>
  </mergeCells>
  <dataValidations>
    <dataValidation type="list" allowBlank="1" showErrorMessage="1" sqref="A1">
      <formula1>"Jan,Feb,Mar,Apr,May,Jun,Jul,Aug,Sep,Oct,Nov,Dec"</formula1>
    </dataValidation>
  </dataValidations>
  <drawing r:id="rId1"/>
</worksheet>
</file>