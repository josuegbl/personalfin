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ual" sheetId="1" r:id="rId5"/>
    <sheet state="visible" name="Balance Agosto" sheetId="2" r:id="rId6"/>
    <sheet state="visible" name="Calculo de cuotas prestamo" sheetId="3" r:id="rId7"/>
    <sheet state="visible" name="Hipoteca" sheetId="4" r:id="rId8"/>
    <sheet state="visible" name="Nomina Josue" sheetId="5" r:id="rId9"/>
    <sheet state="visible" name="Nomina Adi" sheetId="6" r:id="rId10"/>
    <sheet state="visible" name="Balance Abril" sheetId="7" r:id="rId11"/>
    <sheet state="visible" name="Balance Mayo" sheetId="8" r:id="rId12"/>
    <sheet state="visible" name="Balance Junio" sheetId="9" r:id="rId13"/>
    <sheet state="visible" name="Balance Julio" sheetId="10" r:id="rId14"/>
  </sheets>
  <definedNames/>
  <calcPr/>
</workbook>
</file>

<file path=xl/sharedStrings.xml><?xml version="1.0" encoding="utf-8"?>
<sst xmlns="http://schemas.openxmlformats.org/spreadsheetml/2006/main" count="675" uniqueCount="145">
  <si>
    <t>Date</t>
  </si>
  <si>
    <t>Principal</t>
  </si>
  <si>
    <t>Aug</t>
  </si>
  <si>
    <t>Sep</t>
  </si>
  <si>
    <t>Gastos mensuales fijos</t>
  </si>
  <si>
    <t>Fecha Inicio</t>
  </si>
  <si>
    <t>Josue</t>
  </si>
  <si>
    <t>Fecha Final</t>
  </si>
  <si>
    <t>Adi</t>
  </si>
  <si>
    <t>Prestamos</t>
  </si>
  <si>
    <t>Suscripciones</t>
  </si>
  <si>
    <t>Gastos Variables</t>
  </si>
  <si>
    <t>Gastos EuroC</t>
  </si>
  <si>
    <t>BBVA JGB Fijos</t>
  </si>
  <si>
    <t>BBVA AGL Fijos</t>
  </si>
  <si>
    <t>Gastos Comunes</t>
  </si>
  <si>
    <t>Balance</t>
  </si>
  <si>
    <t>Ahorro/Inversiones</t>
  </si>
  <si>
    <t>Ingresos Extra</t>
  </si>
  <si>
    <t>Salario</t>
  </si>
  <si>
    <t>Concepto</t>
  </si>
  <si>
    <t>Gasto</t>
  </si>
  <si>
    <t>BBVA JGB</t>
  </si>
  <si>
    <t>BBVA ADI</t>
  </si>
  <si>
    <t>Caja Rural</t>
  </si>
  <si>
    <t>Tasa</t>
  </si>
  <si>
    <t>Gastos</t>
  </si>
  <si>
    <t>Netflix</t>
  </si>
  <si>
    <t>Años</t>
  </si>
  <si>
    <t>Hipoteca</t>
  </si>
  <si>
    <t>Meses</t>
  </si>
  <si>
    <t>Deuda Pendiente</t>
  </si>
  <si>
    <t>Prestamo BBVA JGB</t>
  </si>
  <si>
    <t>Amazon</t>
  </si>
  <si>
    <t>Jan</t>
  </si>
  <si>
    <t>Cuota</t>
  </si>
  <si>
    <t>Comedor Colegio</t>
  </si>
  <si>
    <t>Ingresos</t>
  </si>
  <si>
    <t>Capital Personal</t>
  </si>
  <si>
    <t>Factor Aporte</t>
  </si>
  <si>
    <t>Kia Stonic</t>
  </si>
  <si>
    <t>Disney</t>
  </si>
  <si>
    <t>Feb</t>
  </si>
  <si>
    <t>Ingles</t>
  </si>
  <si>
    <t>AA Cetelem</t>
  </si>
  <si>
    <t>Max</t>
  </si>
  <si>
    <t>Mar</t>
  </si>
  <si>
    <t>Basket</t>
  </si>
  <si>
    <t>Prestamo COFIDIS</t>
  </si>
  <si>
    <t>Spotify</t>
  </si>
  <si>
    <t>Apr</t>
  </si>
  <si>
    <t>Judo</t>
  </si>
  <si>
    <t>Prestamo CETELEM</t>
  </si>
  <si>
    <t>Hp Printer</t>
  </si>
  <si>
    <t>BBVA JGB Var</t>
  </si>
  <si>
    <t>BBVA AGL Var</t>
  </si>
  <si>
    <t>May</t>
  </si>
  <si>
    <t>Luz</t>
  </si>
  <si>
    <t>Con Coche</t>
  </si>
  <si>
    <t>Office</t>
  </si>
  <si>
    <t>Total a Pagar</t>
  </si>
  <si>
    <t>Jun</t>
  </si>
  <si>
    <t>Gas</t>
  </si>
  <si>
    <t>Hipoteca Pendiente</t>
  </si>
  <si>
    <t>Subtotal</t>
  </si>
  <si>
    <t>Seguro</t>
  </si>
  <si>
    <t>Total</t>
  </si>
  <si>
    <t>Seguro Vida</t>
  </si>
  <si>
    <t>Jul</t>
  </si>
  <si>
    <t>Total sin Coche</t>
  </si>
  <si>
    <t>Movil+internet</t>
  </si>
  <si>
    <t>Fin. Personal</t>
  </si>
  <si>
    <t>Creditos</t>
  </si>
  <si>
    <t>Agua</t>
  </si>
  <si>
    <t>Oct</t>
  </si>
  <si>
    <t>Total Pendiente</t>
  </si>
  <si>
    <t>Nov</t>
  </si>
  <si>
    <t>Cuota Def</t>
  </si>
  <si>
    <t>Comunidad</t>
  </si>
  <si>
    <t>Seguros</t>
  </si>
  <si>
    <t>Dec</t>
  </si>
  <si>
    <t>Seguro Coche</t>
  </si>
  <si>
    <t>Seguro Hogar</t>
  </si>
  <si>
    <t>Transferencias Mensuales</t>
  </si>
  <si>
    <t>Sanitas Dental</t>
  </si>
  <si>
    <t>Por Amortizar</t>
  </si>
  <si>
    <t>Amortizado</t>
  </si>
  <si>
    <t>Totales</t>
  </si>
  <si>
    <t>To BBVA JGB</t>
  </si>
  <si>
    <t>Mant. Caldera</t>
  </si>
  <si>
    <t>Tranf BBVA - EuroC</t>
  </si>
  <si>
    <t>Comision Tarjeta</t>
  </si>
  <si>
    <t>Seguro Toyota</t>
  </si>
  <si>
    <t>to Ahorro</t>
  </si>
  <si>
    <t>Comision Tarj.</t>
  </si>
  <si>
    <t>Seguro Kia</t>
  </si>
  <si>
    <t>Tarjeta Credito</t>
  </si>
  <si>
    <t>To ING</t>
  </si>
  <si>
    <t>Amortizaciones</t>
  </si>
  <si>
    <t>Paga Carlos</t>
  </si>
  <si>
    <t>Gastos Extraordinarios</t>
  </si>
  <si>
    <t>Remesas</t>
  </si>
  <si>
    <t>Gastos Propios</t>
  </si>
  <si>
    <t>DIA 15</t>
  </si>
  <si>
    <t>Gastos fijos</t>
  </si>
  <si>
    <t>To Eurocaja</t>
  </si>
  <si>
    <t>Fijos Ejecutados</t>
  </si>
  <si>
    <t>Variables Ejecutados</t>
  </si>
  <si>
    <t>Total Ejecutado</t>
  </si>
  <si>
    <t>Por Gastar fijos</t>
  </si>
  <si>
    <t>Por Gastar Variables</t>
  </si>
  <si>
    <t>Saldo mes anterior</t>
  </si>
  <si>
    <t>Prevision</t>
  </si>
  <si>
    <t>Saldo acutal</t>
  </si>
  <si>
    <t>Limite Crediticio</t>
  </si>
  <si>
    <t>Costo Bonificacion Hipoteca</t>
  </si>
  <si>
    <t>Mensual</t>
  </si>
  <si>
    <t>Anual</t>
  </si>
  <si>
    <t>Dic</t>
  </si>
  <si>
    <t>Ene</t>
  </si>
  <si>
    <t>Subida</t>
  </si>
  <si>
    <t>Liquido</t>
  </si>
  <si>
    <t>Días Comedor</t>
  </si>
  <si>
    <t>Ticket Restaurant</t>
  </si>
  <si>
    <t>PE sin retención</t>
  </si>
  <si>
    <t>PE Con retencion</t>
  </si>
  <si>
    <t>Base SS</t>
  </si>
  <si>
    <t>Base AT y Des</t>
  </si>
  <si>
    <t>% IRPF</t>
  </si>
  <si>
    <t>IRPF</t>
  </si>
  <si>
    <t>SS</t>
  </si>
  <si>
    <t>A Percibir</t>
  </si>
  <si>
    <t>Contingencias</t>
  </si>
  <si>
    <t>Comunes</t>
  </si>
  <si>
    <t>MEI</t>
  </si>
  <si>
    <t>Formacion</t>
  </si>
  <si>
    <t>Desempleo</t>
  </si>
  <si>
    <t>&gt; 300.000 €</t>
  </si>
  <si>
    <t>TIcket Restaurant</t>
  </si>
  <si>
    <t>Pago en Especie</t>
  </si>
  <si>
    <t>Internet HB</t>
  </si>
  <si>
    <t>Prestamo Leroy M</t>
  </si>
  <si>
    <t>Presupuesto Fijo</t>
  </si>
  <si>
    <t>Presupuesto Variable</t>
  </si>
  <si>
    <t>Presupuesto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</si>
</sst>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/MM/yyyy"/>
    <numFmt numFmtId="166" formatCode="#,##0.00\ [$€-1]"/>
    <numFmt numFmtId="167" formatCode="#,##0.00&quot;€&quot;"/>
    <numFmt numFmtId="168" formatCode="dd/mm/yyyy"/>
    <numFmt numFmtId="169" formatCode="mm&quot;/&quot;yyyy"/>
  </numFmts>
  <fonts count="16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  <font>
      <sz val="11.0"/>
      <color rgb="FF000000"/>
      <name val="&quot;Open Sans&quot;"/>
    </font>
    <font>
      <sz val="10.0"/>
      <color rgb="FF000000"/>
      <name val="&quot;Aptos Narrow&quot;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rgb="FFFF0000"/>
      <name val="&quot;Aptos Narrow&quot;"/>
    </font>
    <font>
      <sz val="10.0"/>
      <color rgb="FF1155CC"/>
      <name val="&quot;Google Sans Mono&quot;"/>
    </font>
    <font>
      <color rgb="FF000000"/>
      <name val="Arial"/>
      <scheme val="minor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8E8"/>
        <bgColor rgb="FFFFE8E8"/>
      </patternFill>
    </fill>
    <fill>
      <patternFill patternType="solid">
        <fgColor rgb="FFD9EAD3"/>
        <bgColor rgb="FFD9EAD3"/>
      </patternFill>
    </fill>
    <fill>
      <patternFill patternType="solid">
        <fgColor rgb="FFCBF7F7"/>
        <bgColor rgb="FFCBF7F7"/>
      </patternFill>
    </fill>
    <fill>
      <patternFill patternType="solid">
        <fgColor rgb="FFD5F7CB"/>
        <bgColor rgb="FFD5F7CB"/>
      </patternFill>
    </fill>
    <fill>
      <patternFill patternType="solid">
        <fgColor rgb="FFF7CBCB"/>
        <bgColor rgb="FFF7CBCB"/>
      </patternFill>
    </fill>
    <fill>
      <patternFill patternType="solid">
        <fgColor theme="0"/>
        <bgColor theme="0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FF0000"/>
      </top>
    </border>
    <border>
      <top style="thick">
        <color rgb="FFFF0000"/>
      </top>
    </border>
    <border>
      <left style="thick">
        <color rgb="FF000000"/>
      </left>
      <right style="thick">
        <color rgb="FF000000"/>
      </right>
      <bottom style="thick">
        <color rgb="FFFF0000"/>
      </bottom>
    </border>
    <border>
      <bottom style="thick">
        <color rgb="FFFF0000"/>
      </bottom>
    </border>
    <border>
      <left style="thick">
        <color rgb="FF000000"/>
      </left>
      <right style="thick">
        <color rgb="FF000000"/>
      </right>
      <top style="thick">
        <color rgb="FF00FF00"/>
      </top>
      <bottom style="thick">
        <color rgb="FF00FF00"/>
      </bottom>
    </border>
    <border>
      <top style="thick">
        <color rgb="FF00FF00"/>
      </top>
      <bottom style="thick">
        <color rgb="FF00FF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 vertical="bottom"/>
    </xf>
    <xf borderId="0" fillId="0" fontId="4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2" fillId="0" fontId="4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5" numFmtId="166" xfId="0" applyAlignment="1" applyBorder="1" applyFont="1" applyNumberFormat="1">
      <alignment horizontal="center" readingOrder="0"/>
    </xf>
    <xf borderId="3" fillId="0" fontId="7" numFmtId="0" xfId="0" applyBorder="1" applyFont="1"/>
    <xf borderId="0" fillId="0" fontId="1" numFmtId="0" xfId="0" applyAlignment="1" applyFont="1">
      <alignment horizontal="center"/>
    </xf>
    <xf borderId="4" fillId="0" fontId="5" numFmtId="166" xfId="0" applyAlignment="1" applyBorder="1" applyFont="1" applyNumberFormat="1">
      <alignment horizontal="center" readingOrder="0"/>
    </xf>
    <xf borderId="4" fillId="0" fontId="7" numFmtId="0" xfId="0" applyBorder="1" applyFont="1"/>
    <xf borderId="0" fillId="0" fontId="1" numFmtId="166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2" fontId="8" numFmtId="167" xfId="0" applyAlignment="1" applyFill="1" applyFont="1" applyNumberFormat="1">
      <alignment horizontal="center" readingOrder="0" shrinkToFit="0" wrapText="0"/>
    </xf>
    <xf borderId="5" fillId="3" fontId="5" numFmtId="166" xfId="0" applyAlignment="1" applyBorder="1" applyFill="1" applyFont="1" applyNumberFormat="1">
      <alignment horizontal="center" readingOrder="0"/>
    </xf>
    <xf borderId="6" fillId="0" fontId="4" numFmtId="166" xfId="0" applyAlignment="1" applyBorder="1" applyFont="1" applyNumberFormat="1">
      <alignment horizontal="center" readingOrder="0" vertical="center"/>
    </xf>
    <xf borderId="7" fillId="3" fontId="5" numFmtId="166" xfId="0" applyAlignment="1" applyBorder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7" fillId="0" fontId="4" numFmtId="166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9" numFmtId="166" xfId="0" applyAlignment="1" applyFont="1" applyNumberFormat="1">
      <alignment horizontal="center" readingOrder="0" shrinkToFit="0" vertical="bottom" wrapText="0"/>
    </xf>
    <xf borderId="0" fillId="0" fontId="3" numFmtId="10" xfId="0" applyAlignment="1" applyFont="1" applyNumberForma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0" fillId="0" fontId="6" numFmtId="166" xfId="0" applyAlignment="1" applyFont="1" applyNumberFormat="1">
      <alignment horizontal="center" readingOrder="0" vertical="center"/>
    </xf>
    <xf borderId="5" fillId="3" fontId="4" numFmtId="166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 shrinkToFit="0" wrapText="0"/>
    </xf>
    <xf borderId="7" fillId="3" fontId="4" numFmtId="166" xfId="0" applyAlignment="1" applyBorder="1" applyFont="1" applyNumberFormat="1">
      <alignment horizontal="center" readingOrder="0"/>
    </xf>
    <xf borderId="8" fillId="0" fontId="1" numFmtId="167" xfId="0" applyAlignment="1" applyBorder="1" applyFont="1" applyNumberFormat="1">
      <alignment horizontal="center" readingOrder="0" vertical="bottom"/>
    </xf>
    <xf borderId="0" fillId="0" fontId="1" numFmtId="168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horizontal="center" readingOrder="0" shrinkToFit="0" wrapText="0"/>
    </xf>
    <xf borderId="5" fillId="0" fontId="5" numFmtId="166" xfId="0" applyAlignment="1" applyBorder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 readingOrder="0" vertical="bottom"/>
    </xf>
    <xf borderId="7" fillId="0" fontId="5" numFmtId="166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 vertical="bottom"/>
    </xf>
    <xf borderId="5" fillId="0" fontId="1" numFmtId="164" xfId="0" applyAlignment="1" applyBorder="1" applyFont="1" applyNumberFormat="1">
      <alignment horizontal="center" readingOrder="0" vertical="bottom"/>
    </xf>
    <xf borderId="0" fillId="0" fontId="1" numFmtId="167" xfId="0" applyAlignment="1" applyFont="1" applyNumberFormat="1">
      <alignment horizontal="center"/>
    </xf>
    <xf borderId="5" fillId="0" fontId="4" numFmtId="10" xfId="0" applyAlignment="1" applyBorder="1" applyFont="1" applyNumberFormat="1">
      <alignment horizontal="center"/>
    </xf>
    <xf borderId="7" fillId="0" fontId="4" numFmtId="10" xfId="0" applyAlignment="1" applyBorder="1" applyFont="1" applyNumberFormat="1">
      <alignment horizontal="center"/>
    </xf>
    <xf borderId="0" fillId="2" fontId="10" numFmtId="167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 vertical="bottom"/>
    </xf>
    <xf borderId="9" fillId="0" fontId="1" numFmtId="0" xfId="0" applyAlignment="1" applyBorder="1" applyFont="1">
      <alignment horizontal="center" vertical="bottom"/>
    </xf>
    <xf borderId="5" fillId="4" fontId="5" numFmtId="166" xfId="0" applyAlignment="1" applyBorder="1" applyFill="1" applyFont="1" applyNumberFormat="1">
      <alignment horizontal="center" readingOrder="0"/>
    </xf>
    <xf borderId="10" fillId="0" fontId="1" numFmtId="10" xfId="0" applyAlignment="1" applyBorder="1" applyFont="1" applyNumberFormat="1">
      <alignment horizontal="center" readingOrder="0" vertical="bottom"/>
    </xf>
    <xf borderId="7" fillId="4" fontId="5" numFmtId="166" xfId="0" applyAlignment="1" applyBorder="1" applyFont="1" applyNumberFormat="1">
      <alignment horizontal="center" readingOrder="0"/>
    </xf>
    <xf borderId="7" fillId="0" fontId="1" numFmtId="168" xfId="0" applyAlignment="1" applyBorder="1" applyFont="1" applyNumberFormat="1">
      <alignment horizontal="center" readingOrder="0" vertical="bottom"/>
    </xf>
    <xf borderId="0" fillId="5" fontId="4" numFmtId="166" xfId="0" applyAlignment="1" applyFill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1" numFmtId="166" xfId="0" applyAlignment="1" applyBorder="1" applyFont="1" applyNumberFormat="1">
      <alignment horizontal="center" readingOrder="0" vertical="bottom"/>
    </xf>
    <xf borderId="0" fillId="5" fontId="4" numFmtId="166" xfId="0" applyAlignment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bottom"/>
    </xf>
    <xf borderId="0" fillId="5" fontId="6" numFmtId="0" xfId="0" applyAlignment="1" applyFont="1">
      <alignment horizontal="center" readingOrder="0"/>
    </xf>
    <xf borderId="5" fillId="4" fontId="5" numFmtId="166" xfId="0" applyAlignment="1" applyBorder="1" applyFont="1" applyNumberFormat="1">
      <alignment horizontal="center"/>
    </xf>
    <xf borderId="0" fillId="5" fontId="6" numFmtId="166" xfId="0" applyAlignment="1" applyFont="1" applyNumberFormat="1">
      <alignment horizontal="center"/>
    </xf>
    <xf borderId="0" fillId="0" fontId="10" numFmtId="10" xfId="0" applyAlignment="1" applyFont="1" applyNumberFormat="1">
      <alignment horizontal="center" readingOrder="0" shrinkToFit="0" wrapText="0"/>
    </xf>
    <xf borderId="7" fillId="4" fontId="11" numFmtId="166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 readingOrder="0" vertical="center"/>
    </xf>
    <xf borderId="5" fillId="6" fontId="5" numFmtId="166" xfId="0" applyAlignment="1" applyBorder="1" applyFill="1" applyFont="1" applyNumberFormat="1">
      <alignment horizontal="center" readingOrder="0"/>
    </xf>
    <xf borderId="7" fillId="0" fontId="6" numFmtId="166" xfId="0" applyAlignment="1" applyBorder="1" applyFont="1" applyNumberFormat="1">
      <alignment horizontal="center" readingOrder="0" vertical="center"/>
    </xf>
    <xf borderId="8" fillId="0" fontId="1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vertical="center"/>
    </xf>
    <xf borderId="8" fillId="0" fontId="1" numFmtId="166" xfId="0" applyAlignment="1" applyBorder="1" applyFont="1" applyNumberFormat="1">
      <alignment horizontal="center" readingOrder="0"/>
    </xf>
    <xf borderId="5" fillId="0" fontId="1" numFmtId="0" xfId="0" applyBorder="1" applyFont="1"/>
    <xf borderId="0" fillId="0" fontId="6" numFmtId="166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8" fillId="6" fontId="5" numFmtId="166" xfId="0" applyAlignment="1" applyBorder="1" applyFont="1" applyNumberFormat="1">
      <alignment horizontal="center"/>
    </xf>
    <xf borderId="11" fillId="6" fontId="5" numFmtId="166" xfId="0" applyAlignment="1" applyBorder="1" applyFont="1" applyNumberFormat="1">
      <alignment horizontal="center"/>
    </xf>
    <xf borderId="0" fillId="2" fontId="6" numFmtId="0" xfId="0" applyAlignment="1" applyFont="1">
      <alignment horizontal="center" readingOrder="0"/>
    </xf>
    <xf borderId="0" fillId="2" fontId="6" numFmtId="10" xfId="0" applyAlignment="1" applyFont="1" applyNumberFormat="1">
      <alignment horizontal="center"/>
    </xf>
    <xf borderId="12" fillId="0" fontId="1" numFmtId="166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7" fillId="0" fontId="6" numFmtId="166" xfId="0" applyAlignment="1" applyBorder="1" applyFont="1" applyNumberFormat="1">
      <alignment horizontal="center" readingOrder="0"/>
    </xf>
    <xf borderId="11" fillId="0" fontId="1" numFmtId="166" xfId="0" applyAlignment="1" applyBorder="1" applyFont="1" applyNumberFormat="1">
      <alignment horizontal="center"/>
    </xf>
    <xf borderId="0" fillId="0" fontId="10" numFmtId="1" xfId="0" applyAlignment="1" applyFont="1" applyNumberFormat="1">
      <alignment horizontal="center" readingOrder="0" shrinkToFit="0" wrapText="0"/>
    </xf>
    <xf borderId="1" fillId="0" fontId="1" numFmtId="166" xfId="0" applyAlignment="1" applyBorder="1" applyFont="1" applyNumberFormat="1">
      <alignment horizontal="center" readingOrder="0"/>
    </xf>
    <xf borderId="5" fillId="0" fontId="1" numFmtId="166" xfId="0" applyAlignment="1" applyBorder="1" applyFont="1" applyNumberFormat="1">
      <alignment horizontal="center"/>
    </xf>
    <xf borderId="0" fillId="0" fontId="4" numFmtId="0" xfId="0" applyFont="1"/>
    <xf borderId="0" fillId="0" fontId="1" numFmtId="167" xfId="0" applyAlignment="1" applyFont="1" applyNumberFormat="1">
      <alignment horizontal="center" vertical="bottom"/>
    </xf>
    <xf borderId="8" fillId="7" fontId="1" numFmtId="166" xfId="0" applyAlignment="1" applyBorder="1" applyFill="1" applyFont="1" applyNumberFormat="1">
      <alignment horizontal="center" vertical="bottom"/>
    </xf>
    <xf borderId="13" fillId="8" fontId="1" numFmtId="166" xfId="0" applyAlignment="1" applyBorder="1" applyFill="1" applyFont="1" applyNumberFormat="1">
      <alignment horizontal="center"/>
    </xf>
    <xf borderId="8" fillId="0" fontId="1" numFmtId="166" xfId="0" applyAlignment="1" applyBorder="1" applyFont="1" applyNumberFormat="1">
      <alignment horizontal="center"/>
    </xf>
    <xf borderId="0" fillId="0" fontId="6" numFmtId="169" xfId="0" applyAlignment="1" applyFont="1" applyNumberFormat="1">
      <alignment horizontal="center"/>
    </xf>
    <xf borderId="7" fillId="0" fontId="4" numFmtId="166" xfId="0" applyAlignment="1" applyBorder="1" applyFont="1" applyNumberFormat="1">
      <alignment horizontal="center"/>
    </xf>
    <xf borderId="0" fillId="0" fontId="12" numFmtId="166" xfId="0" applyAlignment="1" applyFont="1" applyNumberFormat="1">
      <alignment horizontal="center" readingOrder="0" shrinkToFit="0" vertical="bottom" wrapText="0"/>
    </xf>
    <xf borderId="0" fillId="0" fontId="10" numFmtId="167" xfId="0" applyAlignment="1" applyFont="1" applyNumberFormat="1">
      <alignment horizontal="center" readingOrder="0" shrinkToFit="0" wrapText="0"/>
    </xf>
    <xf borderId="9" fillId="0" fontId="1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4" fillId="0" fontId="7" numFmtId="0" xfId="0" applyBorder="1" applyFont="1"/>
    <xf borderId="10" fillId="0" fontId="7" numFmtId="0" xfId="0" applyBorder="1" applyFont="1"/>
    <xf borderId="2" fillId="0" fontId="1" numFmtId="166" xfId="0" applyAlignment="1" applyBorder="1" applyFont="1" applyNumberFormat="1">
      <alignment horizontal="center" readingOrder="0"/>
    </xf>
    <xf borderId="12" fillId="0" fontId="6" numFmtId="0" xfId="0" applyAlignment="1" applyBorder="1" applyFont="1">
      <alignment horizontal="center" readingOrder="0"/>
    </xf>
    <xf borderId="13" fillId="0" fontId="6" numFmtId="166" xfId="0" applyAlignment="1" applyBorder="1" applyFont="1" applyNumberFormat="1">
      <alignment horizontal="center" readingOrder="0" vertical="center"/>
    </xf>
    <xf borderId="13" fillId="0" fontId="4" numFmtId="166" xfId="0" applyAlignment="1" applyBorder="1" applyFont="1" applyNumberFormat="1">
      <alignment horizontal="center" readingOrder="0"/>
    </xf>
    <xf borderId="6" fillId="0" fontId="1" numFmtId="165" xfId="0" applyAlignment="1" applyBorder="1" applyFont="1" applyNumberFormat="1">
      <alignment horizontal="center" readingOrder="0"/>
    </xf>
    <xf borderId="11" fillId="0" fontId="6" numFmtId="166" xfId="0" applyAlignment="1" applyBorder="1" applyFont="1" applyNumberFormat="1">
      <alignment horizontal="center" readingOrder="0"/>
    </xf>
    <xf borderId="0" fillId="2" fontId="13" numFmtId="166" xfId="0" applyAlignment="1" applyFont="1" applyNumberFormat="1">
      <alignment readingOrder="0"/>
    </xf>
    <xf borderId="2" fillId="9" fontId="4" numFmtId="166" xfId="0" applyAlignment="1" applyBorder="1" applyFill="1" applyFont="1" applyNumberFormat="1">
      <alignment horizontal="center" readingOrder="0" vertical="center"/>
    </xf>
    <xf borderId="7" fillId="0" fontId="1" numFmtId="166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readingOrder="0" vertical="bottom"/>
    </xf>
    <xf borderId="3" fillId="9" fontId="4" numFmtId="166" xfId="0" applyAlignment="1" applyBorder="1" applyFont="1" applyNumberFormat="1">
      <alignment horizontal="center" vertical="center"/>
    </xf>
    <xf borderId="3" fillId="0" fontId="1" numFmtId="166" xfId="0" applyAlignment="1" applyBorder="1" applyFont="1" applyNumberFormat="1">
      <alignment horizontal="center" readingOrder="0" vertical="bottom"/>
    </xf>
    <xf borderId="0" fillId="0" fontId="4" numFmtId="169" xfId="0" applyAlignment="1" applyFont="1" applyNumberFormat="1">
      <alignment horizontal="center"/>
    </xf>
    <xf borderId="4" fillId="9" fontId="4" numFmtId="166" xfId="0" applyAlignment="1" applyBorder="1" applyFont="1" applyNumberFormat="1">
      <alignment horizontal="center" vertical="center"/>
    </xf>
    <xf borderId="0" fillId="2" fontId="4" numFmtId="0" xfId="0" applyAlignment="1" applyFont="1">
      <alignment horizontal="center" readingOrder="0"/>
    </xf>
    <xf borderId="0" fillId="2" fontId="4" numFmtId="166" xfId="0" applyAlignment="1" applyFont="1" applyNumberFormat="1">
      <alignment horizontal="center" vertical="center"/>
    </xf>
    <xf borderId="0" fillId="2" fontId="4" numFmtId="0" xfId="0" applyAlignment="1" applyFont="1">
      <alignment horizontal="center"/>
    </xf>
    <xf borderId="4" fillId="0" fontId="1" numFmtId="166" xfId="0" applyAlignment="1" applyBorder="1" applyFont="1" applyNumberFormat="1">
      <alignment horizontal="center" readingOrder="0"/>
    </xf>
    <xf borderId="6" fillId="10" fontId="6" numFmtId="0" xfId="0" applyAlignment="1" applyBorder="1" applyFill="1" applyFont="1">
      <alignment horizontal="center" readingOrder="0"/>
    </xf>
    <xf borderId="0" fillId="10" fontId="6" numFmtId="166" xfId="0" applyAlignment="1" applyFont="1" applyNumberFormat="1">
      <alignment horizontal="center"/>
    </xf>
    <xf borderId="0" fillId="10" fontId="6" numFmtId="166" xfId="0" applyAlignment="1" applyFont="1" applyNumberFormat="1">
      <alignment horizontal="center" readingOrder="0"/>
    </xf>
    <xf borderId="7" fillId="10" fontId="6" numFmtId="166" xfId="0" applyAlignment="1" applyBorder="1" applyFont="1" applyNumberFormat="1">
      <alignment horizontal="center" readingOrder="0"/>
    </xf>
    <xf borderId="12" fillId="11" fontId="6" numFmtId="0" xfId="0" applyAlignment="1" applyBorder="1" applyFill="1" applyFont="1">
      <alignment horizontal="center" readingOrder="0" vertical="center"/>
    </xf>
    <xf borderId="13" fillId="11" fontId="6" numFmtId="166" xfId="0" applyAlignment="1" applyBorder="1" applyFont="1" applyNumberFormat="1">
      <alignment horizontal="center" vertical="center"/>
    </xf>
    <xf borderId="11" fillId="11" fontId="6" numFmtId="166" xfId="0" applyAlignment="1" applyBorder="1" applyFont="1" applyNumberFormat="1">
      <alignment horizontal="center" vertical="center"/>
    </xf>
    <xf borderId="6" fillId="10" fontId="4" numFmtId="0" xfId="0" applyAlignment="1" applyBorder="1" applyFont="1">
      <alignment horizontal="center" readingOrder="0"/>
    </xf>
    <xf borderId="0" fillId="10" fontId="4" numFmtId="166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10" fontId="4" numFmtId="166" xfId="0" applyAlignment="1" applyFont="1" applyNumberFormat="1">
      <alignment horizontal="center" readingOrder="0"/>
    </xf>
    <xf borderId="7" fillId="10" fontId="4" numFmtId="166" xfId="0" applyAlignment="1" applyBorder="1" applyFont="1" applyNumberFormat="1">
      <alignment horizontal="center" readingOrder="0"/>
    </xf>
    <xf borderId="6" fillId="0" fontId="1" numFmtId="165" xfId="0" applyAlignment="1" applyBorder="1" applyFont="1" applyNumberFormat="1">
      <alignment horizontal="center" readingOrder="0" vertical="bottom"/>
    </xf>
    <xf borderId="12" fillId="11" fontId="4" numFmtId="0" xfId="0" applyAlignment="1" applyBorder="1" applyFont="1">
      <alignment horizontal="center" readingOrder="0" vertical="center"/>
    </xf>
    <xf borderId="13" fillId="11" fontId="4" numFmtId="166" xfId="0" applyAlignment="1" applyBorder="1" applyFont="1" applyNumberFormat="1">
      <alignment horizontal="center" vertical="center"/>
    </xf>
    <xf borderId="11" fillId="11" fontId="4" numFmtId="166" xfId="0" applyAlignment="1" applyBorder="1" applyFont="1" applyNumberFormat="1">
      <alignment horizontal="center" vertical="center"/>
    </xf>
    <xf borderId="0" fillId="12" fontId="4" numFmtId="166" xfId="0" applyAlignment="1" applyFill="1" applyFont="1" applyNumberFormat="1">
      <alignment horizontal="center"/>
    </xf>
    <xf borderId="0" fillId="0" fontId="1" numFmtId="0" xfId="0" applyAlignment="1" applyFont="1">
      <alignment readingOrder="0"/>
    </xf>
    <xf borderId="0" fillId="0" fontId="4" numFmtId="166" xfId="0" applyAlignment="1" applyFont="1" applyNumberFormat="1">
      <alignment horizontal="center" vertical="center"/>
    </xf>
    <xf borderId="0" fillId="5" fontId="4" numFmtId="166" xfId="0" applyAlignment="1" applyFont="1" applyNumberFormat="1">
      <alignment horizontal="center" readingOrder="0"/>
    </xf>
    <xf borderId="15" fillId="0" fontId="6" numFmtId="0" xfId="0" applyAlignment="1" applyBorder="1" applyFont="1">
      <alignment horizontal="center" readingOrder="0"/>
    </xf>
    <xf borderId="14" fillId="0" fontId="6" numFmtId="166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readingOrder="0"/>
    </xf>
    <xf borderId="5" fillId="0" fontId="6" numFmtId="166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16" fillId="0" fontId="6" numFmtId="166" xfId="0" applyAlignment="1" applyBorder="1" applyFont="1" applyNumberFormat="1">
      <alignment horizontal="center" readingOrder="0"/>
    </xf>
    <xf borderId="17" fillId="0" fontId="6" numFmtId="10" xfId="0" applyAlignment="1" applyBorder="1" applyFont="1" applyNumberFormat="1">
      <alignment horizontal="center" readingOrder="0"/>
    </xf>
    <xf borderId="18" fillId="0" fontId="6" numFmtId="166" xfId="0" applyAlignment="1" applyBorder="1" applyFont="1" applyNumberFormat="1">
      <alignment horizontal="center" readingOrder="0"/>
    </xf>
    <xf borderId="19" fillId="0" fontId="6" numFmtId="166" xfId="0" applyAlignment="1" applyBorder="1" applyFont="1" applyNumberFormat="1">
      <alignment horizontal="center"/>
    </xf>
    <xf borderId="20" fillId="0" fontId="6" numFmtId="166" xfId="0" applyAlignment="1" applyBorder="1" applyFont="1" applyNumberFormat="1">
      <alignment horizontal="center" readingOrder="0"/>
    </xf>
    <xf borderId="21" fillId="0" fontId="6" numFmtId="166" xfId="0" applyAlignment="1" applyBorder="1" applyFont="1" applyNumberFormat="1">
      <alignment horizontal="center" readingOrder="0"/>
    </xf>
    <xf borderId="8" fillId="0" fontId="6" numFmtId="0" xfId="0" applyAlignment="1" applyBorder="1" applyFont="1">
      <alignment horizontal="center"/>
    </xf>
    <xf borderId="13" fillId="0" fontId="6" numFmtId="10" xfId="0" applyAlignment="1" applyBorder="1" applyFont="1" applyNumberFormat="1">
      <alignment horizontal="center"/>
    </xf>
    <xf borderId="0" fillId="0" fontId="6" numFmtId="10" xfId="0" applyAlignment="1" applyFont="1" applyNumberFormat="1">
      <alignment horizontal="center" readingOrder="0"/>
    </xf>
    <xf borderId="0" fillId="0" fontId="14" numFmtId="166" xfId="0" applyAlignment="1" applyFont="1" applyNumberFormat="1">
      <alignment horizontal="center" readingOrder="0"/>
    </xf>
    <xf borderId="0" fillId="0" fontId="14" numFmtId="10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/>
    </xf>
    <xf borderId="0" fillId="0" fontId="15" numFmtId="166" xfId="0" applyAlignment="1" applyFont="1" applyNumberFormat="1">
      <alignment horizontal="center" readingOrder="0" shrinkToFit="0" vertical="bottom" wrapText="0"/>
    </xf>
    <xf borderId="0" fillId="5" fontId="4" numFmtId="0" xfId="0" applyAlignment="1" applyFont="1">
      <alignment horizontal="center" readingOrder="0"/>
    </xf>
    <xf borderId="0" fillId="5" fontId="4" numFmtId="166" xfId="0" applyAlignment="1" applyFont="1" applyNumberFormat="1">
      <alignment horizontal="center"/>
    </xf>
    <xf borderId="0" fillId="2" fontId="4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88"/>
    <col customWidth="1" min="3" max="3" width="10.75"/>
    <col customWidth="1" min="4" max="5" width="14.88"/>
    <col customWidth="1" min="6" max="6" width="2.25"/>
    <col customWidth="1" min="7" max="7" width="18.25"/>
    <col customWidth="1" min="8" max="8" width="8.88"/>
    <col customWidth="1" min="9" max="9" width="9.0"/>
    <col customWidth="1" min="10" max="10" width="8.5"/>
    <col customWidth="1" min="11" max="11" width="10.5"/>
    <col customWidth="1" min="12" max="12" width="2.13"/>
    <col customWidth="1" min="13" max="13" width="16.5"/>
    <col customWidth="1" min="14" max="14" width="9.63"/>
    <col customWidth="1" min="15" max="15" width="11.75"/>
    <col customWidth="1" min="16" max="16" width="10.63"/>
  </cols>
  <sheetData>
    <row r="1">
      <c r="A1" s="8" t="s">
        <v>3</v>
      </c>
      <c r="C1" s="6"/>
      <c r="D1" s="12" t="s">
        <v>6</v>
      </c>
      <c r="E1" s="15" t="s">
        <v>8</v>
      </c>
      <c r="F1" s="7"/>
      <c r="G1" s="10" t="s">
        <v>4</v>
      </c>
      <c r="H1" s="13"/>
      <c r="I1" s="13"/>
      <c r="J1" s="13"/>
      <c r="K1" s="16"/>
      <c r="L1" s="18"/>
      <c r="M1" s="20" t="s">
        <v>9</v>
      </c>
      <c r="O1" s="20" t="s">
        <v>10</v>
      </c>
      <c r="Q1" s="18"/>
      <c r="R1" s="18"/>
      <c r="S1" s="6"/>
      <c r="T1" s="6"/>
      <c r="U1" s="18"/>
      <c r="V1" s="18"/>
      <c r="W1" s="18"/>
      <c r="X1" s="6"/>
      <c r="Y1" s="18"/>
    </row>
    <row r="2">
      <c r="A2" s="6" t="s">
        <v>15</v>
      </c>
      <c r="B2" s="6" t="s">
        <v>17</v>
      </c>
      <c r="C2" s="6"/>
      <c r="D2" s="22" t="s">
        <v>19</v>
      </c>
      <c r="E2" s="24" t="s">
        <v>19</v>
      </c>
      <c r="F2" s="7"/>
      <c r="G2" s="23" t="s">
        <v>20</v>
      </c>
      <c r="H2" s="25" t="s">
        <v>21</v>
      </c>
      <c r="I2" s="27" t="s">
        <v>22</v>
      </c>
      <c r="J2" s="6" t="s">
        <v>23</v>
      </c>
      <c r="K2" s="29" t="s">
        <v>24</v>
      </c>
      <c r="L2" s="18"/>
      <c r="M2" s="25" t="s">
        <v>20</v>
      </c>
      <c r="N2" s="25" t="s">
        <v>26</v>
      </c>
      <c r="O2" s="6" t="s">
        <v>27</v>
      </c>
      <c r="P2" s="6">
        <v>14.99</v>
      </c>
      <c r="Q2" s="18"/>
      <c r="R2" s="18"/>
      <c r="S2" s="8"/>
      <c r="T2" s="25"/>
      <c r="U2" s="18"/>
      <c r="V2" s="18"/>
      <c r="W2" s="18"/>
      <c r="X2" s="6"/>
      <c r="Y2" s="18"/>
    </row>
    <row r="3">
      <c r="A3" s="6">
        <f>H27</f>
        <v>4678.43</v>
      </c>
      <c r="B3" s="6">
        <f>A5-A3-B5</f>
        <v>172.91</v>
      </c>
      <c r="C3" s="18"/>
      <c r="D3" s="35">
        <v>1953.79</v>
      </c>
      <c r="E3" s="37">
        <v>2977.55</v>
      </c>
      <c r="F3" s="18"/>
      <c r="G3" s="23" t="s">
        <v>29</v>
      </c>
      <c r="H3" s="34">
        <f t="shared" ref="H3:H24" si="1">I3+K3+J3</f>
        <v>550.93</v>
      </c>
      <c r="I3" s="27"/>
      <c r="J3" s="6"/>
      <c r="K3" s="29">
        <v>550.93</v>
      </c>
      <c r="L3" s="8"/>
      <c r="M3" s="25" t="s">
        <v>32</v>
      </c>
      <c r="N3" s="27">
        <v>30.3</v>
      </c>
      <c r="O3" s="6" t="s">
        <v>33</v>
      </c>
      <c r="P3" s="18">
        <f>IF($A$1="Sep",49.99,0)</f>
        <v>49.99</v>
      </c>
      <c r="Q3" s="18"/>
      <c r="R3" s="18"/>
      <c r="S3" s="18"/>
      <c r="T3" s="18"/>
      <c r="U3" s="18"/>
      <c r="V3" s="18"/>
      <c r="W3" s="18"/>
      <c r="X3" s="6"/>
      <c r="Y3" s="18"/>
    </row>
    <row r="4">
      <c r="A4" s="8" t="s">
        <v>37</v>
      </c>
      <c r="B4" s="6" t="s">
        <v>38</v>
      </c>
      <c r="C4" s="18"/>
      <c r="D4" s="41" t="s">
        <v>39</v>
      </c>
      <c r="E4" s="43" t="s">
        <v>39</v>
      </c>
      <c r="F4" s="18"/>
      <c r="G4" s="23" t="s">
        <v>36</v>
      </c>
      <c r="H4" s="34">
        <f t="shared" si="1"/>
        <v>0</v>
      </c>
      <c r="I4" s="27"/>
      <c r="J4" s="27"/>
      <c r="K4" s="29">
        <f>IF(OR($A$1="Jul",$A$1="Aug",$A$1="Sep"),0,IF($A$1="Oct",242,121))</f>
        <v>0</v>
      </c>
      <c r="L4" s="6"/>
      <c r="M4" s="8" t="s">
        <v>40</v>
      </c>
      <c r="N4" s="27">
        <v>246.04</v>
      </c>
      <c r="O4" s="6" t="s">
        <v>41</v>
      </c>
      <c r="P4" s="6">
        <v>10.99</v>
      </c>
      <c r="Q4" s="18"/>
      <c r="R4" s="18"/>
      <c r="S4" s="18"/>
      <c r="T4" s="18"/>
      <c r="U4" s="18"/>
      <c r="V4" s="18"/>
      <c r="W4" s="18"/>
      <c r="X4" s="6"/>
      <c r="Y4" s="18"/>
    </row>
    <row r="5">
      <c r="A5" s="6">
        <f>D3+E3+A7</f>
        <v>4931.34</v>
      </c>
      <c r="B5" s="6">
        <f>B17+C17</f>
        <v>80</v>
      </c>
      <c r="C5" s="18"/>
      <c r="D5" s="47">
        <f>D3/(D3+E3)</f>
        <v>0.3961985992</v>
      </c>
      <c r="E5" s="48">
        <f>E3/(E3+D3)</f>
        <v>0.6038014008</v>
      </c>
      <c r="F5" s="18"/>
      <c r="G5" s="23" t="s">
        <v>43</v>
      </c>
      <c r="H5" s="34">
        <f t="shared" si="1"/>
        <v>74.22</v>
      </c>
      <c r="I5" s="27"/>
      <c r="J5" s="6"/>
      <c r="K5" s="29">
        <v>74.22</v>
      </c>
      <c r="L5" s="8"/>
      <c r="M5" s="20" t="s">
        <v>44</v>
      </c>
      <c r="N5" s="34">
        <v>124.82</v>
      </c>
      <c r="O5" s="6" t="s">
        <v>45</v>
      </c>
      <c r="P5" s="6">
        <v>7.99</v>
      </c>
      <c r="Q5" s="18"/>
      <c r="R5" s="18"/>
      <c r="S5" s="18"/>
      <c r="T5" s="18"/>
      <c r="U5" s="18"/>
      <c r="V5" s="18"/>
      <c r="W5" s="18"/>
      <c r="X5" s="6"/>
      <c r="Y5" s="18"/>
    </row>
    <row r="6">
      <c r="A6" s="6" t="s">
        <v>18</v>
      </c>
      <c r="B6" s="18"/>
      <c r="C6" s="18"/>
      <c r="D6" s="53" t="s">
        <v>60</v>
      </c>
      <c r="E6" s="55" t="s">
        <v>60</v>
      </c>
      <c r="F6" s="18"/>
      <c r="G6" s="23" t="s">
        <v>47</v>
      </c>
      <c r="H6" s="34">
        <f t="shared" si="1"/>
        <v>0</v>
      </c>
      <c r="I6" s="27">
        <v>0.0</v>
      </c>
      <c r="J6" s="6"/>
      <c r="K6" s="29">
        <v>0.0</v>
      </c>
      <c r="L6" s="6"/>
      <c r="M6" s="20" t="s">
        <v>48</v>
      </c>
      <c r="N6" s="34">
        <v>238.4</v>
      </c>
      <c r="O6" s="6" t="s">
        <v>49</v>
      </c>
      <c r="P6" s="6">
        <v>16.99</v>
      </c>
      <c r="Q6" s="18"/>
      <c r="R6" s="18"/>
      <c r="S6" s="6"/>
      <c r="T6" s="18"/>
      <c r="U6" s="18"/>
      <c r="V6" s="18"/>
      <c r="W6" s="18"/>
      <c r="X6" s="6"/>
      <c r="Y6" s="18"/>
    </row>
    <row r="7">
      <c r="A7" s="6">
        <f>IF($A$1="Jul",2527.27-D3,0)</f>
        <v>0</v>
      </c>
      <c r="B7" s="18"/>
      <c r="C7" s="18"/>
      <c r="D7" s="64">
        <f>(A3*D5)</f>
        <v>1853.587412</v>
      </c>
      <c r="E7" s="67">
        <f>(A3*E5)</f>
        <v>2824.842588</v>
      </c>
      <c r="F7" s="18"/>
      <c r="G7" s="23" t="s">
        <v>51</v>
      </c>
      <c r="H7" s="34">
        <f t="shared" si="1"/>
        <v>0</v>
      </c>
      <c r="I7" s="27">
        <v>0.0</v>
      </c>
      <c r="J7" s="6"/>
      <c r="K7" s="29">
        <v>0.0</v>
      </c>
      <c r="L7" s="6"/>
      <c r="M7" s="25" t="s">
        <v>52</v>
      </c>
      <c r="N7" s="25">
        <v>308.96</v>
      </c>
      <c r="O7" s="6" t="s">
        <v>53</v>
      </c>
      <c r="P7" s="6">
        <v>1.79</v>
      </c>
      <c r="Q7" s="18"/>
      <c r="R7" s="18"/>
      <c r="S7" s="6"/>
      <c r="T7" s="18"/>
      <c r="U7" s="18"/>
      <c r="V7" s="18"/>
      <c r="W7" s="18"/>
      <c r="X7" s="6"/>
      <c r="Y7" s="18"/>
    </row>
    <row r="8">
      <c r="A8" s="18"/>
      <c r="B8" s="18"/>
      <c r="C8" s="18"/>
      <c r="D8" s="69" t="s">
        <v>71</v>
      </c>
      <c r="E8" s="69" t="s">
        <v>71</v>
      </c>
      <c r="F8" s="18"/>
      <c r="G8" s="23" t="s">
        <v>57</v>
      </c>
      <c r="H8" s="34">
        <f t="shared" si="1"/>
        <v>150</v>
      </c>
      <c r="I8" s="27"/>
      <c r="J8" s="18"/>
      <c r="K8" s="29">
        <f>IF(OR($A$1="Jul",$A$1="Aug",$A$1="Sep"),150,IF(OR($A$1="May",$A$1="Jun",$A$1="Oct",$A$1="Nov"),120,100))</f>
        <v>150</v>
      </c>
      <c r="L8" s="76"/>
      <c r="M8" s="8"/>
      <c r="N8" s="27"/>
      <c r="O8" s="6" t="s">
        <v>59</v>
      </c>
      <c r="P8" s="18">
        <f>IF($A$1="Aug",129.99,0)</f>
        <v>0</v>
      </c>
      <c r="Q8" s="18"/>
      <c r="R8" s="18"/>
      <c r="S8" s="18"/>
      <c r="T8" s="18"/>
      <c r="U8" s="18"/>
      <c r="V8" s="18"/>
      <c r="W8" s="18"/>
      <c r="X8" s="6"/>
      <c r="Y8" s="18"/>
    </row>
    <row r="9">
      <c r="B9" s="18"/>
      <c r="C9" s="18"/>
      <c r="D9" s="77">
        <f>B5*D5</f>
        <v>31.69588793</v>
      </c>
      <c r="E9" s="78">
        <f>(B5)*E5</f>
        <v>48.30411207</v>
      </c>
      <c r="F9" s="18"/>
      <c r="G9" s="23" t="s">
        <v>62</v>
      </c>
      <c r="H9" s="34">
        <f t="shared" si="1"/>
        <v>0</v>
      </c>
      <c r="I9" s="27"/>
      <c r="J9" s="18"/>
      <c r="K9" s="29">
        <f>IF(OR($A$1="Jun",$A$1="Aug",$A$1="Oct"),90,IF(OR($A$1="Apr",$A$1="Dec"),130,IF($A$1="Feb",200,0)))</f>
        <v>0</v>
      </c>
      <c r="L9" s="76"/>
      <c r="M9" s="57" t="s">
        <v>64</v>
      </c>
      <c r="N9" s="61">
        <f>SUM(N3:N8)</f>
        <v>948.52</v>
      </c>
      <c r="O9" s="63" t="s">
        <v>66</v>
      </c>
      <c r="P9" s="65">
        <f>SUM(P2:P8)</f>
        <v>102.74</v>
      </c>
      <c r="Q9" s="18"/>
      <c r="R9" s="18"/>
      <c r="S9" s="18"/>
      <c r="T9" s="18"/>
      <c r="U9" s="18"/>
      <c r="V9" s="18"/>
      <c r="W9" s="18"/>
      <c r="X9" s="6"/>
      <c r="Y9" s="18"/>
    </row>
    <row r="10">
      <c r="A10" s="18"/>
      <c r="B10" s="18"/>
      <c r="C10" s="18"/>
      <c r="F10" s="18"/>
      <c r="G10" s="68" t="s">
        <v>70</v>
      </c>
      <c r="H10" s="34">
        <f t="shared" si="1"/>
        <v>109</v>
      </c>
      <c r="I10" s="34"/>
      <c r="J10" s="18"/>
      <c r="K10" s="70">
        <f>99+10</f>
        <v>109</v>
      </c>
      <c r="L10" s="20"/>
      <c r="M10" s="8" t="s">
        <v>29</v>
      </c>
      <c r="N10" s="75">
        <f>H3</f>
        <v>550.93</v>
      </c>
      <c r="Q10" s="18"/>
      <c r="R10" s="18"/>
      <c r="S10" s="18"/>
      <c r="T10" s="18"/>
      <c r="U10" s="18"/>
      <c r="V10" s="18"/>
      <c r="W10" s="18"/>
      <c r="X10" s="6"/>
      <c r="Y10" s="18"/>
    </row>
    <row r="11">
      <c r="A11" s="18"/>
      <c r="B11" s="6" t="s">
        <v>83</v>
      </c>
      <c r="D11" s="18"/>
      <c r="F11" s="18"/>
      <c r="G11" s="23" t="s">
        <v>72</v>
      </c>
      <c r="H11" s="34">
        <f t="shared" si="1"/>
        <v>948.52</v>
      </c>
      <c r="I11" s="27">
        <f>N3</f>
        <v>30.3</v>
      </c>
      <c r="J11" s="18">
        <f>N4+N5</f>
        <v>370.86</v>
      </c>
      <c r="K11" s="29">
        <f>SUM(N6:N8)</f>
        <v>547.36</v>
      </c>
      <c r="L11" s="25"/>
      <c r="M11" s="57" t="s">
        <v>66</v>
      </c>
      <c r="N11" s="61">
        <f>N9+N10</f>
        <v>1499.45</v>
      </c>
      <c r="Q11" s="18"/>
      <c r="R11" s="18"/>
      <c r="S11" s="18"/>
      <c r="T11" s="18"/>
      <c r="U11" s="18"/>
      <c r="V11" s="18"/>
      <c r="W11" s="18"/>
      <c r="X11" s="6"/>
      <c r="Y11" s="18"/>
    </row>
    <row r="12">
      <c r="A12" s="18"/>
      <c r="B12" s="6" t="s">
        <v>6</v>
      </c>
      <c r="C12" s="6" t="s">
        <v>8</v>
      </c>
      <c r="D12" s="6" t="s">
        <v>87</v>
      </c>
      <c r="F12" s="18"/>
      <c r="G12" s="68" t="s">
        <v>73</v>
      </c>
      <c r="H12" s="34">
        <f t="shared" si="1"/>
        <v>50</v>
      </c>
      <c r="I12" s="27"/>
      <c r="J12" s="18"/>
      <c r="K12" s="70">
        <f>IF(OR($A$1="Jan",$A$1="Mar",$A$1="May",$A$1="Jul",$A$1="Sep",$A$1="Nov",),50,0)</f>
        <v>50</v>
      </c>
      <c r="L12" s="20"/>
      <c r="M12" s="79"/>
      <c r="N12" s="80"/>
      <c r="Q12" s="18"/>
      <c r="R12" s="18"/>
      <c r="S12" s="18"/>
      <c r="T12" s="18"/>
      <c r="U12" s="18"/>
      <c r="V12" s="18"/>
      <c r="W12" s="18"/>
      <c r="X12" s="6"/>
      <c r="Y12" s="18"/>
    </row>
    <row r="13">
      <c r="A13" s="8" t="s">
        <v>88</v>
      </c>
      <c r="C13" s="75">
        <f>E3-J27</f>
        <v>2606.69</v>
      </c>
      <c r="F13" s="18"/>
      <c r="G13" s="68" t="s">
        <v>10</v>
      </c>
      <c r="H13" s="34">
        <f t="shared" si="1"/>
        <v>102.74</v>
      </c>
      <c r="I13" s="27"/>
      <c r="J13" s="6"/>
      <c r="K13" s="70">
        <f>P9</f>
        <v>102.74</v>
      </c>
      <c r="L13" s="25"/>
      <c r="Q13" s="18"/>
      <c r="R13" s="18"/>
      <c r="S13" s="18"/>
      <c r="T13" s="18"/>
      <c r="U13" s="18"/>
      <c r="V13" s="18"/>
      <c r="W13" s="18"/>
      <c r="X13" s="6"/>
      <c r="Y13" s="18"/>
    </row>
    <row r="14">
      <c r="A14" s="8" t="s">
        <v>90</v>
      </c>
      <c r="B14" s="75">
        <f>C13-D15-D16-I27</f>
        <v>980.78</v>
      </c>
      <c r="C14" s="76"/>
      <c r="D14" s="76"/>
      <c r="F14" s="18"/>
      <c r="G14" s="82" t="s">
        <v>78</v>
      </c>
      <c r="H14" s="34">
        <f t="shared" si="1"/>
        <v>80</v>
      </c>
      <c r="I14" s="18"/>
      <c r="J14" s="18"/>
      <c r="K14" s="83">
        <f>60+20</f>
        <v>80</v>
      </c>
      <c r="L14" s="25"/>
      <c r="M14" s="8" t="s">
        <v>79</v>
      </c>
      <c r="O14" s="8"/>
      <c r="P14" s="8"/>
      <c r="Q14" s="4"/>
      <c r="R14" s="4"/>
      <c r="S14" s="18"/>
      <c r="T14" s="18"/>
      <c r="U14" s="18"/>
      <c r="V14" s="18"/>
      <c r="W14" s="18"/>
      <c r="X14" s="6"/>
      <c r="Y14" s="18"/>
    </row>
    <row r="15">
      <c r="A15" s="6" t="s">
        <v>93</v>
      </c>
      <c r="B15" s="6">
        <f>B3</f>
        <v>172.91</v>
      </c>
      <c r="C15" s="6"/>
      <c r="D15" s="18">
        <f t="shared" ref="D15:D17" si="2">B15+C15</f>
        <v>172.91</v>
      </c>
      <c r="E15" s="50"/>
      <c r="F15" s="6"/>
      <c r="G15" s="23" t="s">
        <v>81</v>
      </c>
      <c r="H15" s="34">
        <f t="shared" si="1"/>
        <v>471.64</v>
      </c>
      <c r="I15" s="27"/>
      <c r="J15" s="6"/>
      <c r="K15" s="29">
        <f>N20+N19</f>
        <v>471.64</v>
      </c>
      <c r="L15" s="8"/>
      <c r="M15" s="8" t="s">
        <v>82</v>
      </c>
      <c r="N15" s="18">
        <f>IF(OR($A$1="Feb",$A$1="May",$A$1="Aug",$A$1="Nov"),98.12,0)</f>
        <v>0</v>
      </c>
      <c r="O15" s="8"/>
      <c r="P15" s="8"/>
      <c r="Q15" s="4"/>
      <c r="R15" s="4"/>
      <c r="S15" s="18"/>
      <c r="T15" s="18"/>
      <c r="U15" s="18"/>
      <c r="V15" s="18"/>
      <c r="W15" s="18"/>
      <c r="X15" s="18"/>
      <c r="Y15" s="18"/>
    </row>
    <row r="16">
      <c r="A16" s="6" t="s">
        <v>97</v>
      </c>
      <c r="B16" s="6">
        <f>700</f>
        <v>700</v>
      </c>
      <c r="C16" s="6">
        <v>700.0</v>
      </c>
      <c r="D16" s="18">
        <f t="shared" si="2"/>
        <v>1400</v>
      </c>
      <c r="E16" s="98"/>
      <c r="F16" s="7"/>
      <c r="G16" s="68" t="s">
        <v>84</v>
      </c>
      <c r="H16" s="34">
        <f t="shared" si="1"/>
        <v>59.9</v>
      </c>
      <c r="I16" s="27"/>
      <c r="J16" s="6"/>
      <c r="K16" s="70">
        <f>IF($A$1="Feb",60.97,59.9)</f>
        <v>59.9</v>
      </c>
      <c r="L16" s="8"/>
      <c r="M16" s="8" t="s">
        <v>67</v>
      </c>
      <c r="N16" s="18">
        <f>IF(OR($A$1="Feb",$A$1="May",$A$1="Aug",$A$1="Nov"),(39.35+82.56),0)</f>
        <v>0</v>
      </c>
      <c r="O16" s="8"/>
      <c r="P16" s="8"/>
      <c r="Q16" s="4"/>
      <c r="R16" s="4"/>
      <c r="S16" s="18"/>
      <c r="T16" s="18"/>
      <c r="U16" s="18"/>
      <c r="V16" s="18"/>
      <c r="W16" s="18"/>
      <c r="X16" s="18"/>
      <c r="Y16" s="18"/>
    </row>
    <row r="17">
      <c r="A17" s="8" t="s">
        <v>102</v>
      </c>
      <c r="B17" s="27">
        <v>20.0</v>
      </c>
      <c r="C17" s="27">
        <v>60.0</v>
      </c>
      <c r="D17" s="18">
        <f t="shared" si="2"/>
        <v>80</v>
      </c>
      <c r="E17" s="6"/>
      <c r="F17" s="6"/>
      <c r="G17" s="82" t="s">
        <v>82</v>
      </c>
      <c r="H17" s="34">
        <f t="shared" si="1"/>
        <v>0</v>
      </c>
      <c r="I17" s="75"/>
      <c r="J17" s="6"/>
      <c r="K17" s="29">
        <f t="shared" ref="K17:K20" si="3">N15</f>
        <v>0</v>
      </c>
      <c r="L17" s="25"/>
      <c r="M17" s="8" t="s">
        <v>89</v>
      </c>
      <c r="N17" s="6">
        <f>IF($A$1="May",155.05,0)</f>
        <v>0</v>
      </c>
      <c r="O17" s="8"/>
      <c r="P17" s="93"/>
      <c r="Q17" s="113"/>
      <c r="R17" s="113"/>
      <c r="S17" s="18"/>
      <c r="T17" s="18"/>
      <c r="U17" s="18"/>
      <c r="V17" s="18"/>
      <c r="W17" s="18"/>
      <c r="X17" s="18"/>
      <c r="Y17" s="18"/>
    </row>
    <row r="18">
      <c r="A18" s="6" t="s">
        <v>105</v>
      </c>
      <c r="B18" s="18">
        <f>B16-B17</f>
        <v>680</v>
      </c>
      <c r="C18" s="18">
        <f>C16-C15-C17</f>
        <v>640</v>
      </c>
      <c r="D18" s="18">
        <f>B18+C18+B14</f>
        <v>2300.78</v>
      </c>
      <c r="E18" s="6"/>
      <c r="F18" s="6"/>
      <c r="G18" s="82" t="s">
        <v>67</v>
      </c>
      <c r="H18" s="34">
        <f t="shared" si="1"/>
        <v>0</v>
      </c>
      <c r="I18" s="6"/>
      <c r="J18" s="27"/>
      <c r="K18" s="29">
        <f t="shared" si="3"/>
        <v>0</v>
      </c>
      <c r="L18" s="8"/>
      <c r="M18" s="8" t="s">
        <v>91</v>
      </c>
      <c r="N18" s="6">
        <f>IF($A$1="Jul",80,0)</f>
        <v>0</v>
      </c>
      <c r="O18" s="8"/>
      <c r="P18" s="93"/>
      <c r="Q18" s="113"/>
      <c r="R18" s="113"/>
      <c r="S18" s="18"/>
      <c r="T18" s="18"/>
      <c r="U18" s="18"/>
      <c r="V18" s="18"/>
      <c r="W18" s="18"/>
      <c r="X18" s="18"/>
      <c r="Y18" s="18"/>
    </row>
    <row r="19">
      <c r="A19" s="18"/>
      <c r="B19" s="18"/>
      <c r="C19" s="18"/>
      <c r="D19" s="6">
        <f>D18+D3</f>
        <v>4254.57</v>
      </c>
      <c r="E19" s="18"/>
      <c r="F19" s="6"/>
      <c r="G19" s="82" t="s">
        <v>89</v>
      </c>
      <c r="H19" s="34">
        <f t="shared" si="1"/>
        <v>0</v>
      </c>
      <c r="I19" s="6"/>
      <c r="J19" s="18"/>
      <c r="K19" s="94">
        <f t="shared" si="3"/>
        <v>0</v>
      </c>
      <c r="L19" s="25"/>
      <c r="M19" s="8" t="s">
        <v>92</v>
      </c>
      <c r="N19" s="6">
        <f>IF($A$1="Sep",471.64,0)</f>
        <v>471.64</v>
      </c>
      <c r="O19" s="8"/>
      <c r="P19" s="8"/>
      <c r="Q19" s="8"/>
      <c r="R19" s="128"/>
      <c r="S19" s="18"/>
      <c r="T19" s="18"/>
      <c r="U19" s="18"/>
      <c r="V19" s="18"/>
      <c r="W19" s="18"/>
      <c r="X19" s="18"/>
      <c r="Y19" s="18"/>
    </row>
    <row r="20">
      <c r="A20" s="18"/>
      <c r="B20" s="18"/>
      <c r="C20" s="18"/>
      <c r="D20" s="6"/>
      <c r="E20" s="18"/>
      <c r="F20" s="18"/>
      <c r="G20" s="82" t="s">
        <v>94</v>
      </c>
      <c r="H20" s="34">
        <f t="shared" si="1"/>
        <v>0</v>
      </c>
      <c r="I20" s="75"/>
      <c r="J20" s="75"/>
      <c r="K20" s="29">
        <f t="shared" si="3"/>
        <v>0</v>
      </c>
      <c r="L20" s="8"/>
      <c r="M20" s="8" t="s">
        <v>95</v>
      </c>
      <c r="N20" s="6">
        <f>IF($A$1="Jan",126.66,IF(OR($A$1="Feb",$A$1="Apr"),121.82,0))</f>
        <v>0</v>
      </c>
      <c r="S20" s="18"/>
      <c r="T20" s="18"/>
      <c r="U20" s="18"/>
      <c r="V20" s="18"/>
      <c r="W20" s="18"/>
      <c r="X20" s="18"/>
      <c r="Y20" s="18"/>
    </row>
    <row r="21">
      <c r="D21" s="18"/>
      <c r="E21" s="18"/>
      <c r="F21" s="18"/>
      <c r="G21" s="82" t="s">
        <v>96</v>
      </c>
      <c r="H21" s="34">
        <f t="shared" si="1"/>
        <v>358.71</v>
      </c>
      <c r="I21" s="27"/>
      <c r="J21" s="27"/>
      <c r="K21" s="83">
        <f>IF($A$1="Aug",413.47+43.07,358.71)</f>
        <v>358.71</v>
      </c>
      <c r="S21" s="18"/>
      <c r="T21" s="18"/>
      <c r="U21" s="18"/>
      <c r="V21" s="18"/>
      <c r="W21" s="18"/>
      <c r="X21" s="18"/>
      <c r="Y21" s="18"/>
    </row>
    <row r="22">
      <c r="E22" s="18"/>
      <c r="F22" s="18"/>
      <c r="G22" s="82" t="s">
        <v>99</v>
      </c>
      <c r="H22" s="34">
        <f t="shared" si="1"/>
        <v>21.73</v>
      </c>
      <c r="I22" s="6">
        <v>21.73</v>
      </c>
      <c r="J22" s="6"/>
      <c r="K22" s="83">
        <f>IF($A$1="Jun",330,0)</f>
        <v>0</v>
      </c>
      <c r="L22" s="76"/>
      <c r="S22" s="18"/>
      <c r="T22" s="18"/>
      <c r="U22" s="18"/>
      <c r="V22" s="18"/>
      <c r="W22" s="18"/>
      <c r="X22" s="18"/>
      <c r="Y22" s="18"/>
    </row>
    <row r="23">
      <c r="E23" s="18"/>
      <c r="F23" s="18"/>
      <c r="G23" s="82" t="s">
        <v>100</v>
      </c>
      <c r="H23" s="34">
        <f t="shared" si="1"/>
        <v>0</v>
      </c>
      <c r="I23" s="6"/>
      <c r="J23" s="6"/>
      <c r="K23" s="83">
        <v>0.0</v>
      </c>
      <c r="L23" s="76"/>
      <c r="S23" s="18"/>
      <c r="T23" s="18"/>
      <c r="U23" s="18"/>
      <c r="V23" s="18"/>
      <c r="W23" s="18"/>
      <c r="X23" s="18"/>
      <c r="Y23" s="18"/>
    </row>
    <row r="24">
      <c r="E24" s="18"/>
      <c r="F24" s="18"/>
      <c r="G24" s="102" t="s">
        <v>101</v>
      </c>
      <c r="H24" s="103">
        <f t="shared" si="1"/>
        <v>100</v>
      </c>
      <c r="I24" s="104"/>
      <c r="J24" s="104"/>
      <c r="K24" s="106">
        <f>IF(OR($A$1="Jan",$A$1="Mar",$A$1="May",$A$1="Jul",$A$1="Sep",$A$1="Nov"),100,IF(OR($A$1="Apr",$A$1="Jun",$A$1="Aug",$A$1="Oct",$A$1="Dec"),200,IF(OR($A$1="Feb"),300,0)))</f>
        <v>100</v>
      </c>
      <c r="L24" s="8"/>
      <c r="M24" s="8" t="s">
        <v>103</v>
      </c>
      <c r="S24" s="18"/>
      <c r="T24" s="18"/>
      <c r="U24" s="18"/>
      <c r="V24" s="18"/>
      <c r="W24" s="18"/>
      <c r="X24" s="18"/>
      <c r="Y24" s="18"/>
    </row>
    <row r="25">
      <c r="E25" s="18"/>
      <c r="F25" s="18"/>
      <c r="G25" s="108" t="s">
        <v>104</v>
      </c>
      <c r="H25" s="111">
        <f t="shared" ref="H25:K25" si="4">SUM(H3:H24)</f>
        <v>3077.39</v>
      </c>
      <c r="I25" s="111">
        <f t="shared" si="4"/>
        <v>52.03</v>
      </c>
      <c r="J25" s="111">
        <f t="shared" si="4"/>
        <v>370.86</v>
      </c>
      <c r="K25" s="114">
        <f t="shared" si="4"/>
        <v>2654.5</v>
      </c>
      <c r="L25" s="8"/>
      <c r="T25" s="18"/>
      <c r="U25" s="18"/>
      <c r="V25" s="18"/>
      <c r="W25" s="18"/>
      <c r="X25" s="18"/>
      <c r="Y25" s="18"/>
    </row>
    <row r="26">
      <c r="E26" s="18"/>
      <c r="F26" s="18"/>
      <c r="G26" s="119" t="s">
        <v>11</v>
      </c>
      <c r="H26" s="120">
        <f>I26+K26+J26</f>
        <v>1601.04</v>
      </c>
      <c r="I26" s="121">
        <v>0.97</v>
      </c>
      <c r="J26" s="121">
        <v>0.0</v>
      </c>
      <c r="K26" s="122">
        <v>1600.07</v>
      </c>
      <c r="L26" s="8"/>
      <c r="T26" s="18"/>
      <c r="U26" s="18"/>
      <c r="V26" s="18"/>
      <c r="W26" s="18"/>
      <c r="X26" s="18"/>
      <c r="Y26" s="18"/>
    </row>
    <row r="27">
      <c r="E27" s="18"/>
      <c r="F27" s="18"/>
      <c r="G27" s="123" t="s">
        <v>66</v>
      </c>
      <c r="H27" s="124">
        <f t="shared" ref="H27:K27" si="5">SUM(H25:H26)</f>
        <v>4678.43</v>
      </c>
      <c r="I27" s="124">
        <f t="shared" si="5"/>
        <v>53</v>
      </c>
      <c r="J27" s="124">
        <f t="shared" si="5"/>
        <v>370.86</v>
      </c>
      <c r="K27" s="125">
        <f t="shared" si="5"/>
        <v>4254.57</v>
      </c>
      <c r="L27" s="18"/>
      <c r="T27" s="18"/>
      <c r="U27" s="18"/>
      <c r="V27" s="18"/>
      <c r="W27" s="18"/>
      <c r="X27" s="18"/>
      <c r="Y27" s="18"/>
    </row>
    <row r="28">
      <c r="E28" s="18"/>
      <c r="F28" s="18"/>
      <c r="M28" s="8" t="s">
        <v>114</v>
      </c>
      <c r="O28" s="6" t="s">
        <v>115</v>
      </c>
      <c r="U28" s="18"/>
      <c r="V28" s="18"/>
      <c r="W28" s="18"/>
      <c r="X28" s="18"/>
      <c r="Y28" s="18"/>
    </row>
    <row r="29">
      <c r="E29" s="18"/>
      <c r="F29" s="18"/>
      <c r="J29" s="6"/>
      <c r="M29" s="8" t="s">
        <v>8</v>
      </c>
      <c r="N29" s="75">
        <f>0.35*E3-SUM(N4,N5,N6,N8)-N10/2</f>
        <v>157.4175</v>
      </c>
      <c r="O29" s="8" t="s">
        <v>82</v>
      </c>
      <c r="P29" s="27">
        <v>0.0</v>
      </c>
      <c r="U29" s="18"/>
      <c r="V29" s="18"/>
      <c r="W29" s="18"/>
      <c r="X29" s="18"/>
      <c r="Y29" s="18"/>
    </row>
    <row r="30">
      <c r="E30" s="18"/>
      <c r="F30" s="18"/>
      <c r="J30" s="6"/>
      <c r="M30" s="8" t="s">
        <v>6</v>
      </c>
      <c r="N30" s="137">
        <f>0.35*D3-SUM(N3,N7)-N10/2</f>
        <v>69.1015</v>
      </c>
      <c r="O30" s="8" t="s">
        <v>67</v>
      </c>
      <c r="P30" s="27">
        <f>121.46*4/12</f>
        <v>40.48666667</v>
      </c>
      <c r="U30" s="18"/>
      <c r="V30" s="18"/>
      <c r="W30" s="18"/>
      <c r="X30" s="18"/>
      <c r="Y30" s="18"/>
    </row>
    <row r="31">
      <c r="E31" s="18"/>
      <c r="F31" s="18"/>
      <c r="J31" s="6"/>
      <c r="M31" s="63" t="s">
        <v>66</v>
      </c>
      <c r="N31" s="61">
        <f>SUM(N29:N30)</f>
        <v>226.519</v>
      </c>
      <c r="O31" s="8" t="s">
        <v>94</v>
      </c>
      <c r="P31" s="27">
        <f>80/12</f>
        <v>6.666666667</v>
      </c>
      <c r="U31" s="18"/>
      <c r="V31" s="18"/>
      <c r="W31" s="18"/>
      <c r="X31" s="18"/>
      <c r="Y31" s="18"/>
    </row>
    <row r="32">
      <c r="E32" s="18"/>
      <c r="F32" s="6"/>
      <c r="J32" s="6"/>
      <c r="M32" s="18"/>
      <c r="N32" s="18"/>
      <c r="O32" s="138" t="s">
        <v>116</v>
      </c>
      <c r="P32" s="61">
        <f>SUM(P29:P31)</f>
        <v>47.15333333</v>
      </c>
      <c r="U32" s="18"/>
      <c r="V32" s="18"/>
      <c r="W32" s="18"/>
      <c r="X32" s="18"/>
      <c r="Y32" s="18"/>
    </row>
    <row r="33">
      <c r="A33" s="18"/>
      <c r="B33" s="135"/>
      <c r="C33" s="135"/>
      <c r="J33" s="6"/>
      <c r="M33" s="18"/>
      <c r="N33" s="18"/>
      <c r="O33" s="138" t="s">
        <v>117</v>
      </c>
      <c r="P33" s="61">
        <f>P32*12</f>
        <v>565.84</v>
      </c>
      <c r="U33" s="18"/>
      <c r="V33" s="18"/>
      <c r="W33" s="18"/>
      <c r="X33" s="18"/>
      <c r="Y33" s="18"/>
    </row>
    <row r="34">
      <c r="A34" s="18"/>
      <c r="B34" s="18"/>
      <c r="C34" s="18"/>
      <c r="J34" s="6"/>
      <c r="S34" s="18"/>
      <c r="T34" s="18"/>
      <c r="U34" s="18"/>
      <c r="V34" s="18"/>
      <c r="W34" s="18"/>
      <c r="X34" s="18"/>
      <c r="Y34" s="18"/>
    </row>
    <row r="35">
      <c r="A35" s="18"/>
      <c r="B35" s="18"/>
      <c r="C35" s="18"/>
      <c r="D35" s="18"/>
      <c r="E35" s="18"/>
      <c r="F35" s="18"/>
      <c r="J35" s="6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8"/>
      <c r="B36" s="18"/>
      <c r="C36" s="18"/>
      <c r="D36" s="18"/>
      <c r="E36" s="18"/>
      <c r="F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8"/>
      <c r="B37" s="18"/>
      <c r="C37" s="18"/>
      <c r="D37" s="18"/>
      <c r="E37" s="18"/>
      <c r="F37" s="18"/>
      <c r="U37" s="18"/>
      <c r="V37" s="18"/>
      <c r="W37" s="18"/>
      <c r="X37" s="18"/>
      <c r="Y37" s="18"/>
    </row>
    <row r="38">
      <c r="A38" s="18"/>
      <c r="B38" s="18"/>
      <c r="C38" s="18"/>
      <c r="D38" s="18"/>
      <c r="E38" s="18"/>
      <c r="F38" s="18"/>
      <c r="U38" s="18"/>
      <c r="V38" s="18"/>
      <c r="W38" s="18"/>
      <c r="X38" s="18"/>
      <c r="Y38" s="18"/>
    </row>
    <row r="39">
      <c r="A39" s="18"/>
      <c r="B39" s="18"/>
      <c r="C39" s="18"/>
      <c r="D39" s="18"/>
      <c r="E39" s="18"/>
      <c r="F39" s="18"/>
      <c r="L39" s="18"/>
      <c r="U39" s="18"/>
      <c r="V39" s="18"/>
      <c r="W39" s="18"/>
      <c r="X39" s="18"/>
      <c r="Y39" s="18"/>
    </row>
    <row r="40">
      <c r="A40" s="18"/>
      <c r="B40" s="18"/>
      <c r="C40" s="18"/>
      <c r="D40" s="18"/>
      <c r="E40" s="18"/>
      <c r="F40" s="18"/>
      <c r="L40" s="18"/>
      <c r="U40" s="18"/>
      <c r="V40" s="18"/>
      <c r="W40" s="18"/>
      <c r="X40" s="18"/>
      <c r="Y40" s="18"/>
    </row>
    <row r="41">
      <c r="A41" s="18"/>
      <c r="B41" s="18"/>
      <c r="C41" s="18"/>
      <c r="D41" s="18"/>
      <c r="E41" s="18"/>
      <c r="F41" s="18"/>
      <c r="L41" s="18"/>
      <c r="U41" s="18"/>
      <c r="V41" s="18"/>
      <c r="W41" s="18"/>
      <c r="X41" s="18"/>
      <c r="Y41" s="18"/>
    </row>
    <row r="42">
      <c r="A42" s="18"/>
      <c r="B42" s="18"/>
      <c r="C42" s="18"/>
      <c r="D42" s="18"/>
      <c r="E42" s="18"/>
      <c r="F42" s="18"/>
      <c r="L42" s="18"/>
      <c r="U42" s="18"/>
      <c r="V42" s="18"/>
      <c r="W42" s="18"/>
      <c r="X42" s="18"/>
      <c r="Y42" s="18"/>
    </row>
    <row r="43">
      <c r="A43" s="18"/>
      <c r="B43" s="18"/>
      <c r="C43" s="18"/>
      <c r="D43" s="18"/>
      <c r="E43" s="18"/>
      <c r="F43" s="18"/>
      <c r="L43" s="18"/>
      <c r="M43" s="18"/>
      <c r="N43" s="18"/>
      <c r="O43" s="18"/>
      <c r="P43" s="18"/>
      <c r="Q43" s="18"/>
      <c r="R43" s="18"/>
      <c r="U43" s="18"/>
      <c r="V43" s="18"/>
      <c r="W43" s="18"/>
      <c r="X43" s="18"/>
      <c r="Y43" s="18"/>
    </row>
    <row r="44">
      <c r="A44" s="18"/>
      <c r="B44" s="18"/>
      <c r="C44" s="18"/>
      <c r="D44" s="18"/>
      <c r="E44" s="18"/>
      <c r="F44" s="18"/>
      <c r="G44" s="137"/>
      <c r="H44" s="137"/>
      <c r="I44" s="18"/>
      <c r="J44" s="18"/>
      <c r="K44" s="18"/>
      <c r="L44" s="18"/>
      <c r="M44" s="18"/>
      <c r="N44" s="18"/>
      <c r="O44" s="18"/>
      <c r="P44" s="18"/>
      <c r="Q44" s="18"/>
      <c r="R44" s="18"/>
      <c r="U44" s="18"/>
      <c r="V44" s="18"/>
      <c r="W44" s="18"/>
      <c r="X44" s="18"/>
      <c r="Y44" s="18"/>
    </row>
    <row r="45">
      <c r="A45" s="18"/>
      <c r="B45" s="18"/>
      <c r="C45" s="18"/>
      <c r="D45" s="18"/>
      <c r="E45" s="18"/>
      <c r="F45" s="18"/>
      <c r="G45" s="137"/>
      <c r="H45" s="137"/>
      <c r="I45" s="18"/>
      <c r="J45" s="18"/>
      <c r="K45" s="18"/>
      <c r="L45" s="18"/>
      <c r="M45" s="18"/>
      <c r="N45" s="18"/>
      <c r="O45" s="18"/>
      <c r="P45" s="18"/>
      <c r="Q45" s="18"/>
      <c r="R45" s="18"/>
      <c r="U45" s="18"/>
      <c r="V45" s="18"/>
      <c r="W45" s="18"/>
      <c r="X45" s="18"/>
      <c r="Y45" s="18"/>
    </row>
    <row r="46">
      <c r="A46" s="18"/>
      <c r="B46" s="18"/>
      <c r="C46" s="18"/>
      <c r="D46" s="18"/>
      <c r="E46" s="18"/>
      <c r="F46" s="18"/>
      <c r="G46" s="137"/>
      <c r="H46" s="137"/>
      <c r="I46" s="18"/>
      <c r="J46" s="18"/>
      <c r="K46" s="18"/>
      <c r="L46" s="18"/>
      <c r="M46" s="18"/>
      <c r="N46" s="18"/>
      <c r="O46" s="18"/>
      <c r="P46" s="18"/>
      <c r="Q46" s="18"/>
      <c r="R46" s="18"/>
      <c r="U46" s="18"/>
      <c r="V46" s="18"/>
      <c r="W46" s="18"/>
      <c r="X46" s="18"/>
      <c r="Y46" s="18"/>
    </row>
    <row r="47">
      <c r="A47" s="18"/>
      <c r="B47" s="18"/>
      <c r="C47" s="18"/>
      <c r="D47" s="18"/>
      <c r="E47" s="18"/>
      <c r="F47" s="18"/>
      <c r="G47" s="137"/>
      <c r="H47" s="137"/>
      <c r="I47" s="18"/>
      <c r="J47" s="18"/>
      <c r="K47" s="18"/>
      <c r="L47" s="18"/>
      <c r="M47" s="18"/>
      <c r="N47" s="18"/>
      <c r="O47" s="18"/>
      <c r="P47" s="18"/>
      <c r="Q47" s="18"/>
      <c r="R47" s="18"/>
      <c r="U47" s="18"/>
      <c r="V47" s="18"/>
      <c r="W47" s="18"/>
      <c r="X47" s="18"/>
      <c r="Y47" s="18"/>
    </row>
    <row r="48">
      <c r="A48" s="18"/>
      <c r="B48" s="18"/>
      <c r="C48" s="18"/>
      <c r="D48" s="18"/>
      <c r="E48" s="18"/>
      <c r="F48" s="18"/>
      <c r="G48" s="137"/>
      <c r="H48" s="137"/>
      <c r="I48" s="18"/>
      <c r="J48" s="18"/>
      <c r="K48" s="18"/>
      <c r="L48" s="18"/>
      <c r="M48" s="18"/>
      <c r="N48" s="18"/>
      <c r="O48" s="18"/>
      <c r="P48" s="18"/>
      <c r="Q48" s="18"/>
      <c r="R48" s="18"/>
      <c r="U48" s="18"/>
      <c r="V48" s="18"/>
      <c r="W48" s="18"/>
      <c r="X48" s="18"/>
      <c r="Y48" s="18"/>
    </row>
    <row r="49">
      <c r="A49" s="18"/>
      <c r="B49" s="18"/>
      <c r="C49" s="18"/>
      <c r="D49" s="18"/>
      <c r="E49" s="18"/>
      <c r="F49" s="18"/>
      <c r="G49" s="137"/>
      <c r="H49" s="137"/>
      <c r="I49" s="18"/>
      <c r="J49" s="18"/>
      <c r="K49" s="18"/>
      <c r="L49" s="18"/>
      <c r="M49" s="18"/>
      <c r="N49" s="18"/>
      <c r="O49" s="18"/>
      <c r="P49" s="18"/>
      <c r="Q49" s="18"/>
      <c r="R49" s="18"/>
      <c r="U49" s="18"/>
      <c r="V49" s="18"/>
      <c r="W49" s="18"/>
      <c r="X49" s="18"/>
      <c r="Y49" s="18"/>
    </row>
    <row r="50">
      <c r="A50" s="18"/>
      <c r="B50" s="18"/>
      <c r="C50" s="18"/>
      <c r="D50" s="18"/>
      <c r="E50" s="18"/>
      <c r="F50" s="18"/>
      <c r="G50" s="137"/>
      <c r="H50" s="137"/>
      <c r="I50" s="18"/>
      <c r="J50" s="18"/>
      <c r="K50" s="18"/>
      <c r="L50" s="18"/>
      <c r="M50" s="18"/>
      <c r="N50" s="18"/>
      <c r="O50" s="18"/>
      <c r="P50" s="18"/>
      <c r="Q50" s="18"/>
      <c r="R50" s="18"/>
      <c r="U50" s="18"/>
      <c r="V50" s="18"/>
      <c r="W50" s="18"/>
      <c r="X50" s="18"/>
      <c r="Y50" s="18"/>
    </row>
    <row r="51">
      <c r="A51" s="18"/>
      <c r="B51" s="18"/>
      <c r="C51" s="18"/>
      <c r="D51" s="18"/>
      <c r="E51" s="18"/>
      <c r="F51" s="18"/>
      <c r="G51" s="137"/>
      <c r="H51" s="137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18"/>
      <c r="C52" s="18"/>
      <c r="D52" s="18"/>
      <c r="E52" s="18"/>
      <c r="F52" s="18"/>
      <c r="G52" s="137"/>
      <c r="H52" s="137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18"/>
      <c r="C53" s="18"/>
      <c r="D53" s="18"/>
      <c r="E53" s="18"/>
      <c r="F53" s="18"/>
      <c r="G53" s="137"/>
      <c r="H53" s="137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18"/>
      <c r="C54" s="18"/>
      <c r="D54" s="18"/>
      <c r="E54" s="18"/>
      <c r="F54" s="18"/>
      <c r="G54" s="137"/>
      <c r="H54" s="137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18"/>
      <c r="C55" s="18"/>
      <c r="D55" s="18"/>
      <c r="E55" s="18"/>
      <c r="F55" s="18"/>
      <c r="G55" s="137"/>
      <c r="H55" s="137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18"/>
      <c r="C56" s="18"/>
      <c r="D56" s="18"/>
      <c r="E56" s="18"/>
      <c r="F56" s="18"/>
      <c r="G56" s="137"/>
      <c r="H56" s="137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18"/>
      <c r="C57" s="18"/>
      <c r="D57" s="18"/>
      <c r="E57" s="18"/>
      <c r="F57" s="18"/>
      <c r="G57" s="137"/>
      <c r="H57" s="137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18"/>
      <c r="C58" s="18"/>
      <c r="D58" s="18"/>
      <c r="E58" s="18"/>
      <c r="F58" s="18"/>
      <c r="G58" s="137"/>
      <c r="H58" s="13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18"/>
      <c r="C59" s="18"/>
      <c r="D59" s="18"/>
      <c r="E59" s="18"/>
      <c r="F59" s="18"/>
      <c r="G59" s="137"/>
      <c r="H59" s="13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18"/>
      <c r="C60" s="18"/>
      <c r="D60" s="18"/>
      <c r="E60" s="18"/>
      <c r="F60" s="18"/>
      <c r="G60" s="137"/>
      <c r="H60" s="13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18"/>
      <c r="C61" s="18"/>
      <c r="D61" s="18"/>
      <c r="E61" s="18"/>
      <c r="F61" s="18"/>
      <c r="G61" s="137"/>
      <c r="H61" s="137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18"/>
      <c r="C62" s="18"/>
      <c r="D62" s="18"/>
      <c r="E62" s="18"/>
      <c r="F62" s="18"/>
      <c r="G62" s="137"/>
      <c r="H62" s="137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18"/>
      <c r="C63" s="18"/>
      <c r="D63" s="18"/>
      <c r="E63" s="18"/>
      <c r="F63" s="18"/>
      <c r="G63" s="137"/>
      <c r="H63" s="137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18"/>
      <c r="C64" s="18"/>
      <c r="D64" s="18"/>
      <c r="E64" s="18"/>
      <c r="F64" s="18"/>
      <c r="G64" s="137"/>
      <c r="H64" s="137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18"/>
      <c r="C65" s="18"/>
      <c r="D65" s="18"/>
      <c r="E65" s="18"/>
      <c r="F65" s="18"/>
      <c r="G65" s="137"/>
      <c r="H65" s="137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18"/>
      <c r="C66" s="18"/>
      <c r="D66" s="18"/>
      <c r="E66" s="18"/>
      <c r="F66" s="18"/>
      <c r="G66" s="137"/>
      <c r="H66" s="137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18"/>
      <c r="C67" s="18"/>
      <c r="D67" s="18"/>
      <c r="E67" s="18"/>
      <c r="F67" s="18"/>
      <c r="G67" s="137"/>
      <c r="H67" s="13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18"/>
      <c r="C68" s="18"/>
      <c r="D68" s="18"/>
      <c r="E68" s="18"/>
      <c r="F68" s="18"/>
      <c r="G68" s="137"/>
      <c r="H68" s="13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18"/>
      <c r="C69" s="18"/>
      <c r="D69" s="18"/>
      <c r="E69" s="18"/>
      <c r="F69" s="18"/>
      <c r="G69" s="137"/>
      <c r="H69" s="13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18"/>
      <c r="C70" s="18"/>
      <c r="D70" s="18"/>
      <c r="E70" s="18"/>
      <c r="F70" s="18"/>
      <c r="G70" s="137"/>
      <c r="H70" s="13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18"/>
      <c r="C71" s="18"/>
      <c r="D71" s="18"/>
      <c r="E71" s="18"/>
      <c r="F71" s="18"/>
      <c r="G71" s="137"/>
      <c r="H71" s="13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18"/>
      <c r="C72" s="18"/>
      <c r="D72" s="18"/>
      <c r="E72" s="18"/>
      <c r="F72" s="18"/>
      <c r="G72" s="137"/>
      <c r="H72" s="13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18"/>
      <c r="C73" s="18"/>
      <c r="D73" s="18"/>
      <c r="E73" s="18"/>
      <c r="F73" s="18"/>
      <c r="G73" s="137"/>
      <c r="H73" s="13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18"/>
      <c r="E74" s="18"/>
      <c r="F74" s="18"/>
      <c r="G74" s="137"/>
      <c r="H74" s="13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18"/>
      <c r="C75" s="18"/>
      <c r="D75" s="18"/>
      <c r="E75" s="18"/>
      <c r="F75" s="18"/>
      <c r="G75" s="137"/>
      <c r="H75" s="13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8"/>
      <c r="C76" s="18"/>
      <c r="D76" s="18"/>
      <c r="E76" s="18"/>
      <c r="F76" s="18"/>
      <c r="G76" s="137"/>
      <c r="H76" s="13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18"/>
      <c r="C77" s="18"/>
      <c r="D77" s="18"/>
      <c r="E77" s="18"/>
      <c r="F77" s="18"/>
      <c r="G77" s="137"/>
      <c r="H77" s="13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18"/>
      <c r="C78" s="18"/>
      <c r="D78" s="18"/>
      <c r="E78" s="18"/>
      <c r="F78" s="18"/>
      <c r="G78" s="137"/>
      <c r="H78" s="13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18"/>
      <c r="C79" s="18"/>
      <c r="D79" s="18"/>
      <c r="E79" s="18"/>
      <c r="F79" s="18"/>
      <c r="G79" s="137"/>
      <c r="H79" s="13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18"/>
      <c r="C80" s="18"/>
      <c r="D80" s="18"/>
      <c r="E80" s="18"/>
      <c r="F80" s="18"/>
      <c r="G80" s="137"/>
      <c r="H80" s="13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18"/>
      <c r="C81" s="18"/>
      <c r="D81" s="18"/>
      <c r="E81" s="18"/>
      <c r="F81" s="18"/>
      <c r="G81" s="137"/>
      <c r="H81" s="13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18"/>
      <c r="C82" s="18"/>
      <c r="D82" s="18"/>
      <c r="E82" s="18"/>
      <c r="F82" s="18"/>
      <c r="G82" s="137"/>
      <c r="H82" s="13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18"/>
      <c r="C83" s="18"/>
      <c r="D83" s="18"/>
      <c r="E83" s="18"/>
      <c r="F83" s="18"/>
      <c r="G83" s="137"/>
      <c r="H83" s="13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18"/>
      <c r="C84" s="18"/>
      <c r="D84" s="18"/>
      <c r="E84" s="18"/>
      <c r="F84" s="18"/>
      <c r="G84" s="137"/>
      <c r="H84" s="13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18"/>
      <c r="C85" s="18"/>
      <c r="D85" s="18"/>
      <c r="E85" s="18"/>
      <c r="F85" s="18"/>
      <c r="G85" s="137"/>
      <c r="H85" s="13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18"/>
      <c r="C86" s="18"/>
      <c r="D86" s="18"/>
      <c r="E86" s="18"/>
      <c r="F86" s="18"/>
      <c r="G86" s="137"/>
      <c r="H86" s="13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18"/>
      <c r="C87" s="18"/>
      <c r="D87" s="18"/>
      <c r="E87" s="18"/>
      <c r="F87" s="18"/>
      <c r="G87" s="137"/>
      <c r="H87" s="13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18"/>
      <c r="E88" s="18"/>
      <c r="F88" s="18"/>
      <c r="G88" s="137"/>
      <c r="H88" s="13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18"/>
      <c r="C89" s="18"/>
      <c r="D89" s="18"/>
      <c r="E89" s="18"/>
      <c r="F89" s="18"/>
      <c r="G89" s="137"/>
      <c r="H89" s="13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18"/>
      <c r="E90" s="18"/>
      <c r="F90" s="18"/>
      <c r="G90" s="137"/>
      <c r="H90" s="13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18"/>
      <c r="C91" s="18"/>
      <c r="D91" s="18"/>
      <c r="E91" s="18"/>
      <c r="F91" s="18"/>
      <c r="G91" s="137"/>
      <c r="H91" s="13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8"/>
      <c r="C92" s="18"/>
      <c r="D92" s="18"/>
      <c r="E92" s="18"/>
      <c r="F92" s="18"/>
      <c r="G92" s="137"/>
      <c r="H92" s="13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18"/>
      <c r="C93" s="18"/>
      <c r="D93" s="18"/>
      <c r="E93" s="18"/>
      <c r="F93" s="18"/>
      <c r="G93" s="137"/>
      <c r="H93" s="13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18"/>
      <c r="C94" s="18"/>
      <c r="D94" s="18"/>
      <c r="E94" s="18"/>
      <c r="F94" s="18"/>
      <c r="G94" s="137"/>
      <c r="H94" s="13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18"/>
      <c r="C95" s="18"/>
      <c r="D95" s="18"/>
      <c r="E95" s="18"/>
      <c r="F95" s="18"/>
      <c r="G95" s="137"/>
      <c r="H95" s="13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18"/>
      <c r="C96" s="18"/>
      <c r="D96" s="18"/>
      <c r="E96" s="18"/>
      <c r="F96" s="18"/>
      <c r="G96" s="137"/>
      <c r="H96" s="13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18"/>
      <c r="C97" s="18"/>
      <c r="D97" s="18"/>
      <c r="E97" s="18"/>
      <c r="F97" s="18"/>
      <c r="G97" s="137"/>
      <c r="H97" s="13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18"/>
      <c r="C98" s="18"/>
      <c r="D98" s="18"/>
      <c r="E98" s="18"/>
      <c r="F98" s="18"/>
      <c r="G98" s="137"/>
      <c r="H98" s="13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18"/>
      <c r="C99" s="18"/>
      <c r="D99" s="18"/>
      <c r="E99" s="18"/>
      <c r="F99" s="18"/>
      <c r="G99" s="137"/>
      <c r="H99" s="13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18"/>
      <c r="C100" s="18"/>
      <c r="D100" s="18"/>
      <c r="E100" s="18"/>
      <c r="F100" s="18"/>
      <c r="G100" s="137"/>
      <c r="H100" s="13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18"/>
      <c r="C101" s="18"/>
      <c r="D101" s="18"/>
      <c r="E101" s="18"/>
      <c r="F101" s="18"/>
      <c r="G101" s="137"/>
      <c r="H101" s="13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18"/>
      <c r="C102" s="18"/>
      <c r="D102" s="18"/>
      <c r="E102" s="18"/>
      <c r="F102" s="18"/>
      <c r="G102" s="137"/>
      <c r="H102" s="13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18"/>
      <c r="C103" s="18"/>
      <c r="D103" s="18"/>
      <c r="E103" s="18"/>
      <c r="F103" s="18"/>
      <c r="G103" s="137"/>
      <c r="H103" s="137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18"/>
      <c r="E104" s="18"/>
      <c r="F104" s="18"/>
      <c r="G104" s="137"/>
      <c r="H104" s="137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18"/>
      <c r="C105" s="18"/>
      <c r="D105" s="18"/>
      <c r="E105" s="18"/>
      <c r="F105" s="18"/>
      <c r="G105" s="137"/>
      <c r="H105" s="137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18"/>
      <c r="E106" s="18"/>
      <c r="F106" s="18"/>
      <c r="G106" s="137"/>
      <c r="H106" s="137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18"/>
      <c r="E107" s="18"/>
      <c r="F107" s="18"/>
      <c r="G107" s="137"/>
      <c r="H107" s="137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18"/>
      <c r="C108" s="18"/>
      <c r="D108" s="18"/>
      <c r="E108" s="18"/>
      <c r="F108" s="18"/>
      <c r="G108" s="137"/>
      <c r="H108" s="137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18"/>
      <c r="C109" s="18"/>
      <c r="D109" s="18"/>
      <c r="E109" s="18"/>
      <c r="F109" s="18"/>
      <c r="G109" s="137"/>
      <c r="H109" s="137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18"/>
      <c r="C110" s="18"/>
      <c r="D110" s="18"/>
      <c r="E110" s="18"/>
      <c r="F110" s="18"/>
      <c r="G110" s="137"/>
      <c r="H110" s="137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18"/>
      <c r="C111" s="18"/>
      <c r="D111" s="18"/>
      <c r="E111" s="18"/>
      <c r="F111" s="18"/>
      <c r="G111" s="137"/>
      <c r="H111" s="137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18"/>
      <c r="C112" s="18"/>
      <c r="D112" s="18"/>
      <c r="E112" s="18"/>
      <c r="F112" s="18"/>
      <c r="G112" s="137"/>
      <c r="H112" s="137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18"/>
      <c r="C113" s="18"/>
      <c r="D113" s="18"/>
      <c r="E113" s="18"/>
      <c r="F113" s="18"/>
      <c r="G113" s="137"/>
      <c r="H113" s="137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18"/>
      <c r="C114" s="18"/>
      <c r="D114" s="18"/>
      <c r="E114" s="18"/>
      <c r="F114" s="18"/>
      <c r="G114" s="137"/>
      <c r="H114" s="137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18"/>
      <c r="C115" s="18"/>
      <c r="D115" s="18"/>
      <c r="E115" s="18"/>
      <c r="F115" s="18"/>
      <c r="G115" s="137"/>
      <c r="H115" s="137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18"/>
      <c r="C116" s="18"/>
      <c r="D116" s="18"/>
      <c r="E116" s="18"/>
      <c r="F116" s="18"/>
      <c r="G116" s="137"/>
      <c r="H116" s="137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18"/>
      <c r="C117" s="18"/>
      <c r="D117" s="18"/>
      <c r="E117" s="18"/>
      <c r="F117" s="18"/>
      <c r="G117" s="137"/>
      <c r="H117" s="137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18"/>
      <c r="C118" s="18"/>
      <c r="D118" s="18"/>
      <c r="E118" s="18"/>
      <c r="F118" s="18"/>
      <c r="G118" s="137"/>
      <c r="H118" s="137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18"/>
      <c r="C119" s="18"/>
      <c r="D119" s="18"/>
      <c r="E119" s="18"/>
      <c r="F119" s="18"/>
      <c r="G119" s="137"/>
      <c r="H119" s="137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18"/>
      <c r="E120" s="18"/>
      <c r="F120" s="18"/>
      <c r="G120" s="137"/>
      <c r="H120" s="137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18"/>
      <c r="C121" s="18"/>
      <c r="D121" s="18"/>
      <c r="E121" s="18"/>
      <c r="F121" s="18"/>
      <c r="G121" s="137"/>
      <c r="H121" s="137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8"/>
      <c r="C122" s="18"/>
      <c r="D122" s="18"/>
      <c r="E122" s="18"/>
      <c r="F122" s="18"/>
      <c r="G122" s="137"/>
      <c r="H122" s="137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18"/>
      <c r="E123" s="18"/>
      <c r="F123" s="18"/>
      <c r="G123" s="137"/>
      <c r="H123" s="137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18"/>
      <c r="E124" s="18"/>
      <c r="F124" s="18"/>
      <c r="G124" s="137"/>
      <c r="H124" s="137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18"/>
      <c r="C125" s="18"/>
      <c r="D125" s="18"/>
      <c r="E125" s="18"/>
      <c r="F125" s="18"/>
      <c r="G125" s="137"/>
      <c r="H125" s="137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8"/>
      <c r="C126" s="18"/>
      <c r="D126" s="18"/>
      <c r="E126" s="18"/>
      <c r="F126" s="18"/>
      <c r="G126" s="137"/>
      <c r="H126" s="137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18"/>
      <c r="C127" s="18"/>
      <c r="D127" s="18"/>
      <c r="E127" s="18"/>
      <c r="F127" s="18"/>
      <c r="G127" s="137"/>
      <c r="H127" s="137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18"/>
      <c r="C128" s="18"/>
      <c r="D128" s="18"/>
      <c r="E128" s="18"/>
      <c r="F128" s="18"/>
      <c r="G128" s="137"/>
      <c r="H128" s="137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18"/>
      <c r="C129" s="18"/>
      <c r="D129" s="18"/>
      <c r="E129" s="18"/>
      <c r="F129" s="18"/>
      <c r="G129" s="137"/>
      <c r="H129" s="137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18"/>
      <c r="C130" s="18"/>
      <c r="D130" s="18"/>
      <c r="E130" s="18"/>
      <c r="F130" s="18"/>
      <c r="G130" s="137"/>
      <c r="H130" s="137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18"/>
      <c r="C131" s="18"/>
      <c r="D131" s="18"/>
      <c r="E131" s="18"/>
      <c r="F131" s="18"/>
      <c r="G131" s="137"/>
      <c r="H131" s="137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18"/>
      <c r="C132" s="18"/>
      <c r="D132" s="18"/>
      <c r="E132" s="18"/>
      <c r="F132" s="18"/>
      <c r="G132" s="137"/>
      <c r="H132" s="137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18"/>
      <c r="C133" s="18"/>
      <c r="D133" s="18"/>
      <c r="E133" s="18"/>
      <c r="F133" s="18"/>
      <c r="G133" s="137"/>
      <c r="H133" s="137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18"/>
      <c r="C134" s="18"/>
      <c r="D134" s="18"/>
      <c r="E134" s="18"/>
      <c r="F134" s="18"/>
      <c r="G134" s="137"/>
      <c r="H134" s="137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18"/>
      <c r="C135" s="18"/>
      <c r="D135" s="18"/>
      <c r="E135" s="18"/>
      <c r="F135" s="18"/>
      <c r="G135" s="137"/>
      <c r="H135" s="137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18"/>
      <c r="E136" s="18"/>
      <c r="F136" s="18"/>
      <c r="G136" s="137"/>
      <c r="H136" s="137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18"/>
      <c r="C137" s="18"/>
      <c r="D137" s="18"/>
      <c r="E137" s="18"/>
      <c r="F137" s="18"/>
      <c r="G137" s="137"/>
      <c r="H137" s="137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8"/>
      <c r="C138" s="18"/>
      <c r="D138" s="18"/>
      <c r="E138" s="18"/>
      <c r="F138" s="18"/>
      <c r="G138" s="137"/>
      <c r="H138" s="137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18"/>
      <c r="C139" s="18"/>
      <c r="D139" s="18"/>
      <c r="E139" s="18"/>
      <c r="F139" s="18"/>
      <c r="G139" s="137"/>
      <c r="H139" s="137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18"/>
      <c r="E140" s="18"/>
      <c r="F140" s="18"/>
      <c r="G140" s="137"/>
      <c r="H140" s="137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18"/>
      <c r="C141" s="18"/>
      <c r="D141" s="18"/>
      <c r="E141" s="18"/>
      <c r="F141" s="18"/>
      <c r="G141" s="137"/>
      <c r="H141" s="137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8"/>
      <c r="C142" s="18"/>
      <c r="D142" s="18"/>
      <c r="E142" s="18"/>
      <c r="F142" s="18"/>
      <c r="G142" s="137"/>
      <c r="H142" s="137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18"/>
      <c r="C143" s="18"/>
      <c r="D143" s="18"/>
      <c r="E143" s="18"/>
      <c r="F143" s="18"/>
      <c r="G143" s="137"/>
      <c r="H143" s="137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18"/>
      <c r="C144" s="18"/>
      <c r="D144" s="18"/>
      <c r="E144" s="18"/>
      <c r="F144" s="18"/>
      <c r="G144" s="137"/>
      <c r="H144" s="137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18"/>
      <c r="C145" s="18"/>
      <c r="D145" s="18"/>
      <c r="E145" s="18"/>
      <c r="F145" s="18"/>
      <c r="G145" s="137"/>
      <c r="H145" s="137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18"/>
      <c r="C146" s="18"/>
      <c r="D146" s="18"/>
      <c r="E146" s="18"/>
      <c r="F146" s="18"/>
      <c r="G146" s="137"/>
      <c r="H146" s="137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18"/>
      <c r="C147" s="18"/>
      <c r="D147" s="18"/>
      <c r="E147" s="18"/>
      <c r="F147" s="18"/>
      <c r="G147" s="137"/>
      <c r="H147" s="137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18"/>
      <c r="C148" s="18"/>
      <c r="D148" s="18"/>
      <c r="E148" s="18"/>
      <c r="F148" s="18"/>
      <c r="G148" s="137"/>
      <c r="H148" s="137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18"/>
      <c r="C149" s="18"/>
      <c r="D149" s="18"/>
      <c r="E149" s="18"/>
      <c r="F149" s="18"/>
      <c r="G149" s="137"/>
      <c r="H149" s="137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18"/>
      <c r="C150" s="18"/>
      <c r="D150" s="18"/>
      <c r="E150" s="18"/>
      <c r="F150" s="18"/>
      <c r="G150" s="137"/>
      <c r="H150" s="137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18"/>
      <c r="C151" s="18"/>
      <c r="D151" s="18"/>
      <c r="E151" s="18"/>
      <c r="F151" s="18"/>
      <c r="G151" s="137"/>
      <c r="H151" s="137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18"/>
      <c r="E152" s="18"/>
      <c r="F152" s="18"/>
      <c r="G152" s="137"/>
      <c r="H152" s="137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18"/>
      <c r="C153" s="18"/>
      <c r="D153" s="18"/>
      <c r="E153" s="18"/>
      <c r="F153" s="18"/>
      <c r="G153" s="137"/>
      <c r="H153" s="137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8"/>
      <c r="C154" s="18"/>
      <c r="D154" s="18"/>
      <c r="E154" s="18"/>
      <c r="F154" s="18"/>
      <c r="G154" s="137"/>
      <c r="H154" s="137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18"/>
      <c r="C155" s="18"/>
      <c r="D155" s="18"/>
      <c r="E155" s="18"/>
      <c r="F155" s="18"/>
      <c r="G155" s="137"/>
      <c r="H155" s="137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18"/>
      <c r="E156" s="18"/>
      <c r="F156" s="18"/>
      <c r="G156" s="137"/>
      <c r="H156" s="137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18"/>
      <c r="E157" s="18"/>
      <c r="F157" s="18"/>
      <c r="G157" s="137"/>
      <c r="H157" s="137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8"/>
      <c r="C158" s="18"/>
      <c r="D158" s="18"/>
      <c r="E158" s="18"/>
      <c r="F158" s="18"/>
      <c r="G158" s="137"/>
      <c r="H158" s="137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18"/>
      <c r="C159" s="18"/>
      <c r="D159" s="18"/>
      <c r="E159" s="18"/>
      <c r="F159" s="18"/>
      <c r="G159" s="137"/>
      <c r="H159" s="137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18"/>
      <c r="C160" s="18"/>
      <c r="D160" s="18"/>
      <c r="E160" s="18"/>
      <c r="F160" s="18"/>
      <c r="G160" s="137"/>
      <c r="H160" s="137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18"/>
      <c r="C161" s="18"/>
      <c r="D161" s="18"/>
      <c r="E161" s="18"/>
      <c r="F161" s="18"/>
      <c r="G161" s="137"/>
      <c r="H161" s="137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18"/>
      <c r="C162" s="18"/>
      <c r="D162" s="18"/>
      <c r="E162" s="18"/>
      <c r="F162" s="18"/>
      <c r="G162" s="137"/>
      <c r="H162" s="137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18"/>
      <c r="C163" s="18"/>
      <c r="D163" s="18"/>
      <c r="E163" s="18"/>
      <c r="F163" s="18"/>
      <c r="G163" s="137"/>
      <c r="H163" s="137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18"/>
      <c r="C164" s="18"/>
      <c r="D164" s="18"/>
      <c r="E164" s="18"/>
      <c r="F164" s="18"/>
      <c r="G164" s="137"/>
      <c r="H164" s="137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18"/>
      <c r="C165" s="18"/>
      <c r="D165" s="18"/>
      <c r="E165" s="18"/>
      <c r="F165" s="18"/>
      <c r="G165" s="137"/>
      <c r="H165" s="137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18"/>
      <c r="C166" s="18"/>
      <c r="D166" s="18"/>
      <c r="E166" s="18"/>
      <c r="F166" s="18"/>
      <c r="G166" s="137"/>
      <c r="H166" s="137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18"/>
      <c r="C167" s="18"/>
      <c r="D167" s="18"/>
      <c r="E167" s="18"/>
      <c r="F167" s="18"/>
      <c r="G167" s="137"/>
      <c r="H167" s="137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18"/>
      <c r="E168" s="18"/>
      <c r="F168" s="18"/>
      <c r="G168" s="137"/>
      <c r="H168" s="137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18"/>
      <c r="C169" s="18"/>
      <c r="D169" s="18"/>
      <c r="E169" s="18"/>
      <c r="F169" s="18"/>
      <c r="G169" s="137"/>
      <c r="H169" s="137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8"/>
      <c r="C170" s="18"/>
      <c r="D170" s="18"/>
      <c r="E170" s="18"/>
      <c r="F170" s="18"/>
      <c r="G170" s="137"/>
      <c r="H170" s="137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18"/>
      <c r="C171" s="18"/>
      <c r="D171" s="18"/>
      <c r="E171" s="18"/>
      <c r="F171" s="18"/>
      <c r="G171" s="137"/>
      <c r="H171" s="137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18"/>
      <c r="E172" s="18"/>
      <c r="F172" s="18"/>
      <c r="G172" s="137"/>
      <c r="H172" s="137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18"/>
      <c r="E173" s="18"/>
      <c r="F173" s="18"/>
      <c r="G173" s="137"/>
      <c r="H173" s="137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18"/>
      <c r="C174" s="18"/>
      <c r="D174" s="18"/>
      <c r="E174" s="18"/>
      <c r="F174" s="18"/>
      <c r="G174" s="137"/>
      <c r="H174" s="137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18"/>
      <c r="C175" s="18"/>
      <c r="D175" s="18"/>
      <c r="E175" s="18"/>
      <c r="F175" s="18"/>
      <c r="G175" s="137"/>
      <c r="H175" s="137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18"/>
      <c r="C176" s="18"/>
      <c r="D176" s="18"/>
      <c r="E176" s="18"/>
      <c r="F176" s="18"/>
      <c r="G176" s="137"/>
      <c r="H176" s="137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18"/>
      <c r="C177" s="18"/>
      <c r="D177" s="18"/>
      <c r="E177" s="18"/>
      <c r="F177" s="18"/>
      <c r="G177" s="137"/>
      <c r="H177" s="137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18"/>
      <c r="C178" s="18"/>
      <c r="D178" s="18"/>
      <c r="E178" s="18"/>
      <c r="F178" s="18"/>
      <c r="G178" s="137"/>
      <c r="H178" s="137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18"/>
      <c r="C179" s="18"/>
      <c r="D179" s="18"/>
      <c r="E179" s="18"/>
      <c r="F179" s="18"/>
      <c r="G179" s="137"/>
      <c r="H179" s="137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18"/>
      <c r="C180" s="18"/>
      <c r="D180" s="18"/>
      <c r="E180" s="18"/>
      <c r="F180" s="18"/>
      <c r="G180" s="137"/>
      <c r="H180" s="137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18"/>
      <c r="C181" s="18"/>
      <c r="D181" s="18"/>
      <c r="E181" s="18"/>
      <c r="F181" s="18"/>
      <c r="G181" s="137"/>
      <c r="H181" s="137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18"/>
      <c r="C182" s="18"/>
      <c r="D182" s="18"/>
      <c r="E182" s="18"/>
      <c r="F182" s="18"/>
      <c r="G182" s="137"/>
      <c r="H182" s="137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18"/>
      <c r="C183" s="18"/>
      <c r="D183" s="18"/>
      <c r="E183" s="18"/>
      <c r="F183" s="18"/>
      <c r="G183" s="137"/>
      <c r="H183" s="137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18"/>
      <c r="E184" s="18"/>
      <c r="F184" s="18"/>
      <c r="G184" s="137"/>
      <c r="H184" s="137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18"/>
      <c r="C185" s="18"/>
      <c r="D185" s="18"/>
      <c r="E185" s="18"/>
      <c r="F185" s="18"/>
      <c r="G185" s="137"/>
      <c r="H185" s="137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8"/>
      <c r="C186" s="18"/>
      <c r="D186" s="18"/>
      <c r="E186" s="18"/>
      <c r="F186" s="18"/>
      <c r="G186" s="137"/>
      <c r="H186" s="137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18"/>
      <c r="C187" s="18"/>
      <c r="D187" s="18"/>
      <c r="E187" s="18"/>
      <c r="F187" s="18"/>
      <c r="G187" s="137"/>
      <c r="H187" s="137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18"/>
      <c r="C188" s="18"/>
      <c r="D188" s="18"/>
      <c r="E188" s="18"/>
      <c r="F188" s="18"/>
      <c r="G188" s="137"/>
      <c r="H188" s="137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18"/>
      <c r="C189" s="18"/>
      <c r="D189" s="18"/>
      <c r="E189" s="18"/>
      <c r="F189" s="18"/>
      <c r="G189" s="137"/>
      <c r="H189" s="137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18"/>
      <c r="C190" s="18"/>
      <c r="D190" s="18"/>
      <c r="E190" s="18"/>
      <c r="F190" s="18"/>
      <c r="G190" s="137"/>
      <c r="H190" s="137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18"/>
      <c r="C191" s="18"/>
      <c r="D191" s="18"/>
      <c r="E191" s="18"/>
      <c r="F191" s="18"/>
      <c r="G191" s="137"/>
      <c r="H191" s="137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18"/>
      <c r="C192" s="18"/>
      <c r="D192" s="18"/>
      <c r="E192" s="18"/>
      <c r="F192" s="18"/>
      <c r="G192" s="137"/>
      <c r="H192" s="137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18"/>
      <c r="C193" s="18"/>
      <c r="D193" s="18"/>
      <c r="E193" s="18"/>
      <c r="F193" s="18"/>
      <c r="G193" s="137"/>
      <c r="H193" s="137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18"/>
      <c r="C194" s="18"/>
      <c r="D194" s="18"/>
      <c r="E194" s="18"/>
      <c r="F194" s="18"/>
      <c r="G194" s="137"/>
      <c r="H194" s="137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18"/>
      <c r="C195" s="18"/>
      <c r="D195" s="18"/>
      <c r="E195" s="18"/>
      <c r="F195" s="18"/>
      <c r="G195" s="137"/>
      <c r="H195" s="137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18"/>
      <c r="C196" s="18"/>
      <c r="D196" s="18"/>
      <c r="E196" s="18"/>
      <c r="F196" s="18"/>
      <c r="G196" s="137"/>
      <c r="H196" s="137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18"/>
      <c r="C197" s="18"/>
      <c r="D197" s="18"/>
      <c r="E197" s="18"/>
      <c r="F197" s="18"/>
      <c r="G197" s="137"/>
      <c r="H197" s="137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18"/>
      <c r="C198" s="18"/>
      <c r="D198" s="18"/>
      <c r="E198" s="18"/>
      <c r="F198" s="18"/>
      <c r="G198" s="137"/>
      <c r="H198" s="137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18"/>
      <c r="C199" s="18"/>
      <c r="D199" s="18"/>
      <c r="E199" s="18"/>
      <c r="F199" s="18"/>
      <c r="G199" s="137"/>
      <c r="H199" s="137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18"/>
      <c r="E200" s="18"/>
      <c r="F200" s="18"/>
      <c r="G200" s="137"/>
      <c r="H200" s="137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18"/>
      <c r="C201" s="18"/>
      <c r="D201" s="18"/>
      <c r="E201" s="18"/>
      <c r="F201" s="18"/>
      <c r="G201" s="137"/>
      <c r="H201" s="137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8"/>
      <c r="C202" s="18"/>
      <c r="D202" s="18"/>
      <c r="E202" s="18"/>
      <c r="F202" s="18"/>
      <c r="G202" s="137"/>
      <c r="H202" s="137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18"/>
      <c r="E203" s="18"/>
      <c r="F203" s="18"/>
      <c r="G203" s="137"/>
      <c r="H203" s="137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18"/>
      <c r="E204" s="18"/>
      <c r="F204" s="18"/>
      <c r="G204" s="137"/>
      <c r="H204" s="137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18"/>
      <c r="E205" s="18"/>
      <c r="F205" s="18"/>
      <c r="G205" s="137"/>
      <c r="H205" s="13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18"/>
      <c r="E206" s="18"/>
      <c r="F206" s="18"/>
      <c r="G206" s="137"/>
      <c r="H206" s="13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18"/>
      <c r="E207" s="18"/>
      <c r="F207" s="18"/>
      <c r="G207" s="137"/>
      <c r="H207" s="137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18"/>
      <c r="E208" s="18"/>
      <c r="F208" s="18"/>
      <c r="G208" s="137"/>
      <c r="H208" s="137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18"/>
      <c r="E209" s="18"/>
      <c r="F209" s="18"/>
      <c r="G209" s="137"/>
      <c r="H209" s="137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18"/>
      <c r="E210" s="18"/>
      <c r="F210" s="18"/>
      <c r="G210" s="137"/>
      <c r="H210" s="137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18"/>
      <c r="E211" s="18"/>
      <c r="F211" s="18"/>
      <c r="G211" s="137"/>
      <c r="H211" s="137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18"/>
      <c r="E212" s="18"/>
      <c r="F212" s="18"/>
      <c r="G212" s="137"/>
      <c r="H212" s="137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18"/>
      <c r="E213" s="18"/>
      <c r="F213" s="18"/>
      <c r="G213" s="137"/>
      <c r="H213" s="137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18"/>
      <c r="E214" s="18"/>
      <c r="F214" s="18"/>
      <c r="G214" s="137"/>
      <c r="H214" s="137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18"/>
      <c r="E215" s="18"/>
      <c r="F215" s="18"/>
      <c r="G215" s="137"/>
      <c r="H215" s="137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18"/>
      <c r="E216" s="18"/>
      <c r="F216" s="18"/>
      <c r="G216" s="137"/>
      <c r="H216" s="137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18"/>
      <c r="E217" s="18"/>
      <c r="F217" s="18"/>
      <c r="G217" s="137"/>
      <c r="H217" s="137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18"/>
      <c r="E218" s="18"/>
      <c r="F218" s="18"/>
      <c r="G218" s="137"/>
      <c r="H218" s="137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18"/>
      <c r="E219" s="18"/>
      <c r="F219" s="18"/>
      <c r="G219" s="137"/>
      <c r="H219" s="137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18"/>
      <c r="E220" s="18"/>
      <c r="F220" s="18"/>
      <c r="G220" s="137"/>
      <c r="H220" s="137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18"/>
      <c r="E221" s="18"/>
      <c r="F221" s="18"/>
      <c r="G221" s="137"/>
      <c r="H221" s="137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18"/>
      <c r="E222" s="18"/>
      <c r="F222" s="18"/>
      <c r="G222" s="137"/>
      <c r="H222" s="137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18"/>
      <c r="E223" s="18"/>
      <c r="F223" s="18"/>
      <c r="G223" s="137"/>
      <c r="H223" s="137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18"/>
      <c r="E224" s="18"/>
      <c r="F224" s="18"/>
      <c r="G224" s="137"/>
      <c r="H224" s="137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18"/>
      <c r="E225" s="18"/>
      <c r="F225" s="18"/>
      <c r="G225" s="137"/>
      <c r="H225" s="137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18"/>
      <c r="E226" s="18"/>
      <c r="F226" s="18"/>
      <c r="G226" s="137"/>
      <c r="H226" s="137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18"/>
      <c r="E227" s="18"/>
      <c r="F227" s="18"/>
      <c r="G227" s="137"/>
      <c r="H227" s="137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18"/>
      <c r="E228" s="18"/>
      <c r="F228" s="18"/>
      <c r="G228" s="137"/>
      <c r="H228" s="137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18"/>
      <c r="E229" s="18"/>
      <c r="F229" s="18"/>
      <c r="G229" s="137"/>
      <c r="H229" s="137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18"/>
      <c r="E230" s="18"/>
      <c r="F230" s="18"/>
      <c r="G230" s="137"/>
      <c r="H230" s="137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18"/>
      <c r="E231" s="18"/>
      <c r="F231" s="18"/>
      <c r="G231" s="137"/>
      <c r="H231" s="137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18"/>
      <c r="E232" s="18"/>
      <c r="F232" s="18"/>
      <c r="G232" s="137"/>
      <c r="H232" s="137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18"/>
      <c r="E233" s="18"/>
      <c r="F233" s="18"/>
      <c r="G233" s="137"/>
      <c r="H233" s="137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18"/>
      <c r="E234" s="18"/>
      <c r="F234" s="18"/>
      <c r="G234" s="137"/>
      <c r="H234" s="137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18"/>
      <c r="E235" s="18"/>
      <c r="F235" s="18"/>
      <c r="G235" s="137"/>
      <c r="H235" s="137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18"/>
      <c r="E236" s="18"/>
      <c r="F236" s="18"/>
      <c r="G236" s="137"/>
      <c r="H236" s="137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18"/>
      <c r="E237" s="18"/>
      <c r="F237" s="18"/>
      <c r="G237" s="137"/>
      <c r="H237" s="137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18"/>
      <c r="E238" s="18"/>
      <c r="F238" s="18"/>
      <c r="G238" s="137"/>
      <c r="H238" s="137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18"/>
      <c r="E239" s="18"/>
      <c r="F239" s="18"/>
      <c r="G239" s="137"/>
      <c r="H239" s="137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18"/>
      <c r="E240" s="18"/>
      <c r="F240" s="18"/>
      <c r="G240" s="137"/>
      <c r="H240" s="137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18"/>
      <c r="E241" s="18"/>
      <c r="F241" s="18"/>
      <c r="G241" s="137"/>
      <c r="H241" s="137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18"/>
      <c r="E242" s="18"/>
      <c r="F242" s="18"/>
      <c r="G242" s="137"/>
      <c r="H242" s="137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18"/>
      <c r="E243" s="18"/>
      <c r="F243" s="18"/>
      <c r="G243" s="137"/>
      <c r="H243" s="137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18"/>
      <c r="E244" s="18"/>
      <c r="F244" s="18"/>
      <c r="G244" s="137"/>
      <c r="H244" s="137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18"/>
      <c r="E245" s="18"/>
      <c r="F245" s="18"/>
      <c r="G245" s="137"/>
      <c r="H245" s="137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18"/>
      <c r="E246" s="18"/>
      <c r="F246" s="18"/>
      <c r="G246" s="137"/>
      <c r="H246" s="137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18"/>
      <c r="E247" s="18"/>
      <c r="F247" s="18"/>
      <c r="G247" s="137"/>
      <c r="H247" s="137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18"/>
      <c r="E248" s="18"/>
      <c r="F248" s="18"/>
      <c r="G248" s="137"/>
      <c r="H248" s="137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18"/>
      <c r="E249" s="18"/>
      <c r="F249" s="18"/>
      <c r="G249" s="137"/>
      <c r="H249" s="137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18"/>
      <c r="E250" s="18"/>
      <c r="F250" s="18"/>
      <c r="G250" s="137"/>
      <c r="H250" s="137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18"/>
      <c r="E251" s="18"/>
      <c r="F251" s="18"/>
      <c r="G251" s="137"/>
      <c r="H251" s="137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18"/>
      <c r="E252" s="18"/>
      <c r="F252" s="18"/>
      <c r="G252" s="137"/>
      <c r="H252" s="137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18"/>
      <c r="E253" s="18"/>
      <c r="F253" s="18"/>
      <c r="G253" s="137"/>
      <c r="H253" s="137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18"/>
      <c r="E254" s="18"/>
      <c r="F254" s="18"/>
      <c r="G254" s="137"/>
      <c r="H254" s="137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18"/>
      <c r="E255" s="18"/>
      <c r="F255" s="18"/>
      <c r="G255" s="137"/>
      <c r="H255" s="137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18"/>
      <c r="E256" s="18"/>
      <c r="F256" s="18"/>
      <c r="G256" s="137"/>
      <c r="H256" s="137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18"/>
      <c r="E257" s="18"/>
      <c r="F257" s="18"/>
      <c r="G257" s="137"/>
      <c r="H257" s="137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18"/>
      <c r="E258" s="18"/>
      <c r="F258" s="18"/>
      <c r="G258" s="137"/>
      <c r="H258" s="137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18"/>
      <c r="E259" s="18"/>
      <c r="F259" s="18"/>
      <c r="G259" s="137"/>
      <c r="H259" s="137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18"/>
      <c r="E260" s="18"/>
      <c r="F260" s="18"/>
      <c r="G260" s="137"/>
      <c r="H260" s="137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18"/>
      <c r="E261" s="18"/>
      <c r="F261" s="18"/>
      <c r="G261" s="137"/>
      <c r="H261" s="137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18"/>
      <c r="E262" s="18"/>
      <c r="F262" s="18"/>
      <c r="G262" s="137"/>
      <c r="H262" s="137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18"/>
      <c r="E263" s="18"/>
      <c r="F263" s="18"/>
      <c r="G263" s="137"/>
      <c r="H263" s="137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18"/>
      <c r="E264" s="18"/>
      <c r="F264" s="18"/>
      <c r="G264" s="137"/>
      <c r="H264" s="137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18"/>
      <c r="E265" s="18"/>
      <c r="F265" s="18"/>
      <c r="G265" s="137"/>
      <c r="H265" s="137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18"/>
      <c r="E266" s="18"/>
      <c r="F266" s="18"/>
      <c r="G266" s="137"/>
      <c r="H266" s="137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18"/>
      <c r="E267" s="18"/>
      <c r="F267" s="18"/>
      <c r="G267" s="137"/>
      <c r="H267" s="137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18"/>
      <c r="E268" s="18"/>
      <c r="F268" s="18"/>
      <c r="G268" s="137"/>
      <c r="H268" s="137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18"/>
      <c r="E269" s="18"/>
      <c r="F269" s="18"/>
      <c r="G269" s="137"/>
      <c r="H269" s="137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18"/>
      <c r="E270" s="18"/>
      <c r="F270" s="18"/>
      <c r="G270" s="137"/>
      <c r="H270" s="137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18"/>
      <c r="E271" s="18"/>
      <c r="F271" s="18"/>
      <c r="G271" s="137"/>
      <c r="H271" s="137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18"/>
      <c r="E272" s="18"/>
      <c r="F272" s="18"/>
      <c r="G272" s="137"/>
      <c r="H272" s="137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18"/>
      <c r="E273" s="18"/>
      <c r="F273" s="18"/>
      <c r="G273" s="137"/>
      <c r="H273" s="137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18"/>
      <c r="E274" s="18"/>
      <c r="F274" s="18"/>
      <c r="G274" s="137"/>
      <c r="H274" s="137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18"/>
      <c r="E275" s="18"/>
      <c r="F275" s="18"/>
      <c r="G275" s="137"/>
      <c r="H275" s="137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18"/>
      <c r="E276" s="18"/>
      <c r="F276" s="18"/>
      <c r="G276" s="137"/>
      <c r="H276" s="137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18"/>
      <c r="E277" s="18"/>
      <c r="F277" s="18"/>
      <c r="G277" s="137"/>
      <c r="H277" s="137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18"/>
      <c r="E278" s="18"/>
      <c r="F278" s="18"/>
      <c r="G278" s="137"/>
      <c r="H278" s="137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18"/>
      <c r="E279" s="18"/>
      <c r="F279" s="18"/>
      <c r="G279" s="137"/>
      <c r="H279" s="137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18"/>
      <c r="E280" s="18"/>
      <c r="F280" s="18"/>
      <c r="G280" s="137"/>
      <c r="H280" s="137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18"/>
      <c r="E281" s="18"/>
      <c r="F281" s="18"/>
      <c r="G281" s="137"/>
      <c r="H281" s="137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18"/>
      <c r="E282" s="18"/>
      <c r="F282" s="18"/>
      <c r="G282" s="137"/>
      <c r="H282" s="137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18"/>
      <c r="E283" s="18"/>
      <c r="F283" s="18"/>
      <c r="G283" s="137"/>
      <c r="H283" s="137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18"/>
      <c r="E284" s="18"/>
      <c r="F284" s="18"/>
      <c r="G284" s="137"/>
      <c r="H284" s="137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18"/>
      <c r="E285" s="18"/>
      <c r="F285" s="18"/>
      <c r="G285" s="137"/>
      <c r="H285" s="137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18"/>
      <c r="E286" s="18"/>
      <c r="F286" s="18"/>
      <c r="G286" s="137"/>
      <c r="H286" s="137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18"/>
      <c r="E287" s="18"/>
      <c r="F287" s="18"/>
      <c r="G287" s="137"/>
      <c r="H287" s="137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18"/>
      <c r="E288" s="18"/>
      <c r="F288" s="18"/>
      <c r="G288" s="137"/>
      <c r="H288" s="137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18"/>
      <c r="E289" s="18"/>
      <c r="F289" s="18"/>
      <c r="G289" s="137"/>
      <c r="H289" s="137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18"/>
      <c r="E290" s="18"/>
      <c r="F290" s="18"/>
      <c r="G290" s="137"/>
      <c r="H290" s="137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18"/>
      <c r="E291" s="18"/>
      <c r="F291" s="18"/>
      <c r="G291" s="137"/>
      <c r="H291" s="137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18"/>
      <c r="E292" s="18"/>
      <c r="F292" s="18"/>
      <c r="G292" s="137"/>
      <c r="H292" s="137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18"/>
      <c r="E293" s="18"/>
      <c r="F293" s="18"/>
      <c r="G293" s="137"/>
      <c r="H293" s="137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18"/>
      <c r="E294" s="18"/>
      <c r="F294" s="18"/>
      <c r="G294" s="137"/>
      <c r="H294" s="137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18"/>
      <c r="E295" s="18"/>
      <c r="F295" s="18"/>
      <c r="G295" s="137"/>
      <c r="H295" s="137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18"/>
      <c r="E296" s="18"/>
      <c r="F296" s="18"/>
      <c r="G296" s="137"/>
      <c r="H296" s="137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18"/>
      <c r="E297" s="18"/>
      <c r="F297" s="18"/>
      <c r="G297" s="137"/>
      <c r="H297" s="137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18"/>
      <c r="E298" s="18"/>
      <c r="F298" s="18"/>
      <c r="G298" s="137"/>
      <c r="H298" s="137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18"/>
      <c r="E299" s="18"/>
      <c r="F299" s="18"/>
      <c r="G299" s="137"/>
      <c r="H299" s="137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18"/>
      <c r="E300" s="18"/>
      <c r="F300" s="18"/>
      <c r="G300" s="137"/>
      <c r="H300" s="137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18"/>
      <c r="E301" s="18"/>
      <c r="F301" s="18"/>
      <c r="G301" s="137"/>
      <c r="H301" s="137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18"/>
      <c r="E302" s="18"/>
      <c r="F302" s="18"/>
      <c r="G302" s="137"/>
      <c r="H302" s="137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18"/>
      <c r="E303" s="18"/>
      <c r="F303" s="18"/>
      <c r="G303" s="137"/>
      <c r="H303" s="137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18"/>
      <c r="E304" s="18"/>
      <c r="F304" s="18"/>
      <c r="G304" s="137"/>
      <c r="H304" s="137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18"/>
      <c r="E305" s="18"/>
      <c r="F305" s="18"/>
      <c r="G305" s="137"/>
      <c r="H305" s="137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18"/>
      <c r="E306" s="18"/>
      <c r="F306" s="18"/>
      <c r="G306" s="137"/>
      <c r="H306" s="137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18"/>
      <c r="E307" s="18"/>
      <c r="F307" s="18"/>
      <c r="G307" s="137"/>
      <c r="H307" s="137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18"/>
      <c r="E308" s="18"/>
      <c r="F308" s="18"/>
      <c r="G308" s="137"/>
      <c r="H308" s="137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18"/>
      <c r="E309" s="18"/>
      <c r="F309" s="18"/>
      <c r="G309" s="137"/>
      <c r="H309" s="137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18"/>
      <c r="E310" s="18"/>
      <c r="F310" s="18"/>
      <c r="G310" s="137"/>
      <c r="H310" s="137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18"/>
      <c r="E311" s="18"/>
      <c r="F311" s="18"/>
      <c r="G311" s="137"/>
      <c r="H311" s="137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18"/>
      <c r="E312" s="18"/>
      <c r="F312" s="18"/>
      <c r="G312" s="137"/>
      <c r="H312" s="137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18"/>
      <c r="E313" s="18"/>
      <c r="F313" s="18"/>
      <c r="G313" s="137"/>
      <c r="H313" s="137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18"/>
      <c r="E314" s="18"/>
      <c r="F314" s="18"/>
      <c r="G314" s="137"/>
      <c r="H314" s="137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18"/>
      <c r="E315" s="18"/>
      <c r="F315" s="18"/>
      <c r="G315" s="137"/>
      <c r="H315" s="137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18"/>
      <c r="E316" s="18"/>
      <c r="F316" s="18"/>
      <c r="G316" s="137"/>
      <c r="H316" s="137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18"/>
      <c r="E317" s="18"/>
      <c r="F317" s="18"/>
      <c r="G317" s="137"/>
      <c r="H317" s="137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18"/>
      <c r="E318" s="18"/>
      <c r="F318" s="18"/>
      <c r="G318" s="137"/>
      <c r="H318" s="137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18"/>
      <c r="E319" s="18"/>
      <c r="F319" s="18"/>
      <c r="G319" s="137"/>
      <c r="H319" s="137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18"/>
      <c r="E320" s="18"/>
      <c r="F320" s="18"/>
      <c r="G320" s="137"/>
      <c r="H320" s="137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18"/>
      <c r="E321" s="18"/>
      <c r="F321" s="18"/>
      <c r="G321" s="137"/>
      <c r="H321" s="137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18"/>
      <c r="E322" s="18"/>
      <c r="F322" s="18"/>
      <c r="G322" s="137"/>
      <c r="H322" s="137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18"/>
      <c r="E323" s="18"/>
      <c r="F323" s="18"/>
      <c r="G323" s="137"/>
      <c r="H323" s="137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18"/>
      <c r="E324" s="18"/>
      <c r="F324" s="18"/>
      <c r="G324" s="137"/>
      <c r="H324" s="137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18"/>
      <c r="E325" s="18"/>
      <c r="F325" s="18"/>
      <c r="G325" s="137"/>
      <c r="H325" s="137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18"/>
      <c r="E326" s="18"/>
      <c r="F326" s="18"/>
      <c r="G326" s="137"/>
      <c r="H326" s="137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18"/>
      <c r="E327" s="18"/>
      <c r="F327" s="18"/>
      <c r="G327" s="137"/>
      <c r="H327" s="137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18"/>
      <c r="E328" s="18"/>
      <c r="F328" s="18"/>
      <c r="G328" s="137"/>
      <c r="H328" s="137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18"/>
      <c r="E329" s="18"/>
      <c r="F329" s="18"/>
      <c r="G329" s="137"/>
      <c r="H329" s="137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18"/>
      <c r="E330" s="18"/>
      <c r="F330" s="18"/>
      <c r="G330" s="137"/>
      <c r="H330" s="137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18"/>
      <c r="E331" s="18"/>
      <c r="F331" s="18"/>
      <c r="G331" s="137"/>
      <c r="H331" s="137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18"/>
      <c r="E332" s="18"/>
      <c r="F332" s="18"/>
      <c r="G332" s="137"/>
      <c r="H332" s="137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18"/>
      <c r="E333" s="18"/>
      <c r="F333" s="18"/>
      <c r="G333" s="137"/>
      <c r="H333" s="137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18"/>
      <c r="E334" s="18"/>
      <c r="F334" s="18"/>
      <c r="G334" s="137"/>
      <c r="H334" s="137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18"/>
      <c r="E335" s="18"/>
      <c r="F335" s="18"/>
      <c r="G335" s="137"/>
      <c r="H335" s="137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18"/>
      <c r="E336" s="18"/>
      <c r="F336" s="18"/>
      <c r="G336" s="137"/>
      <c r="H336" s="137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18"/>
      <c r="E337" s="18"/>
      <c r="F337" s="18"/>
      <c r="G337" s="137"/>
      <c r="H337" s="137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18"/>
      <c r="E338" s="18"/>
      <c r="F338" s="18"/>
      <c r="G338" s="137"/>
      <c r="H338" s="137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18"/>
      <c r="E339" s="18"/>
      <c r="F339" s="18"/>
      <c r="G339" s="137"/>
      <c r="H339" s="137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18"/>
      <c r="E340" s="18"/>
      <c r="F340" s="18"/>
      <c r="G340" s="137"/>
      <c r="H340" s="137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18"/>
      <c r="E341" s="18"/>
      <c r="F341" s="18"/>
      <c r="G341" s="137"/>
      <c r="H341" s="137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18"/>
      <c r="E342" s="18"/>
      <c r="F342" s="18"/>
      <c r="G342" s="137"/>
      <c r="H342" s="137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18"/>
      <c r="E343" s="18"/>
      <c r="F343" s="18"/>
      <c r="G343" s="137"/>
      <c r="H343" s="137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18"/>
      <c r="E344" s="18"/>
      <c r="F344" s="18"/>
      <c r="G344" s="137"/>
      <c r="H344" s="137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18"/>
      <c r="E345" s="18"/>
      <c r="F345" s="18"/>
      <c r="G345" s="137"/>
      <c r="H345" s="137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18"/>
      <c r="E346" s="18"/>
      <c r="F346" s="18"/>
      <c r="G346" s="137"/>
      <c r="H346" s="137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18"/>
      <c r="E347" s="18"/>
      <c r="F347" s="18"/>
      <c r="G347" s="137"/>
      <c r="H347" s="137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18"/>
      <c r="E348" s="18"/>
      <c r="F348" s="18"/>
      <c r="G348" s="137"/>
      <c r="H348" s="137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18"/>
      <c r="E349" s="18"/>
      <c r="F349" s="18"/>
      <c r="G349" s="137"/>
      <c r="H349" s="137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18"/>
      <c r="E350" s="18"/>
      <c r="F350" s="18"/>
      <c r="G350" s="137"/>
      <c r="H350" s="137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18"/>
      <c r="E351" s="18"/>
      <c r="F351" s="18"/>
      <c r="G351" s="137"/>
      <c r="H351" s="137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18"/>
      <c r="E352" s="18"/>
      <c r="F352" s="18"/>
      <c r="G352" s="137"/>
      <c r="H352" s="137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18"/>
      <c r="E353" s="18"/>
      <c r="F353" s="18"/>
      <c r="G353" s="137"/>
      <c r="H353" s="137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18"/>
      <c r="E354" s="18"/>
      <c r="F354" s="18"/>
      <c r="G354" s="137"/>
      <c r="H354" s="137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18"/>
      <c r="E355" s="18"/>
      <c r="F355" s="18"/>
      <c r="G355" s="137"/>
      <c r="H355" s="137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18"/>
      <c r="E356" s="18"/>
      <c r="F356" s="18"/>
      <c r="G356" s="137"/>
      <c r="H356" s="137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18"/>
      <c r="E357" s="18"/>
      <c r="F357" s="18"/>
      <c r="G357" s="137"/>
      <c r="H357" s="137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18"/>
      <c r="E358" s="18"/>
      <c r="F358" s="18"/>
      <c r="G358" s="137"/>
      <c r="H358" s="137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18"/>
      <c r="E359" s="18"/>
      <c r="F359" s="18"/>
      <c r="G359" s="137"/>
      <c r="H359" s="137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18"/>
      <c r="E360" s="18"/>
      <c r="F360" s="18"/>
      <c r="G360" s="137"/>
      <c r="H360" s="137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18"/>
      <c r="E361" s="18"/>
      <c r="F361" s="18"/>
      <c r="G361" s="137"/>
      <c r="H361" s="137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18"/>
      <c r="E362" s="18"/>
      <c r="F362" s="18"/>
      <c r="G362" s="137"/>
      <c r="H362" s="137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18"/>
      <c r="E363" s="18"/>
      <c r="F363" s="18"/>
      <c r="G363" s="137"/>
      <c r="H363" s="137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18"/>
      <c r="E364" s="18"/>
      <c r="F364" s="18"/>
      <c r="G364" s="137"/>
      <c r="H364" s="137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18"/>
      <c r="E365" s="18"/>
      <c r="F365" s="18"/>
      <c r="G365" s="137"/>
      <c r="H365" s="137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18"/>
      <c r="E366" s="18"/>
      <c r="F366" s="18"/>
      <c r="G366" s="137"/>
      <c r="H366" s="137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18"/>
      <c r="E367" s="18"/>
      <c r="F367" s="18"/>
      <c r="G367" s="137"/>
      <c r="H367" s="137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18"/>
      <c r="E368" s="18"/>
      <c r="F368" s="18"/>
      <c r="G368" s="137"/>
      <c r="H368" s="137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18"/>
      <c r="E369" s="18"/>
      <c r="F369" s="18"/>
      <c r="G369" s="137"/>
      <c r="H369" s="137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18"/>
      <c r="E370" s="18"/>
      <c r="F370" s="18"/>
      <c r="G370" s="137"/>
      <c r="H370" s="137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18"/>
      <c r="E371" s="18"/>
      <c r="F371" s="18"/>
      <c r="G371" s="137"/>
      <c r="H371" s="137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18"/>
      <c r="E372" s="18"/>
      <c r="F372" s="18"/>
      <c r="G372" s="137"/>
      <c r="H372" s="137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18"/>
      <c r="E373" s="18"/>
      <c r="F373" s="18"/>
      <c r="G373" s="137"/>
      <c r="H373" s="137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18"/>
      <c r="E374" s="18"/>
      <c r="F374" s="18"/>
      <c r="G374" s="137"/>
      <c r="H374" s="137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18"/>
      <c r="E375" s="18"/>
      <c r="F375" s="18"/>
      <c r="G375" s="137"/>
      <c r="H375" s="137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18"/>
      <c r="E376" s="18"/>
      <c r="F376" s="18"/>
      <c r="G376" s="137"/>
      <c r="H376" s="137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18"/>
      <c r="E377" s="18"/>
      <c r="F377" s="18"/>
      <c r="G377" s="137"/>
      <c r="H377" s="137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18"/>
      <c r="E378" s="18"/>
      <c r="F378" s="18"/>
      <c r="G378" s="137"/>
      <c r="H378" s="137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18"/>
      <c r="E379" s="18"/>
      <c r="F379" s="18"/>
      <c r="G379" s="137"/>
      <c r="H379" s="137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18"/>
      <c r="E380" s="18"/>
      <c r="F380" s="18"/>
      <c r="G380" s="137"/>
      <c r="H380" s="137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18"/>
      <c r="E381" s="18"/>
      <c r="F381" s="18"/>
      <c r="G381" s="137"/>
      <c r="H381" s="137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18"/>
      <c r="E382" s="18"/>
      <c r="F382" s="18"/>
      <c r="G382" s="137"/>
      <c r="H382" s="137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18"/>
      <c r="E383" s="18"/>
      <c r="F383" s="18"/>
      <c r="G383" s="137"/>
      <c r="H383" s="137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18"/>
      <c r="E384" s="18"/>
      <c r="F384" s="18"/>
      <c r="G384" s="137"/>
      <c r="H384" s="137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18"/>
      <c r="E385" s="18"/>
      <c r="F385" s="18"/>
      <c r="G385" s="137"/>
      <c r="H385" s="137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18"/>
      <c r="E386" s="18"/>
      <c r="F386" s="18"/>
      <c r="G386" s="137"/>
      <c r="H386" s="137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18"/>
      <c r="E387" s="18"/>
      <c r="F387" s="18"/>
      <c r="G387" s="137"/>
      <c r="H387" s="137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18"/>
      <c r="E388" s="18"/>
      <c r="F388" s="18"/>
      <c r="G388" s="137"/>
      <c r="H388" s="137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18"/>
      <c r="E389" s="18"/>
      <c r="F389" s="18"/>
      <c r="G389" s="137"/>
      <c r="H389" s="137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18"/>
      <c r="E390" s="18"/>
      <c r="F390" s="18"/>
      <c r="G390" s="137"/>
      <c r="H390" s="137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18"/>
      <c r="E391" s="18"/>
      <c r="F391" s="18"/>
      <c r="G391" s="137"/>
      <c r="H391" s="137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18"/>
      <c r="E392" s="18"/>
      <c r="F392" s="18"/>
      <c r="G392" s="137"/>
      <c r="H392" s="137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18"/>
      <c r="E393" s="18"/>
      <c r="F393" s="18"/>
      <c r="G393" s="137"/>
      <c r="H393" s="137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18"/>
      <c r="E394" s="18"/>
      <c r="F394" s="18"/>
      <c r="G394" s="137"/>
      <c r="H394" s="137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18"/>
      <c r="E395" s="18"/>
      <c r="F395" s="18"/>
      <c r="G395" s="137"/>
      <c r="H395" s="137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18"/>
      <c r="E396" s="18"/>
      <c r="F396" s="18"/>
      <c r="G396" s="137"/>
      <c r="H396" s="137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18"/>
      <c r="E397" s="18"/>
      <c r="F397" s="18"/>
      <c r="G397" s="137"/>
      <c r="H397" s="137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18"/>
      <c r="E398" s="18"/>
      <c r="F398" s="18"/>
      <c r="G398" s="137"/>
      <c r="H398" s="137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18"/>
      <c r="E399" s="18"/>
      <c r="F399" s="18"/>
      <c r="G399" s="137"/>
      <c r="H399" s="137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18"/>
      <c r="E400" s="18"/>
      <c r="F400" s="18"/>
      <c r="G400" s="137"/>
      <c r="H400" s="137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18"/>
      <c r="E401" s="18"/>
      <c r="F401" s="18"/>
      <c r="G401" s="137"/>
      <c r="H401" s="137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18"/>
      <c r="E402" s="18"/>
      <c r="F402" s="18"/>
      <c r="G402" s="137"/>
      <c r="H402" s="137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18"/>
      <c r="E403" s="18"/>
      <c r="F403" s="18"/>
      <c r="G403" s="137"/>
      <c r="H403" s="137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18"/>
      <c r="E404" s="18"/>
      <c r="F404" s="18"/>
      <c r="G404" s="137"/>
      <c r="H404" s="137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18"/>
      <c r="E405" s="18"/>
      <c r="F405" s="18"/>
      <c r="G405" s="137"/>
      <c r="H405" s="137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18"/>
      <c r="E406" s="18"/>
      <c r="F406" s="18"/>
      <c r="G406" s="137"/>
      <c r="H406" s="137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18"/>
      <c r="E407" s="18"/>
      <c r="F407" s="18"/>
      <c r="G407" s="137"/>
      <c r="H407" s="137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18"/>
      <c r="E408" s="18"/>
      <c r="F408" s="18"/>
      <c r="G408" s="137"/>
      <c r="H408" s="137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18"/>
      <c r="E409" s="18"/>
      <c r="F409" s="18"/>
      <c r="G409" s="137"/>
      <c r="H409" s="137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18"/>
      <c r="E410" s="18"/>
      <c r="F410" s="18"/>
      <c r="G410" s="137"/>
      <c r="H410" s="137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18"/>
      <c r="E411" s="18"/>
      <c r="F411" s="18"/>
      <c r="G411" s="137"/>
      <c r="H411" s="137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18"/>
      <c r="E412" s="18"/>
      <c r="F412" s="18"/>
      <c r="G412" s="137"/>
      <c r="H412" s="137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18"/>
      <c r="E413" s="18"/>
      <c r="F413" s="18"/>
      <c r="G413" s="137"/>
      <c r="H413" s="137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18"/>
      <c r="E414" s="18"/>
      <c r="F414" s="18"/>
      <c r="G414" s="137"/>
      <c r="H414" s="137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18"/>
      <c r="E415" s="18"/>
      <c r="F415" s="18"/>
      <c r="G415" s="137"/>
      <c r="H415" s="137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18"/>
      <c r="E416" s="18"/>
      <c r="F416" s="18"/>
      <c r="G416" s="137"/>
      <c r="H416" s="137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18"/>
      <c r="E417" s="18"/>
      <c r="F417" s="18"/>
      <c r="G417" s="137"/>
      <c r="H417" s="137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18"/>
      <c r="E418" s="18"/>
      <c r="F418" s="18"/>
      <c r="G418" s="137"/>
      <c r="H418" s="137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18"/>
      <c r="E419" s="18"/>
      <c r="F419" s="18"/>
      <c r="G419" s="137"/>
      <c r="H419" s="137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18"/>
      <c r="E420" s="18"/>
      <c r="F420" s="18"/>
      <c r="G420" s="137"/>
      <c r="H420" s="137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18"/>
      <c r="E421" s="18"/>
      <c r="F421" s="18"/>
      <c r="G421" s="137"/>
      <c r="H421" s="137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18"/>
      <c r="E422" s="18"/>
      <c r="F422" s="18"/>
      <c r="G422" s="137"/>
      <c r="H422" s="137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18"/>
      <c r="E423" s="18"/>
      <c r="F423" s="18"/>
      <c r="G423" s="137"/>
      <c r="H423" s="137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18"/>
      <c r="E424" s="18"/>
      <c r="F424" s="18"/>
      <c r="G424" s="137"/>
      <c r="H424" s="137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18"/>
      <c r="E425" s="18"/>
      <c r="F425" s="18"/>
      <c r="G425" s="137"/>
      <c r="H425" s="137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18"/>
      <c r="E426" s="18"/>
      <c r="F426" s="18"/>
      <c r="G426" s="137"/>
      <c r="H426" s="137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18"/>
      <c r="E427" s="18"/>
      <c r="F427" s="18"/>
      <c r="G427" s="137"/>
      <c r="H427" s="137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18"/>
      <c r="E428" s="18"/>
      <c r="F428" s="18"/>
      <c r="G428" s="137"/>
      <c r="H428" s="137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18"/>
      <c r="E429" s="18"/>
      <c r="F429" s="18"/>
      <c r="G429" s="137"/>
      <c r="H429" s="137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18"/>
      <c r="E430" s="18"/>
      <c r="F430" s="18"/>
      <c r="G430" s="137"/>
      <c r="H430" s="137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18"/>
      <c r="E431" s="18"/>
      <c r="F431" s="18"/>
      <c r="G431" s="137"/>
      <c r="H431" s="137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18"/>
      <c r="E432" s="18"/>
      <c r="F432" s="18"/>
      <c r="G432" s="137"/>
      <c r="H432" s="137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18"/>
      <c r="E433" s="18"/>
      <c r="F433" s="18"/>
      <c r="G433" s="137"/>
      <c r="H433" s="137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18"/>
      <c r="E434" s="18"/>
      <c r="F434" s="18"/>
      <c r="G434" s="137"/>
      <c r="H434" s="137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18"/>
      <c r="E435" s="18"/>
      <c r="F435" s="18"/>
      <c r="G435" s="137"/>
      <c r="H435" s="137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18"/>
      <c r="E436" s="18"/>
      <c r="F436" s="18"/>
      <c r="G436" s="137"/>
      <c r="H436" s="137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18"/>
      <c r="E437" s="18"/>
      <c r="F437" s="18"/>
      <c r="G437" s="137"/>
      <c r="H437" s="137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18"/>
      <c r="E438" s="18"/>
      <c r="F438" s="18"/>
      <c r="G438" s="137"/>
      <c r="H438" s="137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18"/>
      <c r="E439" s="18"/>
      <c r="F439" s="18"/>
      <c r="G439" s="137"/>
      <c r="H439" s="137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18"/>
      <c r="E440" s="18"/>
      <c r="F440" s="18"/>
      <c r="G440" s="137"/>
      <c r="H440" s="137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18"/>
      <c r="E441" s="18"/>
      <c r="F441" s="18"/>
      <c r="G441" s="137"/>
      <c r="H441" s="137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18"/>
      <c r="E442" s="18"/>
      <c r="F442" s="18"/>
      <c r="G442" s="137"/>
      <c r="H442" s="137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18"/>
      <c r="E443" s="18"/>
      <c r="F443" s="18"/>
      <c r="G443" s="137"/>
      <c r="H443" s="137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18"/>
      <c r="E444" s="18"/>
      <c r="F444" s="18"/>
      <c r="G444" s="137"/>
      <c r="H444" s="137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18"/>
      <c r="E445" s="18"/>
      <c r="F445" s="18"/>
      <c r="G445" s="137"/>
      <c r="H445" s="137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18"/>
      <c r="E446" s="18"/>
      <c r="F446" s="18"/>
      <c r="G446" s="137"/>
      <c r="H446" s="137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18"/>
      <c r="E447" s="18"/>
      <c r="F447" s="18"/>
      <c r="G447" s="137"/>
      <c r="H447" s="137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18"/>
      <c r="E448" s="18"/>
      <c r="F448" s="18"/>
      <c r="G448" s="137"/>
      <c r="H448" s="137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18"/>
      <c r="E449" s="18"/>
      <c r="F449" s="18"/>
      <c r="G449" s="137"/>
      <c r="H449" s="137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18"/>
      <c r="E450" s="18"/>
      <c r="F450" s="18"/>
      <c r="G450" s="137"/>
      <c r="H450" s="137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18"/>
      <c r="E451" s="18"/>
      <c r="F451" s="18"/>
      <c r="G451" s="137"/>
      <c r="H451" s="137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18"/>
      <c r="E452" s="18"/>
      <c r="F452" s="18"/>
      <c r="G452" s="137"/>
      <c r="H452" s="137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18"/>
      <c r="E453" s="18"/>
      <c r="F453" s="18"/>
      <c r="G453" s="137"/>
      <c r="H453" s="137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18"/>
      <c r="E454" s="18"/>
      <c r="F454" s="18"/>
      <c r="G454" s="137"/>
      <c r="H454" s="137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18"/>
      <c r="E455" s="18"/>
      <c r="F455" s="18"/>
      <c r="G455" s="137"/>
      <c r="H455" s="137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18"/>
      <c r="E456" s="18"/>
      <c r="F456" s="18"/>
      <c r="G456" s="137"/>
      <c r="H456" s="137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18"/>
      <c r="E457" s="18"/>
      <c r="F457" s="18"/>
      <c r="G457" s="137"/>
      <c r="H457" s="137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18"/>
      <c r="E458" s="18"/>
      <c r="F458" s="18"/>
      <c r="G458" s="137"/>
      <c r="H458" s="137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18"/>
      <c r="E459" s="18"/>
      <c r="F459" s="18"/>
      <c r="G459" s="137"/>
      <c r="H459" s="137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18"/>
      <c r="E460" s="18"/>
      <c r="F460" s="18"/>
      <c r="G460" s="137"/>
      <c r="H460" s="137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18"/>
      <c r="E461" s="18"/>
      <c r="F461" s="18"/>
      <c r="G461" s="137"/>
      <c r="H461" s="137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18"/>
      <c r="E462" s="18"/>
      <c r="F462" s="18"/>
      <c r="G462" s="137"/>
      <c r="H462" s="137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18"/>
      <c r="E463" s="18"/>
      <c r="F463" s="18"/>
      <c r="G463" s="137"/>
      <c r="H463" s="137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18"/>
      <c r="E464" s="18"/>
      <c r="F464" s="18"/>
      <c r="G464" s="137"/>
      <c r="H464" s="137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18"/>
      <c r="E465" s="18"/>
      <c r="F465" s="18"/>
      <c r="G465" s="137"/>
      <c r="H465" s="137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18"/>
      <c r="E466" s="18"/>
      <c r="F466" s="18"/>
      <c r="G466" s="137"/>
      <c r="H466" s="137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18"/>
      <c r="E467" s="18"/>
      <c r="F467" s="18"/>
      <c r="G467" s="137"/>
      <c r="H467" s="137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18"/>
      <c r="E468" s="18"/>
      <c r="F468" s="18"/>
      <c r="G468" s="137"/>
      <c r="H468" s="137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18"/>
      <c r="E469" s="18"/>
      <c r="F469" s="18"/>
      <c r="G469" s="137"/>
      <c r="H469" s="137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18"/>
      <c r="E470" s="18"/>
      <c r="F470" s="18"/>
      <c r="G470" s="137"/>
      <c r="H470" s="137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18"/>
      <c r="E471" s="18"/>
      <c r="F471" s="18"/>
      <c r="G471" s="137"/>
      <c r="H471" s="137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18"/>
      <c r="E472" s="18"/>
      <c r="F472" s="18"/>
      <c r="G472" s="137"/>
      <c r="H472" s="137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18"/>
      <c r="E473" s="18"/>
      <c r="F473" s="18"/>
      <c r="G473" s="137"/>
      <c r="H473" s="137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18"/>
      <c r="E474" s="18"/>
      <c r="F474" s="18"/>
      <c r="G474" s="137"/>
      <c r="H474" s="137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18"/>
      <c r="E475" s="18"/>
      <c r="F475" s="18"/>
      <c r="G475" s="137"/>
      <c r="H475" s="137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18"/>
      <c r="E476" s="18"/>
      <c r="F476" s="18"/>
      <c r="G476" s="137"/>
      <c r="H476" s="137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18"/>
      <c r="E477" s="18"/>
      <c r="F477" s="18"/>
      <c r="G477" s="137"/>
      <c r="H477" s="137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18"/>
      <c r="C478" s="18"/>
      <c r="D478" s="18"/>
      <c r="E478" s="18"/>
      <c r="F478" s="18"/>
      <c r="G478" s="137"/>
      <c r="H478" s="137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18"/>
      <c r="C479" s="18"/>
      <c r="D479" s="18"/>
      <c r="E479" s="18"/>
      <c r="F479" s="18"/>
      <c r="G479" s="137"/>
      <c r="H479" s="137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18"/>
      <c r="C480" s="18"/>
      <c r="D480" s="18"/>
      <c r="E480" s="18"/>
      <c r="F480" s="18"/>
      <c r="G480" s="137"/>
      <c r="H480" s="137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18"/>
      <c r="C481" s="18"/>
      <c r="D481" s="18"/>
      <c r="E481" s="18"/>
      <c r="F481" s="18"/>
      <c r="G481" s="137"/>
      <c r="H481" s="137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18"/>
      <c r="C482" s="18"/>
      <c r="D482" s="18"/>
      <c r="E482" s="18"/>
      <c r="F482" s="18"/>
      <c r="G482" s="137"/>
      <c r="H482" s="137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18"/>
      <c r="C483" s="18"/>
      <c r="D483" s="18"/>
      <c r="E483" s="18"/>
      <c r="F483" s="18"/>
      <c r="G483" s="137"/>
      <c r="H483" s="137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18"/>
      <c r="C484" s="18"/>
      <c r="D484" s="18"/>
      <c r="E484" s="18"/>
      <c r="F484" s="18"/>
      <c r="G484" s="137"/>
      <c r="H484" s="137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18"/>
      <c r="C485" s="18"/>
      <c r="D485" s="18"/>
      <c r="E485" s="18"/>
      <c r="F485" s="18"/>
      <c r="G485" s="137"/>
      <c r="H485" s="137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18"/>
      <c r="C486" s="18"/>
      <c r="D486" s="18"/>
      <c r="E486" s="18"/>
      <c r="F486" s="18"/>
      <c r="G486" s="137"/>
      <c r="H486" s="137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18"/>
      <c r="C487" s="18"/>
      <c r="D487" s="18"/>
      <c r="E487" s="18"/>
      <c r="F487" s="18"/>
      <c r="G487" s="137"/>
      <c r="H487" s="137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18"/>
      <c r="C488" s="18"/>
      <c r="D488" s="18"/>
      <c r="E488" s="18"/>
      <c r="F488" s="18"/>
      <c r="G488" s="137"/>
      <c r="H488" s="137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18"/>
      <c r="C489" s="18"/>
      <c r="D489" s="18"/>
      <c r="E489" s="18"/>
      <c r="F489" s="18"/>
      <c r="G489" s="137"/>
      <c r="H489" s="137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18"/>
      <c r="C490" s="18"/>
      <c r="D490" s="18"/>
      <c r="E490" s="18"/>
      <c r="F490" s="18"/>
      <c r="G490" s="137"/>
      <c r="H490" s="137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18"/>
      <c r="C491" s="18"/>
      <c r="D491" s="18"/>
      <c r="E491" s="18"/>
      <c r="F491" s="18"/>
      <c r="G491" s="137"/>
      <c r="H491" s="137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18"/>
      <c r="C492" s="18"/>
      <c r="D492" s="18"/>
      <c r="E492" s="18"/>
      <c r="F492" s="18"/>
      <c r="G492" s="137"/>
      <c r="H492" s="137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18"/>
      <c r="C493" s="18"/>
      <c r="D493" s="18"/>
      <c r="E493" s="18"/>
      <c r="F493" s="18"/>
      <c r="G493" s="137"/>
      <c r="H493" s="137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18"/>
      <c r="C494" s="18"/>
      <c r="D494" s="18"/>
      <c r="E494" s="18"/>
      <c r="F494" s="18"/>
      <c r="G494" s="137"/>
      <c r="H494" s="137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18"/>
      <c r="C495" s="18"/>
      <c r="D495" s="18"/>
      <c r="E495" s="18"/>
      <c r="F495" s="18"/>
      <c r="G495" s="137"/>
      <c r="H495" s="137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18"/>
      <c r="C496" s="18"/>
      <c r="D496" s="18"/>
      <c r="E496" s="18"/>
      <c r="F496" s="18"/>
      <c r="G496" s="137"/>
      <c r="H496" s="137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18"/>
      <c r="C497" s="18"/>
      <c r="D497" s="18"/>
      <c r="E497" s="18"/>
      <c r="F497" s="18"/>
      <c r="G497" s="137"/>
      <c r="H497" s="137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18"/>
      <c r="C498" s="18"/>
      <c r="D498" s="18"/>
      <c r="E498" s="18"/>
      <c r="F498" s="18"/>
      <c r="G498" s="137"/>
      <c r="H498" s="137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18"/>
      <c r="C499" s="18"/>
      <c r="D499" s="18"/>
      <c r="E499" s="18"/>
      <c r="F499" s="18"/>
      <c r="G499" s="137"/>
      <c r="H499" s="137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18"/>
      <c r="C500" s="18"/>
      <c r="D500" s="18"/>
      <c r="E500" s="18"/>
      <c r="F500" s="18"/>
      <c r="G500" s="137"/>
      <c r="H500" s="137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18"/>
      <c r="C501" s="18"/>
      <c r="D501" s="18"/>
      <c r="E501" s="18"/>
      <c r="F501" s="18"/>
      <c r="G501" s="137"/>
      <c r="H501" s="137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18"/>
      <c r="C502" s="18"/>
      <c r="D502" s="18"/>
      <c r="E502" s="18"/>
      <c r="F502" s="18"/>
      <c r="G502" s="137"/>
      <c r="H502" s="137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18"/>
      <c r="C503" s="18"/>
      <c r="D503" s="18"/>
      <c r="E503" s="18"/>
      <c r="F503" s="18"/>
      <c r="G503" s="137"/>
      <c r="H503" s="137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18"/>
      <c r="C504" s="18"/>
      <c r="D504" s="18"/>
      <c r="E504" s="18"/>
      <c r="F504" s="18"/>
      <c r="G504" s="137"/>
      <c r="H504" s="137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18"/>
      <c r="C505" s="18"/>
      <c r="D505" s="18"/>
      <c r="E505" s="18"/>
      <c r="F505" s="18"/>
      <c r="G505" s="137"/>
      <c r="H505" s="137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18"/>
      <c r="C506" s="18"/>
      <c r="D506" s="18"/>
      <c r="E506" s="18"/>
      <c r="F506" s="18"/>
      <c r="G506" s="137"/>
      <c r="H506" s="137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18"/>
      <c r="C507" s="18"/>
      <c r="D507" s="18"/>
      <c r="E507" s="18"/>
      <c r="F507" s="18"/>
      <c r="G507" s="137"/>
      <c r="H507" s="137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18"/>
      <c r="C508" s="18"/>
      <c r="D508" s="18"/>
      <c r="E508" s="18"/>
      <c r="F508" s="18"/>
      <c r="G508" s="137"/>
      <c r="H508" s="137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18"/>
      <c r="C509" s="18"/>
      <c r="D509" s="18"/>
      <c r="E509" s="18"/>
      <c r="F509" s="18"/>
      <c r="G509" s="137"/>
      <c r="H509" s="137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18"/>
      <c r="C510" s="18"/>
      <c r="D510" s="18"/>
      <c r="E510" s="18"/>
      <c r="F510" s="18"/>
      <c r="G510" s="137"/>
      <c r="H510" s="137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18"/>
      <c r="C511" s="18"/>
      <c r="D511" s="18"/>
      <c r="E511" s="18"/>
      <c r="F511" s="18"/>
      <c r="G511" s="137"/>
      <c r="H511" s="137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18"/>
      <c r="C512" s="18"/>
      <c r="D512" s="18"/>
      <c r="E512" s="18"/>
      <c r="F512" s="18"/>
      <c r="G512" s="137"/>
      <c r="H512" s="137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18"/>
      <c r="C513" s="18"/>
      <c r="D513" s="18"/>
      <c r="E513" s="18"/>
      <c r="F513" s="18"/>
      <c r="G513" s="137"/>
      <c r="H513" s="137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18"/>
      <c r="C514" s="18"/>
      <c r="D514" s="18"/>
      <c r="E514" s="18"/>
      <c r="F514" s="18"/>
      <c r="G514" s="137"/>
      <c r="H514" s="137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18"/>
      <c r="C515" s="18"/>
      <c r="D515" s="18"/>
      <c r="E515" s="18"/>
      <c r="F515" s="18"/>
      <c r="G515" s="137"/>
      <c r="H515" s="137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18"/>
      <c r="C516" s="18"/>
      <c r="D516" s="18"/>
      <c r="E516" s="18"/>
      <c r="F516" s="18"/>
      <c r="G516" s="137"/>
      <c r="H516" s="137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18"/>
      <c r="C517" s="18"/>
      <c r="D517" s="18"/>
      <c r="E517" s="18"/>
      <c r="F517" s="18"/>
      <c r="G517" s="137"/>
      <c r="H517" s="137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18"/>
      <c r="C518" s="18"/>
      <c r="D518" s="18"/>
      <c r="E518" s="18"/>
      <c r="F518" s="18"/>
      <c r="G518" s="137"/>
      <c r="H518" s="137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18"/>
      <c r="C519" s="18"/>
      <c r="D519" s="18"/>
      <c r="E519" s="18"/>
      <c r="F519" s="18"/>
      <c r="G519" s="137"/>
      <c r="H519" s="137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18"/>
      <c r="C520" s="18"/>
      <c r="D520" s="18"/>
      <c r="E520" s="18"/>
      <c r="F520" s="18"/>
      <c r="G520" s="137"/>
      <c r="H520" s="137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18"/>
      <c r="C521" s="18"/>
      <c r="D521" s="18"/>
      <c r="E521" s="18"/>
      <c r="F521" s="18"/>
      <c r="G521" s="137"/>
      <c r="H521" s="137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18"/>
      <c r="C522" s="18"/>
      <c r="D522" s="18"/>
      <c r="E522" s="18"/>
      <c r="F522" s="18"/>
      <c r="G522" s="137"/>
      <c r="H522" s="137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18"/>
      <c r="C523" s="18"/>
      <c r="D523" s="18"/>
      <c r="E523" s="18"/>
      <c r="F523" s="18"/>
      <c r="G523" s="137"/>
      <c r="H523" s="137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18"/>
      <c r="C524" s="18"/>
      <c r="D524" s="18"/>
      <c r="E524" s="18"/>
      <c r="F524" s="18"/>
      <c r="G524" s="137"/>
      <c r="H524" s="137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18"/>
      <c r="C525" s="18"/>
      <c r="D525" s="18"/>
      <c r="E525" s="18"/>
      <c r="F525" s="18"/>
      <c r="G525" s="137"/>
      <c r="H525" s="137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18"/>
      <c r="C526" s="18"/>
      <c r="D526" s="18"/>
      <c r="E526" s="18"/>
      <c r="F526" s="18"/>
      <c r="G526" s="137"/>
      <c r="H526" s="137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18"/>
      <c r="C527" s="18"/>
      <c r="D527" s="18"/>
      <c r="E527" s="18"/>
      <c r="F527" s="18"/>
      <c r="G527" s="137"/>
      <c r="H527" s="137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18"/>
      <c r="C528" s="18"/>
      <c r="D528" s="18"/>
      <c r="E528" s="18"/>
      <c r="F528" s="18"/>
      <c r="G528" s="137"/>
      <c r="H528" s="137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18"/>
      <c r="C529" s="18"/>
      <c r="D529" s="18"/>
      <c r="E529" s="18"/>
      <c r="F529" s="18"/>
      <c r="G529" s="137"/>
      <c r="H529" s="137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18"/>
      <c r="C530" s="18"/>
      <c r="D530" s="18"/>
      <c r="E530" s="18"/>
      <c r="F530" s="18"/>
      <c r="G530" s="137"/>
      <c r="H530" s="137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18"/>
      <c r="C531" s="18"/>
      <c r="D531" s="18"/>
      <c r="E531" s="18"/>
      <c r="F531" s="18"/>
      <c r="G531" s="137"/>
      <c r="H531" s="137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18"/>
      <c r="C532" s="18"/>
      <c r="D532" s="18"/>
      <c r="E532" s="18"/>
      <c r="F532" s="18"/>
      <c r="G532" s="137"/>
      <c r="H532" s="137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18"/>
      <c r="C533" s="18"/>
      <c r="D533" s="18"/>
      <c r="E533" s="18"/>
      <c r="F533" s="18"/>
      <c r="G533" s="137"/>
      <c r="H533" s="137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18"/>
      <c r="C534" s="18"/>
      <c r="D534" s="18"/>
      <c r="E534" s="18"/>
      <c r="F534" s="18"/>
      <c r="G534" s="137"/>
      <c r="H534" s="137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18"/>
      <c r="C535" s="18"/>
      <c r="D535" s="18"/>
      <c r="E535" s="18"/>
      <c r="F535" s="18"/>
      <c r="G535" s="137"/>
      <c r="H535" s="137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18"/>
      <c r="C536" s="18"/>
      <c r="D536" s="18"/>
      <c r="E536" s="18"/>
      <c r="F536" s="18"/>
      <c r="G536" s="137"/>
      <c r="H536" s="137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18"/>
      <c r="C537" s="18"/>
      <c r="D537" s="18"/>
      <c r="E537" s="18"/>
      <c r="F537" s="18"/>
      <c r="G537" s="137"/>
      <c r="H537" s="137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18"/>
      <c r="C538" s="18"/>
      <c r="D538" s="18"/>
      <c r="E538" s="18"/>
      <c r="F538" s="18"/>
      <c r="G538" s="137"/>
      <c r="H538" s="137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18"/>
      <c r="C539" s="18"/>
      <c r="D539" s="18"/>
      <c r="E539" s="18"/>
      <c r="F539" s="18"/>
      <c r="G539" s="137"/>
      <c r="H539" s="137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18"/>
      <c r="C540" s="18"/>
      <c r="D540" s="18"/>
      <c r="E540" s="18"/>
      <c r="F540" s="18"/>
      <c r="G540" s="137"/>
      <c r="H540" s="137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18"/>
      <c r="C541" s="18"/>
      <c r="D541" s="18"/>
      <c r="E541" s="18"/>
      <c r="F541" s="18"/>
      <c r="G541" s="137"/>
      <c r="H541" s="137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18"/>
      <c r="C542" s="18"/>
      <c r="D542" s="18"/>
      <c r="E542" s="18"/>
      <c r="F542" s="18"/>
      <c r="G542" s="137"/>
      <c r="H542" s="137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18"/>
      <c r="C543" s="18"/>
      <c r="D543" s="18"/>
      <c r="E543" s="18"/>
      <c r="F543" s="18"/>
      <c r="G543" s="137"/>
      <c r="H543" s="137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18"/>
      <c r="C544" s="18"/>
      <c r="D544" s="18"/>
      <c r="E544" s="18"/>
      <c r="F544" s="18"/>
      <c r="G544" s="137"/>
      <c r="H544" s="137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18"/>
      <c r="C545" s="18"/>
      <c r="D545" s="18"/>
      <c r="E545" s="18"/>
      <c r="F545" s="18"/>
      <c r="G545" s="137"/>
      <c r="H545" s="137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18"/>
      <c r="C546" s="18"/>
      <c r="D546" s="18"/>
      <c r="E546" s="18"/>
      <c r="F546" s="18"/>
      <c r="G546" s="137"/>
      <c r="H546" s="137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18"/>
      <c r="C547" s="18"/>
      <c r="D547" s="18"/>
      <c r="E547" s="18"/>
      <c r="F547" s="18"/>
      <c r="G547" s="137"/>
      <c r="H547" s="137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18"/>
      <c r="C548" s="18"/>
      <c r="D548" s="18"/>
      <c r="E548" s="18"/>
      <c r="F548" s="18"/>
      <c r="G548" s="137"/>
      <c r="H548" s="137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18"/>
      <c r="C549" s="18"/>
      <c r="D549" s="18"/>
      <c r="E549" s="18"/>
      <c r="F549" s="18"/>
      <c r="G549" s="137"/>
      <c r="H549" s="137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18"/>
      <c r="C550" s="18"/>
      <c r="D550" s="18"/>
      <c r="E550" s="18"/>
      <c r="F550" s="18"/>
      <c r="G550" s="137"/>
      <c r="H550" s="137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18"/>
      <c r="C551" s="18"/>
      <c r="D551" s="18"/>
      <c r="E551" s="18"/>
      <c r="F551" s="18"/>
      <c r="G551" s="137"/>
      <c r="H551" s="137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18"/>
      <c r="C552" s="18"/>
      <c r="D552" s="18"/>
      <c r="E552" s="18"/>
      <c r="F552" s="18"/>
      <c r="G552" s="137"/>
      <c r="H552" s="137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18"/>
      <c r="C553" s="18"/>
      <c r="D553" s="18"/>
      <c r="E553" s="18"/>
      <c r="F553" s="18"/>
      <c r="G553" s="137"/>
      <c r="H553" s="137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18"/>
      <c r="C554" s="18"/>
      <c r="D554" s="18"/>
      <c r="E554" s="18"/>
      <c r="F554" s="18"/>
      <c r="G554" s="137"/>
      <c r="H554" s="137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18"/>
      <c r="C555" s="18"/>
      <c r="D555" s="18"/>
      <c r="E555" s="18"/>
      <c r="F555" s="18"/>
      <c r="G555" s="137"/>
      <c r="H555" s="137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18"/>
      <c r="C556" s="18"/>
      <c r="D556" s="18"/>
      <c r="E556" s="18"/>
      <c r="F556" s="18"/>
      <c r="G556" s="137"/>
      <c r="H556" s="137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18"/>
      <c r="C557" s="18"/>
      <c r="D557" s="18"/>
      <c r="E557" s="18"/>
      <c r="F557" s="18"/>
      <c r="G557" s="137"/>
      <c r="H557" s="137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18"/>
      <c r="C558" s="18"/>
      <c r="D558" s="18"/>
      <c r="E558" s="18"/>
      <c r="F558" s="18"/>
      <c r="G558" s="137"/>
      <c r="H558" s="137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18"/>
      <c r="C559" s="18"/>
      <c r="D559" s="18"/>
      <c r="E559" s="18"/>
      <c r="F559" s="18"/>
      <c r="G559" s="137"/>
      <c r="H559" s="137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18"/>
      <c r="C560" s="18"/>
      <c r="D560" s="18"/>
      <c r="E560" s="18"/>
      <c r="F560" s="18"/>
      <c r="G560" s="137"/>
      <c r="H560" s="137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18"/>
      <c r="C561" s="18"/>
      <c r="D561" s="18"/>
      <c r="E561" s="18"/>
      <c r="F561" s="18"/>
      <c r="G561" s="137"/>
      <c r="H561" s="137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18"/>
      <c r="C562" s="18"/>
      <c r="D562" s="18"/>
      <c r="E562" s="18"/>
      <c r="F562" s="18"/>
      <c r="G562" s="137"/>
      <c r="H562" s="137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18"/>
      <c r="C563" s="18"/>
      <c r="D563" s="18"/>
      <c r="E563" s="18"/>
      <c r="F563" s="18"/>
      <c r="G563" s="137"/>
      <c r="H563" s="137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18"/>
      <c r="C564" s="18"/>
      <c r="D564" s="18"/>
      <c r="E564" s="18"/>
      <c r="F564" s="18"/>
      <c r="G564" s="137"/>
      <c r="H564" s="137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18"/>
      <c r="C565" s="18"/>
      <c r="D565" s="18"/>
      <c r="E565" s="18"/>
      <c r="F565" s="18"/>
      <c r="G565" s="137"/>
      <c r="H565" s="137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18"/>
      <c r="C566" s="18"/>
      <c r="D566" s="18"/>
      <c r="E566" s="18"/>
      <c r="F566" s="18"/>
      <c r="G566" s="137"/>
      <c r="H566" s="137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18"/>
      <c r="C567" s="18"/>
      <c r="D567" s="18"/>
      <c r="E567" s="18"/>
      <c r="F567" s="18"/>
      <c r="G567" s="137"/>
      <c r="H567" s="137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18"/>
      <c r="C568" s="18"/>
      <c r="D568" s="18"/>
      <c r="E568" s="18"/>
      <c r="F568" s="18"/>
      <c r="G568" s="137"/>
      <c r="H568" s="137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18"/>
      <c r="C569" s="18"/>
      <c r="D569" s="18"/>
      <c r="E569" s="18"/>
      <c r="F569" s="18"/>
      <c r="G569" s="137"/>
      <c r="H569" s="137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18"/>
      <c r="C570" s="18"/>
      <c r="D570" s="18"/>
      <c r="E570" s="18"/>
      <c r="F570" s="18"/>
      <c r="G570" s="137"/>
      <c r="H570" s="137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18"/>
      <c r="C571" s="18"/>
      <c r="D571" s="18"/>
      <c r="E571" s="18"/>
      <c r="F571" s="18"/>
      <c r="G571" s="137"/>
      <c r="H571" s="137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18"/>
      <c r="C572" s="18"/>
      <c r="D572" s="18"/>
      <c r="E572" s="18"/>
      <c r="F572" s="18"/>
      <c r="G572" s="137"/>
      <c r="H572" s="137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18"/>
      <c r="C573" s="18"/>
      <c r="D573" s="18"/>
      <c r="E573" s="18"/>
      <c r="F573" s="18"/>
      <c r="G573" s="137"/>
      <c r="H573" s="137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18"/>
      <c r="C574" s="18"/>
      <c r="D574" s="18"/>
      <c r="E574" s="18"/>
      <c r="F574" s="18"/>
      <c r="G574" s="137"/>
      <c r="H574" s="137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18"/>
      <c r="C575" s="18"/>
      <c r="D575" s="18"/>
      <c r="E575" s="18"/>
      <c r="F575" s="18"/>
      <c r="G575" s="137"/>
      <c r="H575" s="137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18"/>
      <c r="C576" s="18"/>
      <c r="D576" s="18"/>
      <c r="E576" s="18"/>
      <c r="F576" s="18"/>
      <c r="G576" s="137"/>
      <c r="H576" s="137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18"/>
      <c r="C577" s="18"/>
      <c r="D577" s="18"/>
      <c r="E577" s="18"/>
      <c r="F577" s="18"/>
      <c r="G577" s="137"/>
      <c r="H577" s="137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18"/>
      <c r="C578" s="18"/>
      <c r="D578" s="18"/>
      <c r="E578" s="18"/>
      <c r="F578" s="18"/>
      <c r="G578" s="137"/>
      <c r="H578" s="137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18"/>
      <c r="C579" s="18"/>
      <c r="D579" s="18"/>
      <c r="E579" s="18"/>
      <c r="F579" s="18"/>
      <c r="G579" s="137"/>
      <c r="H579" s="137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18"/>
      <c r="C580" s="18"/>
      <c r="D580" s="18"/>
      <c r="E580" s="18"/>
      <c r="F580" s="18"/>
      <c r="G580" s="137"/>
      <c r="H580" s="137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18"/>
      <c r="C581" s="18"/>
      <c r="D581" s="18"/>
      <c r="E581" s="18"/>
      <c r="F581" s="18"/>
      <c r="G581" s="137"/>
      <c r="H581" s="137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18"/>
      <c r="C582" s="18"/>
      <c r="D582" s="18"/>
      <c r="E582" s="18"/>
      <c r="F582" s="18"/>
      <c r="G582" s="137"/>
      <c r="H582" s="137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18"/>
      <c r="C583" s="18"/>
      <c r="D583" s="18"/>
      <c r="E583" s="18"/>
      <c r="F583" s="18"/>
      <c r="G583" s="137"/>
      <c r="H583" s="137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18"/>
      <c r="C584" s="18"/>
      <c r="D584" s="18"/>
      <c r="E584" s="18"/>
      <c r="F584" s="18"/>
      <c r="G584" s="137"/>
      <c r="H584" s="137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18"/>
      <c r="C585" s="18"/>
      <c r="D585" s="18"/>
      <c r="E585" s="18"/>
      <c r="F585" s="18"/>
      <c r="G585" s="137"/>
      <c r="H585" s="137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18"/>
      <c r="C586" s="18"/>
      <c r="D586" s="18"/>
      <c r="E586" s="18"/>
      <c r="F586" s="18"/>
      <c r="G586" s="137"/>
      <c r="H586" s="137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18"/>
      <c r="C587" s="18"/>
      <c r="D587" s="18"/>
      <c r="E587" s="18"/>
      <c r="F587" s="18"/>
      <c r="G587" s="137"/>
      <c r="H587" s="137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18"/>
      <c r="C588" s="18"/>
      <c r="D588" s="18"/>
      <c r="E588" s="18"/>
      <c r="F588" s="18"/>
      <c r="G588" s="137"/>
      <c r="H588" s="137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18"/>
      <c r="C589" s="18"/>
      <c r="D589" s="18"/>
      <c r="E589" s="18"/>
      <c r="F589" s="18"/>
      <c r="G589" s="137"/>
      <c r="H589" s="137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18"/>
      <c r="C590" s="18"/>
      <c r="D590" s="18"/>
      <c r="E590" s="18"/>
      <c r="F590" s="18"/>
      <c r="G590" s="137"/>
      <c r="H590" s="137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18"/>
      <c r="C591" s="18"/>
      <c r="D591" s="18"/>
      <c r="E591" s="18"/>
      <c r="F591" s="18"/>
      <c r="G591" s="137"/>
      <c r="H591" s="137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18"/>
      <c r="C592" s="18"/>
      <c r="D592" s="18"/>
      <c r="E592" s="18"/>
      <c r="F592" s="18"/>
      <c r="G592" s="137"/>
      <c r="H592" s="137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18"/>
      <c r="C593" s="18"/>
      <c r="D593" s="18"/>
      <c r="E593" s="18"/>
      <c r="F593" s="18"/>
      <c r="G593" s="137"/>
      <c r="H593" s="137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18"/>
      <c r="C594" s="18"/>
      <c r="D594" s="18"/>
      <c r="E594" s="18"/>
      <c r="F594" s="18"/>
      <c r="G594" s="137"/>
      <c r="H594" s="137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18"/>
      <c r="C595" s="18"/>
      <c r="D595" s="18"/>
      <c r="E595" s="18"/>
      <c r="F595" s="18"/>
      <c r="G595" s="137"/>
      <c r="H595" s="137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18"/>
      <c r="C596" s="18"/>
      <c r="D596" s="18"/>
      <c r="E596" s="18"/>
      <c r="F596" s="18"/>
      <c r="G596" s="137"/>
      <c r="H596" s="137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18"/>
      <c r="C597" s="18"/>
      <c r="D597" s="18"/>
      <c r="E597" s="18"/>
      <c r="F597" s="18"/>
      <c r="G597" s="137"/>
      <c r="H597" s="137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18"/>
      <c r="C598" s="18"/>
      <c r="D598" s="18"/>
      <c r="E598" s="18"/>
      <c r="F598" s="18"/>
      <c r="G598" s="137"/>
      <c r="H598" s="137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18"/>
      <c r="C599" s="18"/>
      <c r="D599" s="18"/>
      <c r="E599" s="18"/>
      <c r="F599" s="18"/>
      <c r="G599" s="137"/>
      <c r="H599" s="137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18"/>
      <c r="C600" s="18"/>
      <c r="D600" s="18"/>
      <c r="E600" s="18"/>
      <c r="F600" s="18"/>
      <c r="G600" s="137"/>
      <c r="H600" s="137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18"/>
      <c r="C601" s="18"/>
      <c r="D601" s="18"/>
      <c r="E601" s="18"/>
      <c r="F601" s="18"/>
      <c r="G601" s="137"/>
      <c r="H601" s="137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18"/>
      <c r="C602" s="18"/>
      <c r="D602" s="18"/>
      <c r="E602" s="18"/>
      <c r="F602" s="18"/>
      <c r="G602" s="137"/>
      <c r="H602" s="137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18"/>
      <c r="C603" s="18"/>
      <c r="D603" s="18"/>
      <c r="E603" s="18"/>
      <c r="F603" s="18"/>
      <c r="G603" s="137"/>
      <c r="H603" s="137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18"/>
      <c r="C604" s="18"/>
      <c r="D604" s="18"/>
      <c r="E604" s="18"/>
      <c r="F604" s="18"/>
      <c r="G604" s="137"/>
      <c r="H604" s="137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18"/>
      <c r="C605" s="18"/>
      <c r="D605" s="18"/>
      <c r="E605" s="18"/>
      <c r="F605" s="18"/>
      <c r="G605" s="137"/>
      <c r="H605" s="137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18"/>
      <c r="C606" s="18"/>
      <c r="D606" s="18"/>
      <c r="E606" s="18"/>
      <c r="F606" s="18"/>
      <c r="G606" s="137"/>
      <c r="H606" s="137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18"/>
      <c r="C607" s="18"/>
      <c r="D607" s="18"/>
      <c r="E607" s="18"/>
      <c r="F607" s="18"/>
      <c r="G607" s="137"/>
      <c r="H607" s="137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18"/>
      <c r="C608" s="18"/>
      <c r="D608" s="18"/>
      <c r="E608" s="18"/>
      <c r="F608" s="18"/>
      <c r="G608" s="137"/>
      <c r="H608" s="137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18"/>
      <c r="C609" s="18"/>
      <c r="D609" s="18"/>
      <c r="E609" s="18"/>
      <c r="F609" s="18"/>
      <c r="G609" s="137"/>
      <c r="H609" s="137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18"/>
      <c r="C610" s="18"/>
      <c r="D610" s="18"/>
      <c r="E610" s="18"/>
      <c r="F610" s="18"/>
      <c r="G610" s="137"/>
      <c r="H610" s="137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18"/>
      <c r="C611" s="18"/>
      <c r="D611" s="18"/>
      <c r="E611" s="18"/>
      <c r="F611" s="18"/>
      <c r="G611" s="137"/>
      <c r="H611" s="137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18"/>
      <c r="C612" s="18"/>
      <c r="D612" s="18"/>
      <c r="E612" s="18"/>
      <c r="F612" s="18"/>
      <c r="G612" s="137"/>
      <c r="H612" s="137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18"/>
      <c r="C613" s="18"/>
      <c r="D613" s="18"/>
      <c r="E613" s="18"/>
      <c r="F613" s="18"/>
      <c r="G613" s="137"/>
      <c r="H613" s="137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18"/>
      <c r="C614" s="18"/>
      <c r="D614" s="18"/>
      <c r="E614" s="18"/>
      <c r="F614" s="18"/>
      <c r="G614" s="137"/>
      <c r="H614" s="137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18"/>
      <c r="C615" s="18"/>
      <c r="D615" s="18"/>
      <c r="E615" s="18"/>
      <c r="F615" s="18"/>
      <c r="G615" s="137"/>
      <c r="H615" s="137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18"/>
      <c r="C616" s="18"/>
      <c r="D616" s="18"/>
      <c r="E616" s="18"/>
      <c r="F616" s="18"/>
      <c r="G616" s="137"/>
      <c r="H616" s="137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18"/>
      <c r="C617" s="18"/>
      <c r="D617" s="18"/>
      <c r="E617" s="18"/>
      <c r="F617" s="18"/>
      <c r="G617" s="137"/>
      <c r="H617" s="137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18"/>
      <c r="C618" s="18"/>
      <c r="D618" s="18"/>
      <c r="E618" s="18"/>
      <c r="F618" s="18"/>
      <c r="G618" s="137"/>
      <c r="H618" s="137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18"/>
      <c r="C619" s="18"/>
      <c r="D619" s="18"/>
      <c r="E619" s="18"/>
      <c r="F619" s="18"/>
      <c r="G619" s="137"/>
      <c r="H619" s="137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18"/>
      <c r="C620" s="18"/>
      <c r="D620" s="18"/>
      <c r="E620" s="18"/>
      <c r="F620" s="18"/>
      <c r="G620" s="137"/>
      <c r="H620" s="137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18"/>
      <c r="C621" s="18"/>
      <c r="D621" s="18"/>
      <c r="E621" s="18"/>
      <c r="F621" s="18"/>
      <c r="G621" s="137"/>
      <c r="H621" s="137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18"/>
      <c r="C622" s="18"/>
      <c r="D622" s="18"/>
      <c r="E622" s="18"/>
      <c r="F622" s="18"/>
      <c r="G622" s="137"/>
      <c r="H622" s="137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18"/>
      <c r="C623" s="18"/>
      <c r="D623" s="18"/>
      <c r="E623" s="18"/>
      <c r="F623" s="18"/>
      <c r="G623" s="137"/>
      <c r="H623" s="137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18"/>
      <c r="C624" s="18"/>
      <c r="D624" s="18"/>
      <c r="E624" s="18"/>
      <c r="F624" s="18"/>
      <c r="G624" s="137"/>
      <c r="H624" s="137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18"/>
      <c r="C625" s="18"/>
      <c r="D625" s="18"/>
      <c r="E625" s="18"/>
      <c r="F625" s="18"/>
      <c r="G625" s="137"/>
      <c r="H625" s="137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18"/>
      <c r="C626" s="18"/>
      <c r="D626" s="18"/>
      <c r="E626" s="18"/>
      <c r="F626" s="18"/>
      <c r="G626" s="137"/>
      <c r="H626" s="137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18"/>
      <c r="C627" s="18"/>
      <c r="D627" s="18"/>
      <c r="E627" s="18"/>
      <c r="F627" s="18"/>
      <c r="G627" s="137"/>
      <c r="H627" s="137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18"/>
      <c r="C628" s="18"/>
      <c r="D628" s="18"/>
      <c r="E628" s="18"/>
      <c r="F628" s="18"/>
      <c r="G628" s="137"/>
      <c r="H628" s="137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18"/>
      <c r="C629" s="18"/>
      <c r="D629" s="18"/>
      <c r="E629" s="18"/>
      <c r="F629" s="18"/>
      <c r="G629" s="137"/>
      <c r="H629" s="137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18"/>
      <c r="C630" s="18"/>
      <c r="D630" s="18"/>
      <c r="E630" s="18"/>
      <c r="F630" s="18"/>
      <c r="G630" s="137"/>
      <c r="H630" s="137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18"/>
      <c r="C631" s="18"/>
      <c r="D631" s="18"/>
      <c r="E631" s="18"/>
      <c r="F631" s="18"/>
      <c r="G631" s="137"/>
      <c r="H631" s="137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18"/>
      <c r="C632" s="18"/>
      <c r="D632" s="18"/>
      <c r="E632" s="18"/>
      <c r="F632" s="18"/>
      <c r="G632" s="137"/>
      <c r="H632" s="137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18"/>
      <c r="C633" s="18"/>
      <c r="D633" s="18"/>
      <c r="E633" s="18"/>
      <c r="F633" s="18"/>
      <c r="G633" s="137"/>
      <c r="H633" s="137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18"/>
      <c r="C634" s="18"/>
      <c r="D634" s="18"/>
      <c r="E634" s="18"/>
      <c r="F634" s="18"/>
      <c r="G634" s="137"/>
      <c r="H634" s="137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18"/>
      <c r="C635" s="18"/>
      <c r="D635" s="18"/>
      <c r="E635" s="18"/>
      <c r="F635" s="18"/>
      <c r="G635" s="137"/>
      <c r="H635" s="137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18"/>
      <c r="C636" s="18"/>
      <c r="D636" s="18"/>
      <c r="E636" s="18"/>
      <c r="F636" s="18"/>
      <c r="G636" s="137"/>
      <c r="H636" s="137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18"/>
      <c r="C637" s="18"/>
      <c r="D637" s="18"/>
      <c r="E637" s="18"/>
      <c r="F637" s="18"/>
      <c r="G637" s="137"/>
      <c r="H637" s="137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18"/>
      <c r="C638" s="18"/>
      <c r="D638" s="18"/>
      <c r="E638" s="18"/>
      <c r="F638" s="18"/>
      <c r="G638" s="137"/>
      <c r="H638" s="137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18"/>
      <c r="C639" s="18"/>
      <c r="D639" s="18"/>
      <c r="E639" s="18"/>
      <c r="F639" s="18"/>
      <c r="G639" s="137"/>
      <c r="H639" s="137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18"/>
      <c r="C640" s="18"/>
      <c r="D640" s="18"/>
      <c r="E640" s="18"/>
      <c r="F640" s="18"/>
      <c r="G640" s="137"/>
      <c r="H640" s="137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18"/>
      <c r="C641" s="18"/>
      <c r="D641" s="18"/>
      <c r="E641" s="18"/>
      <c r="F641" s="18"/>
      <c r="G641" s="137"/>
      <c r="H641" s="137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18"/>
      <c r="C642" s="18"/>
      <c r="D642" s="18"/>
      <c r="E642" s="18"/>
      <c r="F642" s="18"/>
      <c r="G642" s="137"/>
      <c r="H642" s="137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18"/>
      <c r="C643" s="18"/>
      <c r="D643" s="18"/>
      <c r="E643" s="18"/>
      <c r="F643" s="18"/>
      <c r="G643" s="137"/>
      <c r="H643" s="137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18"/>
      <c r="C644" s="18"/>
      <c r="D644" s="18"/>
      <c r="E644" s="18"/>
      <c r="F644" s="18"/>
      <c r="G644" s="137"/>
      <c r="H644" s="137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18"/>
      <c r="C645" s="18"/>
      <c r="D645" s="18"/>
      <c r="E645" s="18"/>
      <c r="F645" s="18"/>
      <c r="G645" s="137"/>
      <c r="H645" s="137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18"/>
      <c r="C646" s="18"/>
      <c r="D646" s="18"/>
      <c r="E646" s="18"/>
      <c r="F646" s="18"/>
      <c r="G646" s="137"/>
      <c r="H646" s="137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18"/>
      <c r="C647" s="18"/>
      <c r="D647" s="18"/>
      <c r="E647" s="18"/>
      <c r="F647" s="18"/>
      <c r="G647" s="137"/>
      <c r="H647" s="137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18"/>
      <c r="C648" s="18"/>
      <c r="D648" s="18"/>
      <c r="E648" s="18"/>
      <c r="F648" s="18"/>
      <c r="G648" s="137"/>
      <c r="H648" s="137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18"/>
      <c r="C649" s="18"/>
      <c r="D649" s="18"/>
      <c r="E649" s="18"/>
      <c r="F649" s="18"/>
      <c r="G649" s="137"/>
      <c r="H649" s="137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18"/>
      <c r="C650" s="18"/>
      <c r="D650" s="18"/>
      <c r="E650" s="18"/>
      <c r="F650" s="18"/>
      <c r="G650" s="137"/>
      <c r="H650" s="137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18"/>
      <c r="C651" s="18"/>
      <c r="D651" s="18"/>
      <c r="E651" s="18"/>
      <c r="F651" s="18"/>
      <c r="G651" s="137"/>
      <c r="H651" s="137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18"/>
      <c r="C652" s="18"/>
      <c r="D652" s="18"/>
      <c r="E652" s="18"/>
      <c r="F652" s="18"/>
      <c r="G652" s="137"/>
      <c r="H652" s="137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18"/>
      <c r="C653" s="18"/>
      <c r="D653" s="18"/>
      <c r="E653" s="18"/>
      <c r="F653" s="18"/>
      <c r="G653" s="137"/>
      <c r="H653" s="137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18"/>
      <c r="C654" s="18"/>
      <c r="D654" s="18"/>
      <c r="E654" s="18"/>
      <c r="F654" s="18"/>
      <c r="G654" s="137"/>
      <c r="H654" s="137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18"/>
      <c r="C655" s="18"/>
      <c r="D655" s="18"/>
      <c r="E655" s="18"/>
      <c r="F655" s="18"/>
      <c r="G655" s="137"/>
      <c r="H655" s="137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18"/>
      <c r="C656" s="18"/>
      <c r="D656" s="18"/>
      <c r="E656" s="18"/>
      <c r="F656" s="18"/>
      <c r="G656" s="137"/>
      <c r="H656" s="137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18"/>
      <c r="C657" s="18"/>
      <c r="D657" s="18"/>
      <c r="E657" s="18"/>
      <c r="F657" s="18"/>
      <c r="G657" s="137"/>
      <c r="H657" s="137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18"/>
      <c r="C658" s="18"/>
      <c r="D658" s="18"/>
      <c r="E658" s="18"/>
      <c r="F658" s="18"/>
      <c r="G658" s="137"/>
      <c r="H658" s="137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18"/>
      <c r="C659" s="18"/>
      <c r="D659" s="18"/>
      <c r="E659" s="18"/>
      <c r="F659" s="18"/>
      <c r="G659" s="137"/>
      <c r="H659" s="137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18"/>
      <c r="C660" s="18"/>
      <c r="D660" s="18"/>
      <c r="E660" s="18"/>
      <c r="F660" s="18"/>
      <c r="G660" s="137"/>
      <c r="H660" s="137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18"/>
      <c r="C661" s="18"/>
      <c r="D661" s="18"/>
      <c r="E661" s="18"/>
      <c r="F661" s="18"/>
      <c r="G661" s="137"/>
      <c r="H661" s="137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18"/>
      <c r="C662" s="18"/>
      <c r="D662" s="18"/>
      <c r="E662" s="18"/>
      <c r="F662" s="18"/>
      <c r="G662" s="137"/>
      <c r="H662" s="137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18"/>
      <c r="C663" s="18"/>
      <c r="D663" s="18"/>
      <c r="E663" s="18"/>
      <c r="F663" s="18"/>
      <c r="G663" s="137"/>
      <c r="H663" s="137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18"/>
      <c r="C664" s="18"/>
      <c r="D664" s="18"/>
      <c r="E664" s="18"/>
      <c r="F664" s="18"/>
      <c r="G664" s="137"/>
      <c r="H664" s="137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18"/>
      <c r="C665" s="18"/>
      <c r="D665" s="18"/>
      <c r="E665" s="18"/>
      <c r="F665" s="18"/>
      <c r="G665" s="137"/>
      <c r="H665" s="137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18"/>
      <c r="C666" s="18"/>
      <c r="D666" s="18"/>
      <c r="E666" s="18"/>
      <c r="F666" s="18"/>
      <c r="G666" s="137"/>
      <c r="H666" s="137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18"/>
      <c r="C667" s="18"/>
      <c r="D667" s="18"/>
      <c r="E667" s="18"/>
      <c r="F667" s="18"/>
      <c r="G667" s="137"/>
      <c r="H667" s="137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18"/>
      <c r="C668" s="18"/>
      <c r="D668" s="18"/>
      <c r="E668" s="18"/>
      <c r="F668" s="18"/>
      <c r="G668" s="137"/>
      <c r="H668" s="137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18"/>
      <c r="C669" s="18"/>
      <c r="D669" s="18"/>
      <c r="E669" s="18"/>
      <c r="F669" s="18"/>
      <c r="G669" s="137"/>
      <c r="H669" s="137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18"/>
      <c r="C670" s="18"/>
      <c r="D670" s="18"/>
      <c r="E670" s="18"/>
      <c r="F670" s="18"/>
      <c r="G670" s="137"/>
      <c r="H670" s="137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18"/>
      <c r="C671" s="18"/>
      <c r="D671" s="18"/>
      <c r="E671" s="18"/>
      <c r="F671" s="18"/>
      <c r="G671" s="137"/>
      <c r="H671" s="137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18"/>
      <c r="C672" s="18"/>
      <c r="D672" s="18"/>
      <c r="E672" s="18"/>
      <c r="F672" s="18"/>
      <c r="G672" s="137"/>
      <c r="H672" s="137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18"/>
      <c r="C673" s="18"/>
      <c r="D673" s="18"/>
      <c r="E673" s="18"/>
      <c r="F673" s="18"/>
      <c r="G673" s="137"/>
      <c r="H673" s="137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18"/>
      <c r="C674" s="18"/>
      <c r="D674" s="18"/>
      <c r="E674" s="18"/>
      <c r="F674" s="18"/>
      <c r="G674" s="137"/>
      <c r="H674" s="137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18"/>
      <c r="C675" s="18"/>
      <c r="D675" s="18"/>
      <c r="E675" s="18"/>
      <c r="F675" s="18"/>
      <c r="G675" s="137"/>
      <c r="H675" s="137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18"/>
      <c r="C676" s="18"/>
      <c r="D676" s="18"/>
      <c r="E676" s="18"/>
      <c r="F676" s="18"/>
      <c r="G676" s="137"/>
      <c r="H676" s="137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18"/>
      <c r="C677" s="18"/>
      <c r="D677" s="18"/>
      <c r="E677" s="18"/>
      <c r="F677" s="18"/>
      <c r="G677" s="137"/>
      <c r="H677" s="137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18"/>
      <c r="C678" s="18"/>
      <c r="D678" s="18"/>
      <c r="E678" s="18"/>
      <c r="F678" s="18"/>
      <c r="G678" s="137"/>
      <c r="H678" s="137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18"/>
      <c r="C679" s="18"/>
      <c r="D679" s="18"/>
      <c r="E679" s="18"/>
      <c r="F679" s="18"/>
      <c r="G679" s="137"/>
      <c r="H679" s="137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18"/>
      <c r="C680" s="18"/>
      <c r="D680" s="18"/>
      <c r="E680" s="18"/>
      <c r="F680" s="18"/>
      <c r="G680" s="137"/>
      <c r="H680" s="137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18"/>
      <c r="C681" s="18"/>
      <c r="D681" s="18"/>
      <c r="E681" s="18"/>
      <c r="F681" s="18"/>
      <c r="G681" s="137"/>
      <c r="H681" s="137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18"/>
      <c r="C682" s="18"/>
      <c r="D682" s="18"/>
      <c r="E682" s="18"/>
      <c r="F682" s="18"/>
      <c r="G682" s="137"/>
      <c r="H682" s="137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18"/>
      <c r="C683" s="18"/>
      <c r="D683" s="18"/>
      <c r="E683" s="18"/>
      <c r="F683" s="18"/>
      <c r="G683" s="137"/>
      <c r="H683" s="137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18"/>
      <c r="C684" s="18"/>
      <c r="D684" s="18"/>
      <c r="E684" s="18"/>
      <c r="F684" s="18"/>
      <c r="G684" s="137"/>
      <c r="H684" s="137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18"/>
      <c r="C685" s="18"/>
      <c r="D685" s="18"/>
      <c r="E685" s="18"/>
      <c r="F685" s="18"/>
      <c r="G685" s="137"/>
      <c r="H685" s="137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18"/>
      <c r="C686" s="18"/>
      <c r="D686" s="18"/>
      <c r="E686" s="18"/>
      <c r="F686" s="18"/>
      <c r="G686" s="137"/>
      <c r="H686" s="137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18"/>
      <c r="C687" s="18"/>
      <c r="D687" s="18"/>
      <c r="E687" s="18"/>
      <c r="F687" s="18"/>
      <c r="G687" s="137"/>
      <c r="H687" s="137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18"/>
      <c r="C688" s="18"/>
      <c r="D688" s="18"/>
      <c r="E688" s="18"/>
      <c r="F688" s="18"/>
      <c r="G688" s="137"/>
      <c r="H688" s="137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18"/>
      <c r="C689" s="18"/>
      <c r="D689" s="18"/>
      <c r="E689" s="18"/>
      <c r="F689" s="18"/>
      <c r="G689" s="137"/>
      <c r="H689" s="137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18"/>
      <c r="C690" s="18"/>
      <c r="D690" s="18"/>
      <c r="E690" s="18"/>
      <c r="F690" s="18"/>
      <c r="G690" s="137"/>
      <c r="H690" s="137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18"/>
      <c r="C691" s="18"/>
      <c r="D691" s="18"/>
      <c r="E691" s="18"/>
      <c r="F691" s="18"/>
      <c r="G691" s="137"/>
      <c r="H691" s="137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18"/>
      <c r="C692" s="18"/>
      <c r="D692" s="18"/>
      <c r="E692" s="18"/>
      <c r="F692" s="18"/>
      <c r="G692" s="137"/>
      <c r="H692" s="137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18"/>
      <c r="C693" s="18"/>
      <c r="D693" s="18"/>
      <c r="E693" s="18"/>
      <c r="F693" s="18"/>
      <c r="G693" s="137"/>
      <c r="H693" s="137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18"/>
      <c r="C694" s="18"/>
      <c r="D694" s="18"/>
      <c r="E694" s="18"/>
      <c r="F694" s="18"/>
      <c r="G694" s="137"/>
      <c r="H694" s="137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18"/>
      <c r="C695" s="18"/>
      <c r="D695" s="18"/>
      <c r="E695" s="18"/>
      <c r="F695" s="18"/>
      <c r="G695" s="137"/>
      <c r="H695" s="137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18"/>
      <c r="C696" s="18"/>
      <c r="D696" s="18"/>
      <c r="E696" s="18"/>
      <c r="F696" s="18"/>
      <c r="G696" s="137"/>
      <c r="H696" s="137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18"/>
      <c r="C697" s="18"/>
      <c r="D697" s="18"/>
      <c r="E697" s="18"/>
      <c r="F697" s="18"/>
      <c r="G697" s="137"/>
      <c r="H697" s="137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18"/>
      <c r="C698" s="18"/>
      <c r="D698" s="18"/>
      <c r="E698" s="18"/>
      <c r="F698" s="18"/>
      <c r="G698" s="137"/>
      <c r="H698" s="137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18"/>
      <c r="C699" s="18"/>
      <c r="D699" s="18"/>
      <c r="E699" s="18"/>
      <c r="F699" s="18"/>
      <c r="G699" s="137"/>
      <c r="H699" s="137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18"/>
      <c r="C700" s="18"/>
      <c r="D700" s="18"/>
      <c r="E700" s="18"/>
      <c r="F700" s="18"/>
      <c r="G700" s="137"/>
      <c r="H700" s="137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18"/>
      <c r="C701" s="18"/>
      <c r="D701" s="18"/>
      <c r="E701" s="18"/>
      <c r="F701" s="18"/>
      <c r="G701" s="137"/>
      <c r="H701" s="137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18"/>
      <c r="C702" s="18"/>
      <c r="D702" s="18"/>
      <c r="E702" s="18"/>
      <c r="F702" s="18"/>
      <c r="G702" s="137"/>
      <c r="H702" s="137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18"/>
      <c r="C703" s="18"/>
      <c r="D703" s="18"/>
      <c r="E703" s="18"/>
      <c r="F703" s="18"/>
      <c r="G703" s="137"/>
      <c r="H703" s="137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18"/>
      <c r="C704" s="18"/>
      <c r="D704" s="18"/>
      <c r="E704" s="18"/>
      <c r="F704" s="18"/>
      <c r="G704" s="137"/>
      <c r="H704" s="137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18"/>
      <c r="C705" s="18"/>
      <c r="D705" s="18"/>
      <c r="E705" s="18"/>
      <c r="F705" s="18"/>
      <c r="G705" s="137"/>
      <c r="H705" s="137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18"/>
      <c r="C706" s="18"/>
      <c r="D706" s="18"/>
      <c r="E706" s="18"/>
      <c r="F706" s="18"/>
      <c r="G706" s="137"/>
      <c r="H706" s="137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18"/>
      <c r="C707" s="18"/>
      <c r="D707" s="18"/>
      <c r="E707" s="18"/>
      <c r="F707" s="18"/>
      <c r="G707" s="137"/>
      <c r="H707" s="137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18"/>
      <c r="C708" s="18"/>
      <c r="D708" s="18"/>
      <c r="E708" s="18"/>
      <c r="F708" s="18"/>
      <c r="G708" s="137"/>
      <c r="H708" s="137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18"/>
      <c r="C709" s="18"/>
      <c r="D709" s="18"/>
      <c r="E709" s="18"/>
      <c r="F709" s="18"/>
      <c r="G709" s="137"/>
      <c r="H709" s="137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18"/>
      <c r="C710" s="18"/>
      <c r="D710" s="18"/>
      <c r="E710" s="18"/>
      <c r="F710" s="18"/>
      <c r="G710" s="137"/>
      <c r="H710" s="137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18"/>
      <c r="C711" s="18"/>
      <c r="D711" s="18"/>
      <c r="E711" s="18"/>
      <c r="F711" s="18"/>
      <c r="G711" s="137"/>
      <c r="H711" s="137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18"/>
      <c r="C712" s="18"/>
      <c r="D712" s="18"/>
      <c r="E712" s="18"/>
      <c r="F712" s="18"/>
      <c r="G712" s="137"/>
      <c r="H712" s="137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18"/>
      <c r="C713" s="18"/>
      <c r="D713" s="18"/>
      <c r="E713" s="18"/>
      <c r="F713" s="18"/>
      <c r="G713" s="137"/>
      <c r="H713" s="137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18"/>
      <c r="C714" s="18"/>
      <c r="D714" s="18"/>
      <c r="E714" s="18"/>
      <c r="F714" s="18"/>
      <c r="G714" s="137"/>
      <c r="H714" s="137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18"/>
      <c r="C715" s="18"/>
      <c r="D715" s="18"/>
      <c r="E715" s="18"/>
      <c r="F715" s="18"/>
      <c r="G715" s="137"/>
      <c r="H715" s="137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18"/>
      <c r="C716" s="18"/>
      <c r="D716" s="18"/>
      <c r="E716" s="18"/>
      <c r="F716" s="18"/>
      <c r="G716" s="137"/>
      <c r="H716" s="137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18"/>
      <c r="C717" s="18"/>
      <c r="D717" s="18"/>
      <c r="E717" s="18"/>
      <c r="F717" s="18"/>
      <c r="G717" s="137"/>
      <c r="H717" s="137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18"/>
      <c r="C718" s="18"/>
      <c r="D718" s="18"/>
      <c r="E718" s="18"/>
      <c r="F718" s="18"/>
      <c r="G718" s="137"/>
      <c r="H718" s="137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18"/>
      <c r="C719" s="18"/>
      <c r="D719" s="18"/>
      <c r="E719" s="18"/>
      <c r="F719" s="18"/>
      <c r="G719" s="137"/>
      <c r="H719" s="137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18"/>
      <c r="C720" s="18"/>
      <c r="D720" s="18"/>
      <c r="E720" s="18"/>
      <c r="F720" s="18"/>
      <c r="G720" s="137"/>
      <c r="H720" s="137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18"/>
      <c r="C721" s="18"/>
      <c r="D721" s="18"/>
      <c r="E721" s="18"/>
      <c r="F721" s="18"/>
      <c r="G721" s="137"/>
      <c r="H721" s="137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18"/>
      <c r="C722" s="18"/>
      <c r="D722" s="18"/>
      <c r="E722" s="18"/>
      <c r="F722" s="18"/>
      <c r="G722" s="137"/>
      <c r="H722" s="137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18"/>
      <c r="C723" s="18"/>
      <c r="D723" s="18"/>
      <c r="E723" s="18"/>
      <c r="F723" s="18"/>
      <c r="G723" s="137"/>
      <c r="H723" s="137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18"/>
      <c r="C724" s="18"/>
      <c r="D724" s="18"/>
      <c r="E724" s="18"/>
      <c r="F724" s="18"/>
      <c r="G724" s="137"/>
      <c r="H724" s="137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18"/>
      <c r="C725" s="18"/>
      <c r="D725" s="18"/>
      <c r="E725" s="18"/>
      <c r="F725" s="18"/>
      <c r="G725" s="137"/>
      <c r="H725" s="137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18"/>
      <c r="C726" s="18"/>
      <c r="D726" s="18"/>
      <c r="E726" s="18"/>
      <c r="F726" s="18"/>
      <c r="G726" s="137"/>
      <c r="H726" s="137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18"/>
      <c r="C727" s="18"/>
      <c r="D727" s="18"/>
      <c r="E727" s="18"/>
      <c r="F727" s="18"/>
      <c r="G727" s="137"/>
      <c r="H727" s="137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18"/>
      <c r="C728" s="18"/>
      <c r="D728" s="18"/>
      <c r="E728" s="18"/>
      <c r="F728" s="18"/>
      <c r="G728" s="137"/>
      <c r="H728" s="137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18"/>
      <c r="C729" s="18"/>
      <c r="D729" s="18"/>
      <c r="E729" s="18"/>
      <c r="F729" s="18"/>
      <c r="G729" s="137"/>
      <c r="H729" s="137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18"/>
      <c r="C730" s="18"/>
      <c r="D730" s="18"/>
      <c r="E730" s="18"/>
      <c r="F730" s="18"/>
      <c r="G730" s="137"/>
      <c r="H730" s="137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18"/>
      <c r="C731" s="18"/>
      <c r="D731" s="18"/>
      <c r="E731" s="18"/>
      <c r="F731" s="18"/>
      <c r="G731" s="137"/>
      <c r="H731" s="137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18"/>
      <c r="C732" s="18"/>
      <c r="D732" s="18"/>
      <c r="E732" s="18"/>
      <c r="F732" s="18"/>
      <c r="G732" s="137"/>
      <c r="H732" s="137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18"/>
      <c r="C733" s="18"/>
      <c r="D733" s="18"/>
      <c r="E733" s="18"/>
      <c r="F733" s="18"/>
      <c r="G733" s="137"/>
      <c r="H733" s="137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18"/>
      <c r="C734" s="18"/>
      <c r="D734" s="18"/>
      <c r="E734" s="18"/>
      <c r="F734" s="18"/>
      <c r="G734" s="137"/>
      <c r="H734" s="137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18"/>
      <c r="C735" s="18"/>
      <c r="D735" s="18"/>
      <c r="E735" s="18"/>
      <c r="F735" s="18"/>
      <c r="G735" s="137"/>
      <c r="H735" s="137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18"/>
      <c r="C736" s="18"/>
      <c r="D736" s="18"/>
      <c r="E736" s="18"/>
      <c r="F736" s="18"/>
      <c r="G736" s="137"/>
      <c r="H736" s="137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18"/>
      <c r="C737" s="18"/>
      <c r="D737" s="18"/>
      <c r="E737" s="18"/>
      <c r="F737" s="18"/>
      <c r="G737" s="137"/>
      <c r="H737" s="137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18"/>
      <c r="C738" s="18"/>
      <c r="D738" s="18"/>
      <c r="E738" s="18"/>
      <c r="F738" s="18"/>
      <c r="G738" s="137"/>
      <c r="H738" s="137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18"/>
      <c r="C739" s="18"/>
      <c r="D739" s="18"/>
      <c r="E739" s="18"/>
      <c r="F739" s="18"/>
      <c r="G739" s="137"/>
      <c r="H739" s="137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18"/>
      <c r="C740" s="18"/>
      <c r="D740" s="18"/>
      <c r="E740" s="18"/>
      <c r="F740" s="18"/>
      <c r="G740" s="137"/>
      <c r="H740" s="137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18"/>
      <c r="C741" s="18"/>
      <c r="D741" s="18"/>
      <c r="E741" s="18"/>
      <c r="F741" s="18"/>
      <c r="G741" s="137"/>
      <c r="H741" s="137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18"/>
      <c r="C742" s="18"/>
      <c r="D742" s="18"/>
      <c r="E742" s="18"/>
      <c r="F742" s="18"/>
      <c r="G742" s="137"/>
      <c r="H742" s="137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18"/>
      <c r="C743" s="18"/>
      <c r="D743" s="18"/>
      <c r="E743" s="18"/>
      <c r="F743" s="18"/>
      <c r="G743" s="137"/>
      <c r="H743" s="137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18"/>
      <c r="C744" s="18"/>
      <c r="D744" s="18"/>
      <c r="E744" s="18"/>
      <c r="F744" s="18"/>
      <c r="G744" s="137"/>
      <c r="H744" s="137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18"/>
      <c r="C745" s="18"/>
      <c r="D745" s="18"/>
      <c r="E745" s="18"/>
      <c r="F745" s="18"/>
      <c r="G745" s="137"/>
      <c r="H745" s="137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18"/>
      <c r="C746" s="18"/>
      <c r="D746" s="18"/>
      <c r="E746" s="18"/>
      <c r="F746" s="18"/>
      <c r="G746" s="137"/>
      <c r="H746" s="137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18"/>
      <c r="C747" s="18"/>
      <c r="D747" s="18"/>
      <c r="E747" s="18"/>
      <c r="F747" s="18"/>
      <c r="G747" s="137"/>
      <c r="H747" s="137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18"/>
      <c r="C748" s="18"/>
      <c r="D748" s="18"/>
      <c r="E748" s="18"/>
      <c r="F748" s="18"/>
      <c r="G748" s="137"/>
      <c r="H748" s="137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18"/>
      <c r="C749" s="18"/>
      <c r="D749" s="18"/>
      <c r="E749" s="18"/>
      <c r="F749" s="18"/>
      <c r="G749" s="137"/>
      <c r="H749" s="137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18"/>
      <c r="C750" s="18"/>
      <c r="D750" s="18"/>
      <c r="E750" s="18"/>
      <c r="F750" s="18"/>
      <c r="G750" s="137"/>
      <c r="H750" s="137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18"/>
      <c r="C751" s="18"/>
      <c r="D751" s="18"/>
      <c r="E751" s="18"/>
      <c r="F751" s="18"/>
      <c r="G751" s="137"/>
      <c r="H751" s="137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18"/>
      <c r="C752" s="18"/>
      <c r="D752" s="18"/>
      <c r="E752" s="18"/>
      <c r="F752" s="18"/>
      <c r="G752" s="137"/>
      <c r="H752" s="137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18"/>
      <c r="C753" s="18"/>
      <c r="D753" s="18"/>
      <c r="E753" s="18"/>
      <c r="F753" s="18"/>
      <c r="G753" s="137"/>
      <c r="H753" s="137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18"/>
      <c r="C754" s="18"/>
      <c r="D754" s="18"/>
      <c r="E754" s="18"/>
      <c r="F754" s="18"/>
      <c r="G754" s="137"/>
      <c r="H754" s="137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18"/>
      <c r="C755" s="18"/>
      <c r="D755" s="18"/>
      <c r="E755" s="18"/>
      <c r="F755" s="18"/>
      <c r="G755" s="137"/>
      <c r="H755" s="137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18"/>
      <c r="C756" s="18"/>
      <c r="D756" s="18"/>
      <c r="E756" s="18"/>
      <c r="F756" s="18"/>
      <c r="G756" s="137"/>
      <c r="H756" s="137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18"/>
      <c r="C757" s="18"/>
      <c r="D757" s="18"/>
      <c r="E757" s="18"/>
      <c r="F757" s="18"/>
      <c r="G757" s="137"/>
      <c r="H757" s="137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18"/>
      <c r="C758" s="18"/>
      <c r="D758" s="18"/>
      <c r="E758" s="18"/>
      <c r="F758" s="18"/>
      <c r="G758" s="137"/>
      <c r="H758" s="137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18"/>
      <c r="C759" s="18"/>
      <c r="D759" s="18"/>
      <c r="E759" s="18"/>
      <c r="F759" s="18"/>
      <c r="G759" s="137"/>
      <c r="H759" s="137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18"/>
      <c r="C760" s="18"/>
      <c r="D760" s="18"/>
      <c r="E760" s="18"/>
      <c r="F760" s="18"/>
      <c r="G760" s="137"/>
      <c r="H760" s="137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18"/>
      <c r="C761" s="18"/>
      <c r="D761" s="18"/>
      <c r="E761" s="18"/>
      <c r="F761" s="18"/>
      <c r="G761" s="137"/>
      <c r="H761" s="137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18"/>
      <c r="C762" s="18"/>
      <c r="D762" s="18"/>
      <c r="E762" s="18"/>
      <c r="F762" s="18"/>
      <c r="G762" s="137"/>
      <c r="H762" s="137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18"/>
      <c r="C763" s="18"/>
      <c r="D763" s="18"/>
      <c r="E763" s="18"/>
      <c r="F763" s="18"/>
      <c r="G763" s="137"/>
      <c r="H763" s="137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18"/>
      <c r="C764" s="18"/>
      <c r="D764" s="18"/>
      <c r="E764" s="18"/>
      <c r="F764" s="18"/>
      <c r="G764" s="137"/>
      <c r="H764" s="137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18"/>
      <c r="C765" s="18"/>
      <c r="D765" s="18"/>
      <c r="E765" s="18"/>
      <c r="F765" s="18"/>
      <c r="G765" s="137"/>
      <c r="H765" s="137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18"/>
      <c r="C766" s="18"/>
      <c r="D766" s="18"/>
      <c r="E766" s="18"/>
      <c r="F766" s="18"/>
      <c r="G766" s="137"/>
      <c r="H766" s="137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18"/>
      <c r="C767" s="18"/>
      <c r="D767" s="18"/>
      <c r="E767" s="18"/>
      <c r="F767" s="18"/>
      <c r="G767" s="137"/>
      <c r="H767" s="137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18"/>
      <c r="C768" s="18"/>
      <c r="D768" s="18"/>
      <c r="E768" s="18"/>
      <c r="F768" s="18"/>
      <c r="G768" s="137"/>
      <c r="H768" s="137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18"/>
      <c r="C769" s="18"/>
      <c r="D769" s="18"/>
      <c r="E769" s="18"/>
      <c r="F769" s="18"/>
      <c r="G769" s="137"/>
      <c r="H769" s="137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18"/>
      <c r="C770" s="18"/>
      <c r="D770" s="18"/>
      <c r="E770" s="18"/>
      <c r="F770" s="18"/>
      <c r="G770" s="137"/>
      <c r="H770" s="137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18"/>
      <c r="C771" s="18"/>
      <c r="D771" s="18"/>
      <c r="E771" s="18"/>
      <c r="F771" s="18"/>
      <c r="G771" s="137"/>
      <c r="H771" s="137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18"/>
      <c r="C772" s="18"/>
      <c r="D772" s="18"/>
      <c r="E772" s="18"/>
      <c r="F772" s="18"/>
      <c r="G772" s="137"/>
      <c r="H772" s="137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18"/>
      <c r="C773" s="18"/>
      <c r="D773" s="18"/>
      <c r="E773" s="18"/>
      <c r="F773" s="18"/>
      <c r="G773" s="137"/>
      <c r="H773" s="137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18"/>
      <c r="C774" s="18"/>
      <c r="D774" s="18"/>
      <c r="E774" s="18"/>
      <c r="F774" s="18"/>
      <c r="G774" s="137"/>
      <c r="H774" s="137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18"/>
      <c r="C775" s="18"/>
      <c r="D775" s="18"/>
      <c r="E775" s="18"/>
      <c r="F775" s="18"/>
      <c r="G775" s="137"/>
      <c r="H775" s="137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18"/>
      <c r="C776" s="18"/>
      <c r="D776" s="18"/>
      <c r="E776" s="18"/>
      <c r="F776" s="18"/>
      <c r="G776" s="137"/>
      <c r="H776" s="137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18"/>
      <c r="C777" s="18"/>
      <c r="D777" s="18"/>
      <c r="E777" s="18"/>
      <c r="F777" s="18"/>
      <c r="G777" s="137"/>
      <c r="H777" s="137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18"/>
      <c r="C778" s="18"/>
      <c r="D778" s="18"/>
      <c r="E778" s="18"/>
      <c r="F778" s="18"/>
      <c r="G778" s="137"/>
      <c r="H778" s="137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18"/>
      <c r="C779" s="18"/>
      <c r="D779" s="18"/>
      <c r="E779" s="18"/>
      <c r="F779" s="18"/>
      <c r="G779" s="137"/>
      <c r="H779" s="137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18"/>
      <c r="C780" s="18"/>
      <c r="D780" s="18"/>
      <c r="E780" s="18"/>
      <c r="F780" s="18"/>
      <c r="G780" s="137"/>
      <c r="H780" s="137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18"/>
      <c r="C781" s="18"/>
      <c r="D781" s="18"/>
      <c r="E781" s="18"/>
      <c r="F781" s="18"/>
      <c r="G781" s="137"/>
      <c r="H781" s="137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18"/>
      <c r="C782" s="18"/>
      <c r="D782" s="18"/>
      <c r="E782" s="18"/>
      <c r="F782" s="18"/>
      <c r="G782" s="137"/>
      <c r="H782" s="137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18"/>
      <c r="C783" s="18"/>
      <c r="D783" s="18"/>
      <c r="E783" s="18"/>
      <c r="F783" s="18"/>
      <c r="G783" s="137"/>
      <c r="H783" s="137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18"/>
      <c r="C784" s="18"/>
      <c r="D784" s="18"/>
      <c r="E784" s="18"/>
      <c r="F784" s="18"/>
      <c r="G784" s="137"/>
      <c r="H784" s="137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18"/>
      <c r="C785" s="18"/>
      <c r="D785" s="18"/>
      <c r="E785" s="18"/>
      <c r="F785" s="18"/>
      <c r="G785" s="137"/>
      <c r="H785" s="137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18"/>
      <c r="C786" s="18"/>
      <c r="D786" s="18"/>
      <c r="E786" s="18"/>
      <c r="F786" s="18"/>
      <c r="G786" s="137"/>
      <c r="H786" s="137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18"/>
      <c r="C787" s="18"/>
      <c r="D787" s="18"/>
      <c r="E787" s="18"/>
      <c r="F787" s="18"/>
      <c r="G787" s="137"/>
      <c r="H787" s="137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18"/>
      <c r="C788" s="18"/>
      <c r="D788" s="18"/>
      <c r="E788" s="18"/>
      <c r="F788" s="18"/>
      <c r="G788" s="137"/>
      <c r="H788" s="137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18"/>
      <c r="C789" s="18"/>
      <c r="D789" s="18"/>
      <c r="E789" s="18"/>
      <c r="F789" s="18"/>
      <c r="G789" s="137"/>
      <c r="H789" s="137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18"/>
      <c r="C790" s="18"/>
      <c r="D790" s="18"/>
      <c r="E790" s="18"/>
      <c r="F790" s="18"/>
      <c r="G790" s="137"/>
      <c r="H790" s="137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18"/>
      <c r="C791" s="18"/>
      <c r="D791" s="18"/>
      <c r="E791" s="18"/>
      <c r="F791" s="18"/>
      <c r="G791" s="137"/>
      <c r="H791" s="137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18"/>
      <c r="C792" s="18"/>
      <c r="D792" s="18"/>
      <c r="E792" s="18"/>
      <c r="F792" s="18"/>
      <c r="G792" s="137"/>
      <c r="H792" s="137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18"/>
      <c r="C793" s="18"/>
      <c r="D793" s="18"/>
      <c r="E793" s="18"/>
      <c r="F793" s="18"/>
      <c r="G793" s="137"/>
      <c r="H793" s="137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18"/>
      <c r="C794" s="18"/>
      <c r="D794" s="18"/>
      <c r="E794" s="18"/>
      <c r="F794" s="18"/>
      <c r="G794" s="137"/>
      <c r="H794" s="137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18"/>
      <c r="C795" s="18"/>
      <c r="D795" s="18"/>
      <c r="E795" s="18"/>
      <c r="F795" s="18"/>
      <c r="G795" s="137"/>
      <c r="H795" s="137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18"/>
      <c r="C796" s="18"/>
      <c r="D796" s="18"/>
      <c r="E796" s="18"/>
      <c r="F796" s="18"/>
      <c r="G796" s="137"/>
      <c r="H796" s="137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18"/>
      <c r="C797" s="18"/>
      <c r="D797" s="18"/>
      <c r="E797" s="18"/>
      <c r="F797" s="18"/>
      <c r="G797" s="137"/>
      <c r="H797" s="137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18"/>
      <c r="C798" s="18"/>
      <c r="D798" s="18"/>
      <c r="E798" s="18"/>
      <c r="F798" s="18"/>
      <c r="G798" s="137"/>
      <c r="H798" s="137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18"/>
      <c r="C799" s="18"/>
      <c r="D799" s="18"/>
      <c r="E799" s="18"/>
      <c r="F799" s="18"/>
      <c r="G799" s="137"/>
      <c r="H799" s="137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18"/>
      <c r="C800" s="18"/>
      <c r="D800" s="18"/>
      <c r="E800" s="18"/>
      <c r="F800" s="18"/>
      <c r="G800" s="137"/>
      <c r="H800" s="137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18"/>
      <c r="C801" s="18"/>
      <c r="D801" s="18"/>
      <c r="E801" s="18"/>
      <c r="F801" s="18"/>
      <c r="G801" s="137"/>
      <c r="H801" s="137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18"/>
      <c r="C802" s="18"/>
      <c r="D802" s="18"/>
      <c r="E802" s="18"/>
      <c r="F802" s="18"/>
      <c r="G802" s="137"/>
      <c r="H802" s="137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18"/>
      <c r="C803" s="18"/>
      <c r="D803" s="18"/>
      <c r="E803" s="18"/>
      <c r="F803" s="18"/>
      <c r="G803" s="137"/>
      <c r="H803" s="137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18"/>
      <c r="C804" s="18"/>
      <c r="D804" s="18"/>
      <c r="E804" s="18"/>
      <c r="F804" s="18"/>
      <c r="G804" s="137"/>
      <c r="H804" s="137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18"/>
      <c r="C805" s="18"/>
      <c r="D805" s="18"/>
      <c r="E805" s="18"/>
      <c r="F805" s="18"/>
      <c r="G805" s="137"/>
      <c r="H805" s="137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18"/>
      <c r="C806" s="18"/>
      <c r="D806" s="18"/>
      <c r="E806" s="18"/>
      <c r="F806" s="18"/>
      <c r="G806" s="137"/>
      <c r="H806" s="137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18"/>
      <c r="C807" s="18"/>
      <c r="D807" s="18"/>
      <c r="E807" s="18"/>
      <c r="F807" s="18"/>
      <c r="G807" s="137"/>
      <c r="H807" s="137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18"/>
      <c r="C808" s="18"/>
      <c r="D808" s="18"/>
      <c r="E808" s="18"/>
      <c r="F808" s="18"/>
      <c r="G808" s="137"/>
      <c r="H808" s="137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18"/>
      <c r="C809" s="18"/>
      <c r="D809" s="18"/>
      <c r="E809" s="18"/>
      <c r="F809" s="18"/>
      <c r="G809" s="137"/>
      <c r="H809" s="137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18"/>
      <c r="C810" s="18"/>
      <c r="D810" s="18"/>
      <c r="E810" s="18"/>
      <c r="F810" s="18"/>
      <c r="G810" s="137"/>
      <c r="H810" s="137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18"/>
      <c r="C811" s="18"/>
      <c r="D811" s="18"/>
      <c r="E811" s="18"/>
      <c r="F811" s="18"/>
      <c r="G811" s="137"/>
      <c r="H811" s="137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18"/>
      <c r="C812" s="18"/>
      <c r="D812" s="18"/>
      <c r="E812" s="18"/>
      <c r="F812" s="18"/>
      <c r="G812" s="137"/>
      <c r="H812" s="137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18"/>
      <c r="C813" s="18"/>
      <c r="D813" s="18"/>
      <c r="E813" s="18"/>
      <c r="F813" s="18"/>
      <c r="G813" s="137"/>
      <c r="H813" s="137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18"/>
      <c r="C814" s="18"/>
      <c r="D814" s="18"/>
      <c r="E814" s="18"/>
      <c r="F814" s="18"/>
      <c r="G814" s="137"/>
      <c r="H814" s="137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18"/>
      <c r="C815" s="18"/>
      <c r="D815" s="18"/>
      <c r="E815" s="18"/>
      <c r="F815" s="18"/>
      <c r="G815" s="137"/>
      <c r="H815" s="137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18"/>
      <c r="C816" s="18"/>
      <c r="D816" s="18"/>
      <c r="E816" s="18"/>
      <c r="F816" s="18"/>
      <c r="G816" s="137"/>
      <c r="H816" s="137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18"/>
      <c r="C817" s="18"/>
      <c r="D817" s="18"/>
      <c r="E817" s="18"/>
      <c r="F817" s="18"/>
      <c r="G817" s="137"/>
      <c r="H817" s="137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18"/>
      <c r="C818" s="18"/>
      <c r="D818" s="18"/>
      <c r="E818" s="18"/>
      <c r="F818" s="18"/>
      <c r="G818" s="137"/>
      <c r="H818" s="137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18"/>
      <c r="C819" s="18"/>
      <c r="D819" s="18"/>
      <c r="E819" s="18"/>
      <c r="F819" s="18"/>
      <c r="G819" s="137"/>
      <c r="H819" s="137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18"/>
      <c r="C820" s="18"/>
      <c r="D820" s="18"/>
      <c r="E820" s="18"/>
      <c r="F820" s="18"/>
      <c r="G820" s="137"/>
      <c r="H820" s="137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18"/>
      <c r="C821" s="18"/>
      <c r="D821" s="18"/>
      <c r="E821" s="18"/>
      <c r="F821" s="18"/>
      <c r="G821" s="137"/>
      <c r="H821" s="137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18"/>
      <c r="C822" s="18"/>
      <c r="D822" s="18"/>
      <c r="E822" s="18"/>
      <c r="F822" s="18"/>
      <c r="G822" s="137"/>
      <c r="H822" s="137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18"/>
      <c r="C823" s="18"/>
      <c r="D823" s="18"/>
      <c r="E823" s="18"/>
      <c r="F823" s="18"/>
      <c r="G823" s="137"/>
      <c r="H823" s="137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18"/>
      <c r="C824" s="18"/>
      <c r="D824" s="18"/>
      <c r="E824" s="18"/>
      <c r="F824" s="18"/>
      <c r="G824" s="137"/>
      <c r="H824" s="137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18"/>
      <c r="C825" s="18"/>
      <c r="D825" s="18"/>
      <c r="E825" s="18"/>
      <c r="F825" s="18"/>
      <c r="G825" s="137"/>
      <c r="H825" s="137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18"/>
      <c r="C826" s="18"/>
      <c r="D826" s="18"/>
      <c r="E826" s="18"/>
      <c r="F826" s="18"/>
      <c r="G826" s="137"/>
      <c r="H826" s="137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18"/>
      <c r="C827" s="18"/>
      <c r="D827" s="18"/>
      <c r="E827" s="18"/>
      <c r="F827" s="18"/>
      <c r="G827" s="137"/>
      <c r="H827" s="137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18"/>
      <c r="C828" s="18"/>
      <c r="D828" s="18"/>
      <c r="E828" s="18"/>
      <c r="F828" s="18"/>
      <c r="G828" s="137"/>
      <c r="H828" s="137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18"/>
      <c r="C829" s="18"/>
      <c r="D829" s="18"/>
      <c r="E829" s="18"/>
      <c r="F829" s="18"/>
      <c r="G829" s="137"/>
      <c r="H829" s="137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18"/>
      <c r="C830" s="18"/>
      <c r="D830" s="18"/>
      <c r="E830" s="18"/>
      <c r="F830" s="18"/>
      <c r="G830" s="137"/>
      <c r="H830" s="137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18"/>
      <c r="C831" s="18"/>
      <c r="D831" s="18"/>
      <c r="E831" s="18"/>
      <c r="F831" s="18"/>
      <c r="G831" s="137"/>
      <c r="H831" s="137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18"/>
      <c r="C832" s="18"/>
      <c r="D832" s="18"/>
      <c r="E832" s="18"/>
      <c r="F832" s="18"/>
      <c r="G832" s="137"/>
      <c r="H832" s="137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18"/>
      <c r="C833" s="18"/>
      <c r="D833" s="18"/>
      <c r="E833" s="18"/>
      <c r="F833" s="18"/>
      <c r="G833" s="137"/>
      <c r="H833" s="137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18"/>
      <c r="C834" s="18"/>
      <c r="D834" s="18"/>
      <c r="E834" s="18"/>
      <c r="F834" s="18"/>
      <c r="G834" s="137"/>
      <c r="H834" s="137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18"/>
      <c r="C835" s="18"/>
      <c r="D835" s="18"/>
      <c r="E835" s="18"/>
      <c r="F835" s="18"/>
      <c r="G835" s="137"/>
      <c r="H835" s="137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18"/>
      <c r="C836" s="18"/>
      <c r="D836" s="18"/>
      <c r="E836" s="18"/>
      <c r="F836" s="18"/>
      <c r="G836" s="137"/>
      <c r="H836" s="137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18"/>
      <c r="C837" s="18"/>
      <c r="D837" s="18"/>
      <c r="E837" s="18"/>
      <c r="F837" s="18"/>
      <c r="G837" s="137"/>
      <c r="H837" s="137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18"/>
      <c r="C838" s="18"/>
      <c r="D838" s="18"/>
      <c r="E838" s="18"/>
      <c r="F838" s="18"/>
      <c r="G838" s="137"/>
      <c r="H838" s="137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18"/>
      <c r="C839" s="18"/>
      <c r="D839" s="18"/>
      <c r="E839" s="18"/>
      <c r="F839" s="18"/>
      <c r="G839" s="137"/>
      <c r="H839" s="137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18"/>
      <c r="C840" s="18"/>
      <c r="D840" s="18"/>
      <c r="E840" s="18"/>
      <c r="F840" s="18"/>
      <c r="G840" s="137"/>
      <c r="H840" s="137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18"/>
      <c r="C841" s="18"/>
      <c r="D841" s="18"/>
      <c r="E841" s="18"/>
      <c r="F841" s="18"/>
      <c r="G841" s="137"/>
      <c r="H841" s="137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18"/>
      <c r="C842" s="18"/>
      <c r="D842" s="18"/>
      <c r="E842" s="18"/>
      <c r="F842" s="18"/>
      <c r="G842" s="137"/>
      <c r="H842" s="137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18"/>
      <c r="C843" s="18"/>
      <c r="D843" s="18"/>
      <c r="E843" s="18"/>
      <c r="F843" s="18"/>
      <c r="G843" s="137"/>
      <c r="H843" s="137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18"/>
      <c r="C844" s="18"/>
      <c r="D844" s="18"/>
      <c r="E844" s="18"/>
      <c r="F844" s="18"/>
      <c r="G844" s="137"/>
      <c r="H844" s="137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18"/>
      <c r="C845" s="18"/>
      <c r="D845" s="18"/>
      <c r="E845" s="18"/>
      <c r="F845" s="18"/>
      <c r="G845" s="137"/>
      <c r="H845" s="137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18"/>
      <c r="C846" s="18"/>
      <c r="D846" s="18"/>
      <c r="E846" s="18"/>
      <c r="F846" s="18"/>
      <c r="G846" s="137"/>
      <c r="H846" s="137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18"/>
      <c r="C847" s="18"/>
      <c r="D847" s="18"/>
      <c r="E847" s="18"/>
      <c r="F847" s="18"/>
      <c r="G847" s="137"/>
      <c r="H847" s="137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18"/>
      <c r="C848" s="18"/>
      <c r="D848" s="18"/>
      <c r="E848" s="18"/>
      <c r="F848" s="18"/>
      <c r="G848" s="137"/>
      <c r="H848" s="137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18"/>
      <c r="C849" s="18"/>
      <c r="D849" s="18"/>
      <c r="E849" s="18"/>
      <c r="F849" s="18"/>
      <c r="G849" s="137"/>
      <c r="H849" s="137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18"/>
      <c r="C850" s="18"/>
      <c r="D850" s="18"/>
      <c r="E850" s="18"/>
      <c r="F850" s="18"/>
      <c r="G850" s="137"/>
      <c r="H850" s="137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18"/>
      <c r="C851" s="18"/>
      <c r="D851" s="18"/>
      <c r="E851" s="18"/>
      <c r="F851" s="18"/>
      <c r="G851" s="137"/>
      <c r="H851" s="137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18"/>
      <c r="C852" s="18"/>
      <c r="D852" s="18"/>
      <c r="E852" s="18"/>
      <c r="F852" s="18"/>
      <c r="G852" s="137"/>
      <c r="H852" s="137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18"/>
      <c r="C853" s="18"/>
      <c r="D853" s="18"/>
      <c r="E853" s="18"/>
      <c r="F853" s="18"/>
      <c r="G853" s="137"/>
      <c r="H853" s="137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18"/>
      <c r="C854" s="18"/>
      <c r="D854" s="18"/>
      <c r="E854" s="18"/>
      <c r="F854" s="18"/>
      <c r="G854" s="137"/>
      <c r="H854" s="137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18"/>
      <c r="C855" s="18"/>
      <c r="D855" s="18"/>
      <c r="E855" s="18"/>
      <c r="F855" s="18"/>
      <c r="G855" s="137"/>
      <c r="H855" s="137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18"/>
      <c r="C856" s="18"/>
      <c r="D856" s="18"/>
      <c r="E856" s="18"/>
      <c r="F856" s="18"/>
      <c r="G856" s="137"/>
      <c r="H856" s="137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18"/>
      <c r="C857" s="18"/>
      <c r="D857" s="18"/>
      <c r="E857" s="18"/>
      <c r="F857" s="18"/>
      <c r="G857" s="137"/>
      <c r="H857" s="137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18"/>
      <c r="C858" s="18"/>
      <c r="D858" s="18"/>
      <c r="E858" s="18"/>
      <c r="F858" s="18"/>
      <c r="G858" s="137"/>
      <c r="H858" s="137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18"/>
      <c r="C859" s="18"/>
      <c r="D859" s="18"/>
      <c r="E859" s="18"/>
      <c r="F859" s="18"/>
      <c r="G859" s="137"/>
      <c r="H859" s="137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18"/>
      <c r="C860" s="18"/>
      <c r="D860" s="18"/>
      <c r="E860" s="18"/>
      <c r="F860" s="18"/>
      <c r="G860" s="137"/>
      <c r="H860" s="137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18"/>
      <c r="C861" s="18"/>
      <c r="D861" s="18"/>
      <c r="E861" s="18"/>
      <c r="F861" s="18"/>
      <c r="G861" s="137"/>
      <c r="H861" s="137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18"/>
      <c r="C862" s="18"/>
      <c r="D862" s="18"/>
      <c r="E862" s="18"/>
      <c r="F862" s="18"/>
      <c r="G862" s="137"/>
      <c r="H862" s="137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18"/>
      <c r="C863" s="18"/>
      <c r="D863" s="18"/>
      <c r="E863" s="18"/>
      <c r="F863" s="18"/>
      <c r="G863" s="137"/>
      <c r="H863" s="137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18"/>
      <c r="C864" s="18"/>
      <c r="D864" s="18"/>
      <c r="E864" s="18"/>
      <c r="F864" s="18"/>
      <c r="G864" s="137"/>
      <c r="H864" s="137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18"/>
      <c r="C865" s="18"/>
      <c r="D865" s="18"/>
      <c r="E865" s="18"/>
      <c r="F865" s="18"/>
      <c r="G865" s="137"/>
      <c r="H865" s="137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18"/>
      <c r="C866" s="18"/>
      <c r="D866" s="18"/>
      <c r="E866" s="18"/>
      <c r="F866" s="18"/>
      <c r="G866" s="137"/>
      <c r="H866" s="137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18"/>
      <c r="C867" s="18"/>
      <c r="D867" s="18"/>
      <c r="E867" s="18"/>
      <c r="F867" s="18"/>
      <c r="G867" s="137"/>
      <c r="H867" s="137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18"/>
      <c r="C868" s="18"/>
      <c r="D868" s="18"/>
      <c r="E868" s="18"/>
      <c r="F868" s="18"/>
      <c r="G868" s="137"/>
      <c r="H868" s="137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18"/>
      <c r="C869" s="18"/>
      <c r="D869" s="18"/>
      <c r="E869" s="18"/>
      <c r="F869" s="18"/>
      <c r="G869" s="137"/>
      <c r="H869" s="137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18"/>
      <c r="C870" s="18"/>
      <c r="D870" s="18"/>
      <c r="E870" s="18"/>
      <c r="F870" s="18"/>
      <c r="G870" s="137"/>
      <c r="H870" s="137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18"/>
      <c r="C871" s="18"/>
      <c r="D871" s="18"/>
      <c r="E871" s="18"/>
      <c r="F871" s="18"/>
      <c r="G871" s="137"/>
      <c r="H871" s="137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18"/>
      <c r="C872" s="18"/>
      <c r="D872" s="18"/>
      <c r="E872" s="18"/>
      <c r="F872" s="18"/>
      <c r="G872" s="137"/>
      <c r="H872" s="137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18"/>
      <c r="C873" s="18"/>
      <c r="D873" s="18"/>
      <c r="E873" s="18"/>
      <c r="F873" s="18"/>
      <c r="G873" s="137"/>
      <c r="H873" s="137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18"/>
      <c r="C874" s="18"/>
      <c r="D874" s="18"/>
      <c r="E874" s="18"/>
      <c r="F874" s="18"/>
      <c r="G874" s="137"/>
      <c r="H874" s="137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18"/>
      <c r="C875" s="18"/>
      <c r="D875" s="18"/>
      <c r="E875" s="18"/>
      <c r="F875" s="18"/>
      <c r="G875" s="137"/>
      <c r="H875" s="137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18"/>
      <c r="C876" s="18"/>
      <c r="D876" s="18"/>
      <c r="E876" s="18"/>
      <c r="F876" s="18"/>
      <c r="G876" s="137"/>
      <c r="H876" s="137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18"/>
      <c r="C877" s="18"/>
      <c r="D877" s="18"/>
      <c r="E877" s="18"/>
      <c r="F877" s="18"/>
      <c r="G877" s="137"/>
      <c r="H877" s="137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18"/>
      <c r="C878" s="18"/>
      <c r="D878" s="18"/>
      <c r="E878" s="18"/>
      <c r="F878" s="18"/>
      <c r="G878" s="137"/>
      <c r="H878" s="137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18"/>
      <c r="C879" s="18"/>
      <c r="D879" s="18"/>
      <c r="E879" s="18"/>
      <c r="F879" s="18"/>
      <c r="G879" s="137"/>
      <c r="H879" s="137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18"/>
      <c r="C880" s="18"/>
      <c r="D880" s="18"/>
      <c r="E880" s="18"/>
      <c r="F880" s="18"/>
      <c r="G880" s="137"/>
      <c r="H880" s="137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18"/>
      <c r="C881" s="18"/>
      <c r="D881" s="18"/>
      <c r="E881" s="18"/>
      <c r="F881" s="18"/>
      <c r="G881" s="137"/>
      <c r="H881" s="137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18"/>
      <c r="C882" s="18"/>
      <c r="D882" s="18"/>
      <c r="E882" s="18"/>
      <c r="F882" s="18"/>
      <c r="G882" s="137"/>
      <c r="H882" s="137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18"/>
      <c r="C883" s="18"/>
      <c r="D883" s="18"/>
      <c r="E883" s="18"/>
      <c r="F883" s="18"/>
      <c r="G883" s="137"/>
      <c r="H883" s="137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18"/>
      <c r="C884" s="18"/>
      <c r="D884" s="18"/>
      <c r="E884" s="18"/>
      <c r="F884" s="18"/>
      <c r="G884" s="137"/>
      <c r="H884" s="137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18"/>
      <c r="C885" s="18"/>
      <c r="D885" s="18"/>
      <c r="E885" s="18"/>
      <c r="F885" s="18"/>
      <c r="G885" s="137"/>
      <c r="H885" s="137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18"/>
      <c r="C886" s="18"/>
      <c r="D886" s="18"/>
      <c r="E886" s="18"/>
      <c r="F886" s="18"/>
      <c r="G886" s="137"/>
      <c r="H886" s="137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18"/>
      <c r="C887" s="18"/>
      <c r="D887" s="18"/>
      <c r="E887" s="18"/>
      <c r="F887" s="18"/>
      <c r="G887" s="137"/>
      <c r="H887" s="137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18"/>
      <c r="C888" s="18"/>
      <c r="D888" s="18"/>
      <c r="E888" s="18"/>
      <c r="F888" s="18"/>
      <c r="G888" s="137"/>
      <c r="H888" s="137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18"/>
      <c r="C889" s="18"/>
      <c r="D889" s="18"/>
      <c r="E889" s="18"/>
      <c r="F889" s="18"/>
      <c r="G889" s="137"/>
      <c r="H889" s="137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18"/>
      <c r="C890" s="18"/>
      <c r="D890" s="18"/>
      <c r="E890" s="18"/>
      <c r="F890" s="18"/>
      <c r="G890" s="137"/>
      <c r="H890" s="137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18"/>
      <c r="C891" s="18"/>
      <c r="D891" s="18"/>
      <c r="E891" s="18"/>
      <c r="F891" s="18"/>
      <c r="G891" s="137"/>
      <c r="H891" s="137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18"/>
      <c r="C892" s="18"/>
      <c r="D892" s="18"/>
      <c r="E892" s="18"/>
      <c r="F892" s="18"/>
      <c r="G892" s="137"/>
      <c r="H892" s="137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18"/>
      <c r="C893" s="18"/>
      <c r="D893" s="18"/>
      <c r="E893" s="18"/>
      <c r="F893" s="18"/>
      <c r="G893" s="137"/>
      <c r="H893" s="137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18"/>
      <c r="C894" s="18"/>
      <c r="D894" s="18"/>
      <c r="E894" s="18"/>
      <c r="F894" s="18"/>
      <c r="G894" s="137"/>
      <c r="H894" s="137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18"/>
      <c r="C895" s="18"/>
      <c r="D895" s="18"/>
      <c r="E895" s="18"/>
      <c r="F895" s="18"/>
      <c r="G895" s="137"/>
      <c r="H895" s="137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18"/>
      <c r="C896" s="18"/>
      <c r="D896" s="18"/>
      <c r="E896" s="18"/>
      <c r="F896" s="18"/>
      <c r="G896" s="137"/>
      <c r="H896" s="137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18"/>
      <c r="C897" s="18"/>
      <c r="D897" s="18"/>
      <c r="E897" s="18"/>
      <c r="F897" s="18"/>
      <c r="G897" s="137"/>
      <c r="H897" s="137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18"/>
      <c r="C898" s="18"/>
      <c r="D898" s="18"/>
      <c r="E898" s="18"/>
      <c r="F898" s="18"/>
      <c r="G898" s="137"/>
      <c r="H898" s="137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18"/>
      <c r="C899" s="18"/>
      <c r="D899" s="18"/>
      <c r="E899" s="18"/>
      <c r="F899" s="18"/>
      <c r="G899" s="137"/>
      <c r="H899" s="137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18"/>
      <c r="C900" s="18"/>
      <c r="D900" s="18"/>
      <c r="E900" s="18"/>
      <c r="F900" s="18"/>
      <c r="G900" s="137"/>
      <c r="H900" s="137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18"/>
      <c r="C901" s="18"/>
      <c r="D901" s="18"/>
      <c r="E901" s="18"/>
      <c r="F901" s="18"/>
      <c r="G901" s="137"/>
      <c r="H901" s="137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18"/>
      <c r="C902" s="18"/>
      <c r="D902" s="18"/>
      <c r="E902" s="18"/>
      <c r="F902" s="18"/>
      <c r="G902" s="137"/>
      <c r="H902" s="137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18"/>
      <c r="C903" s="18"/>
      <c r="D903" s="18"/>
      <c r="E903" s="18"/>
      <c r="F903" s="18"/>
      <c r="G903" s="137"/>
      <c r="H903" s="137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18"/>
      <c r="C904" s="18"/>
      <c r="D904" s="18"/>
      <c r="E904" s="18"/>
      <c r="F904" s="18"/>
      <c r="G904" s="137"/>
      <c r="H904" s="137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18"/>
      <c r="C905" s="18"/>
      <c r="D905" s="18"/>
      <c r="E905" s="18"/>
      <c r="F905" s="18"/>
      <c r="G905" s="137"/>
      <c r="H905" s="137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18"/>
      <c r="C906" s="18"/>
      <c r="D906" s="18"/>
      <c r="E906" s="18"/>
      <c r="F906" s="18"/>
      <c r="G906" s="137"/>
      <c r="H906" s="137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18"/>
      <c r="C907" s="18"/>
      <c r="D907" s="18"/>
      <c r="E907" s="18"/>
      <c r="F907" s="18"/>
      <c r="G907" s="137"/>
      <c r="H907" s="137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18"/>
      <c r="C908" s="18"/>
      <c r="D908" s="18"/>
      <c r="E908" s="18"/>
      <c r="F908" s="18"/>
      <c r="G908" s="137"/>
      <c r="H908" s="137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18"/>
      <c r="C909" s="18"/>
      <c r="D909" s="18"/>
      <c r="E909" s="18"/>
      <c r="F909" s="18"/>
      <c r="G909" s="137"/>
      <c r="H909" s="137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18"/>
      <c r="C910" s="18"/>
      <c r="D910" s="18"/>
      <c r="E910" s="18"/>
      <c r="F910" s="18"/>
      <c r="G910" s="137"/>
      <c r="H910" s="137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18"/>
      <c r="C911" s="18"/>
      <c r="D911" s="18"/>
      <c r="E911" s="18"/>
      <c r="F911" s="18"/>
      <c r="G911" s="137"/>
      <c r="H911" s="137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18"/>
      <c r="C912" s="18"/>
      <c r="D912" s="18"/>
      <c r="E912" s="18"/>
      <c r="F912" s="18"/>
      <c r="G912" s="137"/>
      <c r="H912" s="137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18"/>
      <c r="C913" s="18"/>
      <c r="D913" s="18"/>
      <c r="E913" s="18"/>
      <c r="F913" s="18"/>
      <c r="G913" s="137"/>
      <c r="H913" s="137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18"/>
      <c r="C914" s="18"/>
      <c r="D914" s="18"/>
      <c r="E914" s="18"/>
      <c r="F914" s="18"/>
      <c r="G914" s="137"/>
      <c r="H914" s="137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18"/>
      <c r="C915" s="18"/>
      <c r="D915" s="18"/>
      <c r="E915" s="18"/>
      <c r="F915" s="18"/>
      <c r="G915" s="137"/>
      <c r="H915" s="137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18"/>
      <c r="C916" s="18"/>
      <c r="D916" s="18"/>
      <c r="E916" s="18"/>
      <c r="F916" s="18"/>
      <c r="G916" s="137"/>
      <c r="H916" s="137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18"/>
      <c r="C917" s="18"/>
      <c r="D917" s="18"/>
      <c r="E917" s="18"/>
      <c r="F917" s="18"/>
      <c r="G917" s="137"/>
      <c r="H917" s="137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8"/>
      <c r="B918" s="18"/>
      <c r="C918" s="18"/>
      <c r="D918" s="18"/>
      <c r="E918" s="18"/>
      <c r="F918" s="18"/>
      <c r="G918" s="137"/>
      <c r="H918" s="137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8"/>
      <c r="B919" s="18"/>
      <c r="C919" s="18"/>
      <c r="D919" s="18"/>
      <c r="E919" s="18"/>
      <c r="F919" s="18"/>
      <c r="G919" s="137"/>
      <c r="H919" s="137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8"/>
      <c r="B920" s="18"/>
      <c r="C920" s="18"/>
      <c r="D920" s="18"/>
      <c r="E920" s="18"/>
      <c r="F920" s="18"/>
      <c r="G920" s="137"/>
      <c r="H920" s="137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8"/>
      <c r="B921" s="18"/>
      <c r="C921" s="18"/>
      <c r="D921" s="18"/>
      <c r="E921" s="18"/>
      <c r="F921" s="18"/>
      <c r="G921" s="137"/>
      <c r="H921" s="137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8"/>
      <c r="B922" s="18"/>
      <c r="C922" s="18"/>
      <c r="D922" s="18"/>
      <c r="E922" s="18"/>
      <c r="F922" s="18"/>
      <c r="G922" s="137"/>
      <c r="H922" s="137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8"/>
      <c r="B923" s="18"/>
      <c r="C923" s="18"/>
      <c r="D923" s="18"/>
      <c r="E923" s="18"/>
      <c r="F923" s="18"/>
      <c r="G923" s="137"/>
      <c r="H923" s="137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8"/>
      <c r="B924" s="18"/>
      <c r="C924" s="18"/>
      <c r="D924" s="18"/>
      <c r="E924" s="18"/>
      <c r="F924" s="18"/>
      <c r="G924" s="137"/>
      <c r="H924" s="137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8"/>
      <c r="B925" s="18"/>
      <c r="C925" s="18"/>
      <c r="D925" s="18"/>
      <c r="E925" s="18"/>
      <c r="F925" s="18"/>
      <c r="G925" s="137"/>
      <c r="H925" s="137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8"/>
      <c r="B926" s="18"/>
      <c r="C926" s="18"/>
      <c r="D926" s="18"/>
      <c r="E926" s="18"/>
      <c r="F926" s="18"/>
      <c r="G926" s="137"/>
      <c r="H926" s="137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8"/>
      <c r="B927" s="18"/>
      <c r="C927" s="18"/>
      <c r="D927" s="18"/>
      <c r="E927" s="18"/>
      <c r="F927" s="18"/>
      <c r="G927" s="137"/>
      <c r="H927" s="137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8"/>
      <c r="B928" s="18"/>
      <c r="C928" s="18"/>
      <c r="D928" s="18"/>
      <c r="E928" s="18"/>
      <c r="F928" s="18"/>
      <c r="G928" s="137"/>
      <c r="H928" s="137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8"/>
      <c r="B929" s="18"/>
      <c r="C929" s="18"/>
      <c r="D929" s="18"/>
      <c r="E929" s="18"/>
      <c r="F929" s="18"/>
      <c r="G929" s="137"/>
      <c r="H929" s="137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8"/>
      <c r="B930" s="18"/>
      <c r="C930" s="18"/>
      <c r="D930" s="18"/>
      <c r="E930" s="18"/>
      <c r="F930" s="18"/>
      <c r="G930" s="137"/>
      <c r="H930" s="137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8"/>
      <c r="B931" s="18"/>
      <c r="C931" s="18"/>
      <c r="D931" s="18"/>
      <c r="E931" s="18"/>
      <c r="F931" s="18"/>
      <c r="G931" s="137"/>
      <c r="H931" s="137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8"/>
      <c r="B932" s="18"/>
      <c r="C932" s="18"/>
      <c r="D932" s="18"/>
      <c r="E932" s="18"/>
      <c r="F932" s="18"/>
      <c r="G932" s="137"/>
      <c r="H932" s="137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8"/>
      <c r="B933" s="18"/>
      <c r="C933" s="18"/>
      <c r="D933" s="18"/>
      <c r="E933" s="18"/>
      <c r="F933" s="18"/>
      <c r="G933" s="137"/>
      <c r="H933" s="137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8"/>
      <c r="B934" s="18"/>
      <c r="C934" s="18"/>
      <c r="D934" s="18"/>
      <c r="E934" s="18"/>
      <c r="F934" s="18"/>
      <c r="G934" s="137"/>
      <c r="H934" s="137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8"/>
      <c r="B935" s="18"/>
      <c r="C935" s="18"/>
      <c r="D935" s="18"/>
      <c r="E935" s="18"/>
      <c r="F935" s="18"/>
      <c r="G935" s="137"/>
      <c r="H935" s="137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8"/>
      <c r="B936" s="18"/>
      <c r="C936" s="18"/>
      <c r="D936" s="18"/>
      <c r="E936" s="18"/>
      <c r="F936" s="18"/>
      <c r="G936" s="137"/>
      <c r="H936" s="137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8"/>
      <c r="B937" s="18"/>
      <c r="C937" s="18"/>
      <c r="D937" s="18"/>
      <c r="E937" s="18"/>
      <c r="F937" s="18"/>
      <c r="G937" s="137"/>
      <c r="H937" s="137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8"/>
      <c r="B938" s="18"/>
      <c r="C938" s="18"/>
      <c r="D938" s="18"/>
      <c r="E938" s="18"/>
      <c r="F938" s="18"/>
      <c r="G938" s="137"/>
      <c r="H938" s="137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8"/>
      <c r="B939" s="18"/>
      <c r="C939" s="18"/>
      <c r="D939" s="18"/>
      <c r="E939" s="18"/>
      <c r="F939" s="18"/>
      <c r="G939" s="137"/>
      <c r="H939" s="137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8"/>
      <c r="B940" s="18"/>
      <c r="C940" s="18"/>
      <c r="D940" s="18"/>
      <c r="E940" s="18"/>
      <c r="F940" s="18"/>
      <c r="G940" s="137"/>
      <c r="H940" s="137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8"/>
      <c r="B941" s="18"/>
      <c r="C941" s="18"/>
      <c r="D941" s="18"/>
      <c r="E941" s="18"/>
      <c r="F941" s="18"/>
      <c r="G941" s="137"/>
      <c r="H941" s="137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8"/>
      <c r="B942" s="18"/>
      <c r="C942" s="18"/>
      <c r="D942" s="18"/>
      <c r="E942" s="18"/>
      <c r="F942" s="18"/>
      <c r="G942" s="137"/>
      <c r="H942" s="137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8"/>
      <c r="B943" s="18"/>
      <c r="C943" s="18"/>
      <c r="D943" s="18"/>
      <c r="E943" s="18"/>
      <c r="F943" s="18"/>
      <c r="G943" s="137"/>
      <c r="H943" s="137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8"/>
      <c r="B944" s="18"/>
      <c r="C944" s="18"/>
      <c r="D944" s="18"/>
      <c r="E944" s="18"/>
      <c r="F944" s="18"/>
      <c r="G944" s="137"/>
      <c r="H944" s="137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8"/>
      <c r="B945" s="18"/>
      <c r="C945" s="18"/>
      <c r="D945" s="18"/>
      <c r="E945" s="18"/>
      <c r="F945" s="18"/>
      <c r="G945" s="137"/>
      <c r="H945" s="137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8"/>
      <c r="B946" s="18"/>
      <c r="C946" s="18"/>
      <c r="D946" s="18"/>
      <c r="E946" s="18"/>
      <c r="F946" s="18"/>
      <c r="G946" s="137"/>
      <c r="H946" s="137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8"/>
      <c r="B947" s="18"/>
      <c r="C947" s="18"/>
      <c r="D947" s="18"/>
      <c r="E947" s="18"/>
      <c r="F947" s="18"/>
      <c r="G947" s="137"/>
      <c r="H947" s="137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8"/>
      <c r="B948" s="18"/>
      <c r="C948" s="18"/>
      <c r="D948" s="18"/>
      <c r="E948" s="18"/>
      <c r="F948" s="18"/>
      <c r="G948" s="137"/>
      <c r="H948" s="137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8"/>
      <c r="B949" s="18"/>
      <c r="C949" s="18"/>
      <c r="D949" s="18"/>
      <c r="E949" s="18"/>
      <c r="F949" s="18"/>
      <c r="G949" s="137"/>
      <c r="H949" s="137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8"/>
      <c r="B950" s="18"/>
      <c r="C950" s="18"/>
      <c r="D950" s="18"/>
      <c r="E950" s="18"/>
      <c r="F950" s="18"/>
      <c r="G950" s="137"/>
      <c r="H950" s="137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8"/>
      <c r="B951" s="18"/>
      <c r="C951" s="18"/>
      <c r="D951" s="18"/>
      <c r="E951" s="18"/>
      <c r="F951" s="18"/>
      <c r="G951" s="137"/>
      <c r="H951" s="137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8"/>
      <c r="B952" s="18"/>
      <c r="C952" s="18"/>
      <c r="D952" s="18"/>
      <c r="E952" s="18"/>
      <c r="F952" s="18"/>
      <c r="G952" s="137"/>
      <c r="H952" s="137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8"/>
      <c r="B953" s="18"/>
      <c r="C953" s="18"/>
      <c r="D953" s="18"/>
      <c r="E953" s="18"/>
      <c r="F953" s="18"/>
      <c r="G953" s="137"/>
      <c r="H953" s="137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8"/>
      <c r="B954" s="18"/>
      <c r="C954" s="18"/>
      <c r="D954" s="18"/>
      <c r="E954" s="18"/>
      <c r="F954" s="18"/>
      <c r="G954" s="137"/>
      <c r="H954" s="137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8"/>
      <c r="B955" s="18"/>
      <c r="C955" s="18"/>
      <c r="D955" s="18"/>
      <c r="E955" s="18"/>
      <c r="F955" s="18"/>
      <c r="G955" s="137"/>
      <c r="H955" s="137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8"/>
      <c r="B956" s="18"/>
      <c r="C956" s="18"/>
      <c r="D956" s="18"/>
      <c r="E956" s="18"/>
      <c r="F956" s="18"/>
      <c r="G956" s="137"/>
      <c r="H956" s="137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8"/>
      <c r="B957" s="18"/>
      <c r="C957" s="18"/>
      <c r="D957" s="18"/>
      <c r="E957" s="18"/>
      <c r="F957" s="18"/>
      <c r="G957" s="137"/>
      <c r="H957" s="137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8"/>
      <c r="B958" s="18"/>
      <c r="C958" s="18"/>
      <c r="D958" s="18"/>
      <c r="E958" s="18"/>
      <c r="F958" s="18"/>
      <c r="G958" s="137"/>
      <c r="H958" s="137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8"/>
      <c r="B959" s="18"/>
      <c r="C959" s="18"/>
      <c r="D959" s="18"/>
      <c r="E959" s="18"/>
      <c r="F959" s="18"/>
      <c r="G959" s="137"/>
      <c r="H959" s="137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8"/>
      <c r="B960" s="18"/>
      <c r="C960" s="18"/>
      <c r="D960" s="18"/>
      <c r="E960" s="18"/>
      <c r="F960" s="18"/>
      <c r="G960" s="137"/>
      <c r="H960" s="137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8"/>
      <c r="B961" s="18"/>
      <c r="C961" s="18"/>
      <c r="D961" s="18"/>
      <c r="E961" s="18"/>
      <c r="F961" s="18"/>
      <c r="G961" s="137"/>
      <c r="H961" s="137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8"/>
      <c r="B962" s="18"/>
      <c r="C962" s="18"/>
      <c r="D962" s="18"/>
      <c r="E962" s="18"/>
      <c r="F962" s="18"/>
      <c r="G962" s="137"/>
      <c r="H962" s="137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8"/>
      <c r="B963" s="18"/>
      <c r="C963" s="18"/>
      <c r="D963" s="18"/>
      <c r="E963" s="18"/>
      <c r="F963" s="18"/>
      <c r="G963" s="137"/>
      <c r="H963" s="137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8"/>
      <c r="B964" s="18"/>
      <c r="C964" s="18"/>
      <c r="D964" s="18"/>
      <c r="E964" s="18"/>
      <c r="F964" s="18"/>
      <c r="G964" s="137"/>
      <c r="H964" s="137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8"/>
      <c r="B965" s="18"/>
      <c r="C965" s="18"/>
      <c r="D965" s="18"/>
      <c r="E965" s="18"/>
      <c r="F965" s="18"/>
      <c r="G965" s="137"/>
      <c r="H965" s="137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8"/>
      <c r="B966" s="18"/>
      <c r="C966" s="18"/>
      <c r="D966" s="18"/>
      <c r="E966" s="18"/>
      <c r="F966" s="18"/>
      <c r="G966" s="137"/>
      <c r="H966" s="137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8"/>
      <c r="B967" s="18"/>
      <c r="C967" s="18"/>
      <c r="D967" s="18"/>
      <c r="E967" s="18"/>
      <c r="F967" s="18"/>
      <c r="G967" s="137"/>
      <c r="H967" s="137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8"/>
      <c r="B968" s="18"/>
      <c r="C968" s="18"/>
      <c r="D968" s="18"/>
      <c r="E968" s="18"/>
      <c r="F968" s="18"/>
      <c r="G968" s="137"/>
      <c r="H968" s="137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8"/>
      <c r="B969" s="18"/>
      <c r="C969" s="18"/>
      <c r="D969" s="18"/>
      <c r="E969" s="18"/>
      <c r="F969" s="18"/>
      <c r="G969" s="137"/>
      <c r="H969" s="137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8"/>
      <c r="B970" s="18"/>
      <c r="C970" s="18"/>
      <c r="D970" s="18"/>
      <c r="E970" s="18"/>
      <c r="F970" s="18"/>
      <c r="G970" s="137"/>
      <c r="H970" s="137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8"/>
      <c r="B971" s="18"/>
      <c r="C971" s="18"/>
      <c r="D971" s="18"/>
      <c r="E971" s="18"/>
      <c r="F971" s="18"/>
      <c r="G971" s="137"/>
      <c r="H971" s="137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8"/>
      <c r="B972" s="18"/>
      <c r="C972" s="18"/>
      <c r="D972" s="18"/>
      <c r="E972" s="18"/>
      <c r="F972" s="18"/>
      <c r="G972" s="137"/>
      <c r="H972" s="137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8"/>
      <c r="B973" s="18"/>
      <c r="C973" s="18"/>
      <c r="D973" s="18"/>
      <c r="E973" s="18"/>
      <c r="F973" s="18"/>
      <c r="G973" s="137"/>
      <c r="H973" s="137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8"/>
      <c r="B974" s="18"/>
      <c r="C974" s="18"/>
      <c r="D974" s="18"/>
      <c r="E974" s="18"/>
      <c r="F974" s="18"/>
      <c r="G974" s="137"/>
      <c r="H974" s="137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8"/>
      <c r="B975" s="18"/>
      <c r="C975" s="18"/>
      <c r="D975" s="18"/>
      <c r="E975" s="18"/>
      <c r="F975" s="18"/>
      <c r="G975" s="137"/>
      <c r="H975" s="137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8"/>
      <c r="B976" s="18"/>
      <c r="C976" s="18"/>
      <c r="D976" s="18"/>
      <c r="E976" s="18"/>
      <c r="F976" s="18"/>
      <c r="G976" s="137"/>
      <c r="H976" s="137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8"/>
      <c r="B977" s="18"/>
      <c r="C977" s="18"/>
      <c r="D977" s="18"/>
      <c r="E977" s="18"/>
      <c r="F977" s="18"/>
      <c r="G977" s="137"/>
      <c r="H977" s="137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8"/>
      <c r="B978" s="18"/>
      <c r="C978" s="18"/>
      <c r="D978" s="18"/>
      <c r="E978" s="18"/>
      <c r="F978" s="18"/>
      <c r="G978" s="137"/>
      <c r="H978" s="137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8"/>
      <c r="B979" s="18"/>
      <c r="C979" s="18"/>
      <c r="D979" s="18"/>
      <c r="E979" s="18"/>
      <c r="F979" s="18"/>
      <c r="G979" s="137"/>
      <c r="H979" s="137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8"/>
      <c r="B980" s="18"/>
      <c r="C980" s="18"/>
      <c r="D980" s="18"/>
      <c r="E980" s="18"/>
      <c r="F980" s="18"/>
      <c r="G980" s="137"/>
      <c r="H980" s="137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8"/>
      <c r="B981" s="18"/>
      <c r="C981" s="18"/>
      <c r="D981" s="18"/>
      <c r="E981" s="18"/>
      <c r="F981" s="18"/>
      <c r="G981" s="137"/>
      <c r="H981" s="137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8"/>
      <c r="B982" s="18"/>
      <c r="C982" s="18"/>
      <c r="D982" s="18"/>
      <c r="E982" s="18"/>
      <c r="F982" s="18"/>
      <c r="G982" s="137"/>
      <c r="H982" s="137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8"/>
      <c r="B983" s="18"/>
      <c r="C983" s="18"/>
      <c r="D983" s="18"/>
      <c r="E983" s="18"/>
      <c r="F983" s="18"/>
      <c r="G983" s="137"/>
      <c r="H983" s="137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8"/>
      <c r="B984" s="18"/>
      <c r="C984" s="18"/>
      <c r="D984" s="18"/>
      <c r="E984" s="18"/>
      <c r="F984" s="18"/>
      <c r="G984" s="137"/>
      <c r="H984" s="137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8"/>
      <c r="B985" s="18"/>
      <c r="C985" s="18"/>
      <c r="D985" s="18"/>
      <c r="E985" s="18"/>
      <c r="F985" s="18"/>
      <c r="G985" s="137"/>
      <c r="H985" s="137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8"/>
      <c r="B986" s="18"/>
      <c r="C986" s="18"/>
      <c r="D986" s="18"/>
      <c r="E986" s="18"/>
      <c r="F986" s="18"/>
      <c r="G986" s="137"/>
      <c r="H986" s="137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8"/>
      <c r="B987" s="18"/>
      <c r="C987" s="18"/>
      <c r="D987" s="18"/>
      <c r="E987" s="18"/>
      <c r="F987" s="18"/>
      <c r="G987" s="137"/>
      <c r="H987" s="137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8"/>
      <c r="B988" s="18"/>
      <c r="C988" s="18"/>
      <c r="D988" s="18"/>
      <c r="E988" s="18"/>
      <c r="F988" s="18"/>
      <c r="G988" s="137"/>
      <c r="H988" s="137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8"/>
      <c r="B989" s="18"/>
      <c r="C989" s="18"/>
      <c r="D989" s="18"/>
      <c r="E989" s="18"/>
      <c r="F989" s="18"/>
      <c r="G989" s="137"/>
      <c r="H989" s="137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8"/>
      <c r="B990" s="18"/>
      <c r="C990" s="18"/>
      <c r="D990" s="18"/>
      <c r="E990" s="18"/>
      <c r="F990" s="18"/>
      <c r="G990" s="137"/>
      <c r="H990" s="137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8"/>
      <c r="B991" s="18"/>
      <c r="C991" s="18"/>
      <c r="D991" s="18"/>
      <c r="E991" s="18"/>
      <c r="F991" s="18"/>
      <c r="G991" s="137"/>
      <c r="H991" s="137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8"/>
      <c r="B992" s="18"/>
      <c r="C992" s="18"/>
      <c r="D992" s="18"/>
      <c r="E992" s="18"/>
      <c r="F992" s="18"/>
      <c r="G992" s="137"/>
      <c r="H992" s="137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8"/>
      <c r="B993" s="18"/>
      <c r="C993" s="18"/>
      <c r="D993" s="18"/>
      <c r="E993" s="18"/>
      <c r="F993" s="18"/>
      <c r="G993" s="137"/>
      <c r="H993" s="137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8"/>
      <c r="B994" s="18"/>
      <c r="C994" s="18"/>
      <c r="D994" s="18"/>
      <c r="E994" s="18"/>
      <c r="F994" s="18"/>
      <c r="G994" s="137"/>
      <c r="H994" s="137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8"/>
      <c r="B995" s="18"/>
      <c r="C995" s="18"/>
      <c r="D995" s="18"/>
      <c r="E995" s="18"/>
      <c r="F995" s="18"/>
      <c r="G995" s="137"/>
      <c r="H995" s="137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8"/>
      <c r="B996" s="18"/>
      <c r="C996" s="18"/>
      <c r="D996" s="18"/>
      <c r="E996" s="18"/>
      <c r="F996" s="18"/>
      <c r="G996" s="137"/>
      <c r="H996" s="137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8"/>
      <c r="B997" s="18"/>
      <c r="C997" s="18"/>
      <c r="D997" s="18"/>
      <c r="E997" s="18"/>
      <c r="F997" s="18"/>
      <c r="G997" s="137"/>
      <c r="H997" s="137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8"/>
      <c r="B998" s="18"/>
      <c r="C998" s="18"/>
      <c r="D998" s="18"/>
      <c r="E998" s="18"/>
      <c r="F998" s="18"/>
      <c r="G998" s="137"/>
      <c r="H998" s="137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8"/>
      <c r="B999" s="18"/>
      <c r="C999" s="18"/>
      <c r="D999" s="18"/>
      <c r="E999" s="18"/>
      <c r="F999" s="18"/>
      <c r="G999" s="137"/>
      <c r="H999" s="137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8"/>
      <c r="B1000" s="18"/>
      <c r="C1000" s="18"/>
      <c r="D1000" s="18"/>
      <c r="E1000" s="18"/>
      <c r="F1000" s="18"/>
      <c r="G1000" s="137"/>
      <c r="H1000" s="13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>
      <c r="A1001" s="18"/>
      <c r="B1001" s="18"/>
      <c r="C1001" s="18"/>
      <c r="D1001" s="18"/>
      <c r="E1001" s="18"/>
      <c r="F1001" s="18"/>
      <c r="G1001" s="137"/>
      <c r="H1001" s="137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>
      <c r="A1002" s="18"/>
      <c r="B1002" s="18"/>
      <c r="C1002" s="18"/>
      <c r="D1002" s="18"/>
      <c r="E1002" s="18"/>
      <c r="F1002" s="18"/>
      <c r="G1002" s="137"/>
      <c r="H1002" s="137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>
      <c r="A1003" s="18"/>
      <c r="B1003" s="18"/>
      <c r="C1003" s="18"/>
      <c r="D1003" s="18"/>
      <c r="E1003" s="18"/>
      <c r="F1003" s="18"/>
      <c r="G1003" s="137"/>
      <c r="H1003" s="137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>
      <c r="A1004" s="18"/>
      <c r="B1004" s="18"/>
      <c r="C1004" s="18"/>
      <c r="D1004" s="18"/>
      <c r="E1004" s="18"/>
      <c r="F1004" s="18"/>
      <c r="G1004" s="137"/>
      <c r="H1004" s="137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</sheetData>
  <mergeCells count="8">
    <mergeCell ref="A1:B1"/>
    <mergeCell ref="G1:K1"/>
    <mergeCell ref="M1:N1"/>
    <mergeCell ref="O1:P1"/>
    <mergeCell ref="B11:C11"/>
    <mergeCell ref="M14:N14"/>
    <mergeCell ref="M28:N28"/>
    <mergeCell ref="O28:P28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3" width="13.63"/>
    <col customWidth="1" min="4" max="4" width="10.88"/>
    <col customWidth="1" min="5" max="5" width="21.5"/>
    <col customWidth="1" min="7" max="7" width="9.0"/>
    <col customWidth="1" min="8" max="8" width="8.5"/>
    <col customWidth="1" min="9" max="9" width="10.5"/>
    <col customWidth="1" min="10" max="10" width="2.13"/>
    <col customWidth="1" min="11" max="11" width="16.25"/>
    <col customWidth="1" min="12" max="12" width="9.63"/>
    <col customWidth="1" min="13" max="13" width="11.75"/>
    <col customWidth="1" min="14" max="14" width="10.63"/>
    <col customWidth="1" min="15" max="15" width="4.63"/>
    <col customWidth="1" min="16" max="16" width="13.63"/>
    <col customWidth="1" min="18" max="18" width="14.75"/>
    <col customWidth="1" min="19" max="19" width="14.88"/>
  </cols>
  <sheetData>
    <row r="1">
      <c r="A1" s="4" t="s">
        <v>2</v>
      </c>
      <c r="C1" s="6"/>
      <c r="D1" s="7"/>
      <c r="E1" s="10" t="s">
        <v>4</v>
      </c>
      <c r="F1" s="13"/>
      <c r="G1" s="13"/>
      <c r="H1" s="13"/>
      <c r="I1" s="16"/>
      <c r="J1" s="18"/>
      <c r="K1" s="20" t="s">
        <v>9</v>
      </c>
      <c r="M1" s="20" t="s">
        <v>10</v>
      </c>
      <c r="O1" s="6"/>
      <c r="P1" s="6" t="s">
        <v>11</v>
      </c>
      <c r="Q1" s="6" t="s">
        <v>12</v>
      </c>
      <c r="R1" s="6" t="s">
        <v>13</v>
      </c>
      <c r="S1" s="6" t="s">
        <v>14</v>
      </c>
      <c r="T1" s="6">
        <v>194.81</v>
      </c>
      <c r="U1" s="6">
        <v>21.8</v>
      </c>
      <c r="V1" s="18"/>
    </row>
    <row r="2">
      <c r="A2" s="4" t="s">
        <v>0</v>
      </c>
      <c r="B2" s="4" t="s">
        <v>16</v>
      </c>
      <c r="C2" s="4" t="s">
        <v>18</v>
      </c>
      <c r="D2" s="6"/>
      <c r="E2" s="23" t="s">
        <v>20</v>
      </c>
      <c r="F2" s="25" t="s">
        <v>21</v>
      </c>
      <c r="G2" s="27" t="s">
        <v>22</v>
      </c>
      <c r="H2" s="6" t="s">
        <v>23</v>
      </c>
      <c r="I2" s="29" t="s">
        <v>24</v>
      </c>
      <c r="J2" s="18"/>
      <c r="K2" s="25" t="s">
        <v>20</v>
      </c>
      <c r="L2" s="25" t="s">
        <v>26</v>
      </c>
      <c r="M2" s="6" t="s">
        <v>27</v>
      </c>
      <c r="N2" s="6">
        <v>14.99</v>
      </c>
      <c r="O2" s="4"/>
      <c r="P2" s="31"/>
      <c r="Q2" s="31"/>
      <c r="R2" s="6"/>
      <c r="S2" s="6"/>
      <c r="T2" s="6">
        <v>130.0</v>
      </c>
      <c r="U2" s="6">
        <v>359.2</v>
      </c>
      <c r="V2" s="18"/>
    </row>
    <row r="3">
      <c r="A3" s="4">
        <v>2025.0</v>
      </c>
      <c r="B3" s="6">
        <f>-2047.08-52.7</f>
        <v>-2099.78</v>
      </c>
      <c r="C3" s="6"/>
      <c r="D3" s="6"/>
      <c r="E3" s="23" t="s">
        <v>29</v>
      </c>
      <c r="F3" s="34">
        <f t="shared" ref="F3:F24" si="1">G3+I3+H3</f>
        <v>550.93</v>
      </c>
      <c r="G3" s="27"/>
      <c r="H3" s="6"/>
      <c r="I3" s="29">
        <v>550.93</v>
      </c>
      <c r="J3" s="4"/>
      <c r="K3" s="25" t="s">
        <v>32</v>
      </c>
      <c r="L3" s="27">
        <v>30.3</v>
      </c>
      <c r="M3" s="6" t="s">
        <v>33</v>
      </c>
      <c r="N3" s="18">
        <f>IF($A$1="Sep",49.99,0)</f>
        <v>0</v>
      </c>
      <c r="O3" s="18"/>
      <c r="P3" s="31"/>
      <c r="Q3" s="31"/>
      <c r="R3" s="6"/>
      <c r="S3" s="6"/>
      <c r="T3" s="6">
        <v>40.0</v>
      </c>
      <c r="U3" s="6">
        <v>1.69</v>
      </c>
      <c r="V3" s="18"/>
    </row>
    <row r="4">
      <c r="A4" s="6" t="s">
        <v>34</v>
      </c>
      <c r="B4" s="6">
        <v>-133.47</v>
      </c>
      <c r="C4" s="18">
        <f>1360.14+50+19.99+202.5</f>
        <v>1632.63</v>
      </c>
      <c r="D4" s="18"/>
      <c r="E4" s="23" t="s">
        <v>36</v>
      </c>
      <c r="F4" s="34">
        <f t="shared" si="1"/>
        <v>0</v>
      </c>
      <c r="G4" s="27"/>
      <c r="H4" s="27"/>
      <c r="I4" s="29">
        <f>IF(OR($A$1="Jul",$A$1="Aug",$A$1="Sep"),0,IF($A$1="Oct",242,121))</f>
        <v>0</v>
      </c>
      <c r="J4" s="6"/>
      <c r="K4" s="8" t="s">
        <v>40</v>
      </c>
      <c r="L4" s="27">
        <v>246.04</v>
      </c>
      <c r="M4" s="6" t="s">
        <v>41</v>
      </c>
      <c r="N4" s="6">
        <v>10.99</v>
      </c>
      <c r="O4" s="18"/>
      <c r="P4" s="31"/>
      <c r="Q4" s="31"/>
      <c r="R4" s="6"/>
      <c r="S4" s="6"/>
      <c r="T4" s="6">
        <v>4.65</v>
      </c>
      <c r="U4" s="6">
        <v>40.0</v>
      </c>
      <c r="V4" s="18"/>
    </row>
    <row r="5">
      <c r="A5" s="6" t="s">
        <v>42</v>
      </c>
      <c r="B5" s="6">
        <v>280.2</v>
      </c>
      <c r="C5" s="6"/>
      <c r="D5" s="18"/>
      <c r="E5" s="23" t="s">
        <v>43</v>
      </c>
      <c r="F5" s="34">
        <f t="shared" si="1"/>
        <v>74.22</v>
      </c>
      <c r="G5" s="27"/>
      <c r="H5" s="6"/>
      <c r="I5" s="29">
        <v>74.22</v>
      </c>
      <c r="J5" s="4"/>
      <c r="K5" s="20" t="s">
        <v>44</v>
      </c>
      <c r="L5" s="34">
        <v>124.82</v>
      </c>
      <c r="M5" s="6" t="s">
        <v>45</v>
      </c>
      <c r="N5" s="6">
        <v>7.99</v>
      </c>
      <c r="O5" s="18"/>
      <c r="P5" s="31"/>
      <c r="Q5" s="31"/>
      <c r="R5" s="6"/>
      <c r="S5" s="6"/>
      <c r="T5" s="6">
        <v>72.12</v>
      </c>
      <c r="U5" s="6"/>
      <c r="V5" s="18"/>
    </row>
    <row r="6">
      <c r="A6" s="4" t="s">
        <v>46</v>
      </c>
      <c r="B6" s="6">
        <v>-573.43</v>
      </c>
      <c r="C6" s="6">
        <v>100.0</v>
      </c>
      <c r="D6" s="18"/>
      <c r="E6" s="23" t="s">
        <v>47</v>
      </c>
      <c r="F6" s="34">
        <f t="shared" si="1"/>
        <v>0</v>
      </c>
      <c r="G6" s="27">
        <v>0.0</v>
      </c>
      <c r="H6" s="6"/>
      <c r="I6" s="29">
        <v>0.0</v>
      </c>
      <c r="J6" s="6"/>
      <c r="K6" s="20" t="s">
        <v>48</v>
      </c>
      <c r="L6" s="34">
        <f>238.4</f>
        <v>238.4</v>
      </c>
      <c r="M6" s="6" t="s">
        <v>49</v>
      </c>
      <c r="N6" s="6">
        <v>16.99</v>
      </c>
      <c r="O6" s="18"/>
      <c r="P6" s="31"/>
      <c r="Q6" s="31"/>
      <c r="R6" s="6"/>
      <c r="S6" s="18"/>
      <c r="T6" s="6">
        <v>25.19</v>
      </c>
      <c r="U6" s="6"/>
      <c r="V6" s="18"/>
    </row>
    <row r="7">
      <c r="A7" s="6" t="s">
        <v>50</v>
      </c>
      <c r="B7" s="6">
        <v>-779.65</v>
      </c>
      <c r="C7" s="6">
        <f>50+724.6</f>
        <v>774.6</v>
      </c>
      <c r="D7" s="18"/>
      <c r="E7" s="23" t="s">
        <v>51</v>
      </c>
      <c r="F7" s="34">
        <f t="shared" si="1"/>
        <v>0</v>
      </c>
      <c r="G7" s="27">
        <v>0.0</v>
      </c>
      <c r="H7" s="6"/>
      <c r="I7" s="29">
        <v>0.0</v>
      </c>
      <c r="J7" s="6"/>
      <c r="K7" s="25" t="s">
        <v>52</v>
      </c>
      <c r="L7" s="25">
        <v>308.96</v>
      </c>
      <c r="M7" s="6" t="s">
        <v>53</v>
      </c>
      <c r="N7" s="6">
        <v>1.79</v>
      </c>
      <c r="O7" s="18"/>
      <c r="P7" s="31"/>
      <c r="Q7" s="31"/>
      <c r="R7" s="6" t="s">
        <v>54</v>
      </c>
      <c r="S7" s="6" t="s">
        <v>55</v>
      </c>
      <c r="T7" s="6">
        <v>8.25</v>
      </c>
      <c r="U7" s="6"/>
      <c r="V7" s="18"/>
    </row>
    <row r="8">
      <c r="A8" s="6" t="s">
        <v>56</v>
      </c>
      <c r="B8" s="6">
        <v>-125.92</v>
      </c>
      <c r="C8" s="6">
        <v>0.0</v>
      </c>
      <c r="D8" s="18"/>
      <c r="E8" s="23" t="s">
        <v>57</v>
      </c>
      <c r="F8" s="34">
        <f t="shared" si="1"/>
        <v>150</v>
      </c>
      <c r="G8" s="27"/>
      <c r="H8" s="18"/>
      <c r="I8" s="29">
        <f>IF(OR($A$1="Jul",$A$1="Aug",$A$1="Sep"),150,IF(OR($A$1="May",$A$1="Jun",$A$1="Oct",$A$1="Nov"),120,100))</f>
        <v>150</v>
      </c>
      <c r="J8" s="50"/>
      <c r="K8" s="8"/>
      <c r="L8" s="27"/>
      <c r="M8" s="6" t="s">
        <v>59</v>
      </c>
      <c r="N8" s="18">
        <f>IF($A$1="Aug",129.99,0)</f>
        <v>129.99</v>
      </c>
      <c r="O8" s="18"/>
      <c r="P8" s="31"/>
      <c r="Q8" s="31"/>
      <c r="R8" s="6"/>
      <c r="S8" s="6"/>
      <c r="T8" s="6">
        <v>150.93</v>
      </c>
      <c r="U8" s="6"/>
      <c r="V8" s="18"/>
    </row>
    <row r="9">
      <c r="A9" s="6" t="s">
        <v>61</v>
      </c>
      <c r="B9" s="6">
        <v>-139.27</v>
      </c>
      <c r="C9" s="6">
        <v>150.0</v>
      </c>
      <c r="D9" s="18"/>
      <c r="E9" s="23" t="s">
        <v>62</v>
      </c>
      <c r="F9" s="34">
        <f t="shared" si="1"/>
        <v>90</v>
      </c>
      <c r="G9" s="27"/>
      <c r="H9" s="18"/>
      <c r="I9" s="29">
        <f>IF(OR($A$1="Jun",$A$1="Aug",$A$1="Oct"),90,IF(OR($A$1="Apr",$A$1="Dec"),130,IF($A$1="Feb",200,0)))</f>
        <v>90</v>
      </c>
      <c r="J9" s="50"/>
      <c r="K9" s="57" t="s">
        <v>64</v>
      </c>
      <c r="L9" s="61">
        <f>SUM(L3:L8)</f>
        <v>948.52</v>
      </c>
      <c r="M9" s="63" t="s">
        <v>66</v>
      </c>
      <c r="N9" s="65">
        <f>SUM(N2:N8)</f>
        <v>182.74</v>
      </c>
      <c r="O9" s="18"/>
      <c r="P9" s="31"/>
      <c r="Q9" s="31"/>
      <c r="R9" s="6"/>
      <c r="S9" s="18"/>
      <c r="T9" s="6">
        <v>38.97</v>
      </c>
      <c r="U9" s="6"/>
      <c r="V9" s="18"/>
    </row>
    <row r="10">
      <c r="A10" s="6" t="s">
        <v>68</v>
      </c>
      <c r="B10" s="6">
        <v>-308.8</v>
      </c>
      <c r="C10" s="6">
        <f>0.97+106.69-49.96</f>
        <v>57.7</v>
      </c>
      <c r="D10" s="18"/>
      <c r="E10" s="68" t="s">
        <v>70</v>
      </c>
      <c r="F10" s="34">
        <f t="shared" si="1"/>
        <v>109</v>
      </c>
      <c r="G10" s="34"/>
      <c r="H10" s="18"/>
      <c r="I10" s="70">
        <f>99+10</f>
        <v>109</v>
      </c>
      <c r="J10" s="72"/>
      <c r="K10" s="8" t="s">
        <v>29</v>
      </c>
      <c r="L10" s="75">
        <f>F3</f>
        <v>550.93</v>
      </c>
      <c r="O10" s="18"/>
      <c r="P10" s="31"/>
      <c r="Q10" s="31"/>
      <c r="R10" s="6"/>
      <c r="S10" s="18"/>
      <c r="T10" s="6">
        <v>1.45</v>
      </c>
      <c r="U10" s="6"/>
      <c r="V10" s="18"/>
    </row>
    <row r="11">
      <c r="A11" s="6" t="s">
        <v>2</v>
      </c>
      <c r="B11" s="18"/>
      <c r="C11" s="18"/>
      <c r="D11" s="6"/>
      <c r="E11" s="23" t="s">
        <v>72</v>
      </c>
      <c r="F11" s="34">
        <f t="shared" si="1"/>
        <v>948.52</v>
      </c>
      <c r="G11" s="27">
        <f>L3</f>
        <v>30.3</v>
      </c>
      <c r="H11" s="18">
        <f>L4+L5</f>
        <v>370.86</v>
      </c>
      <c r="I11" s="29">
        <f>SUM(L6:L8)</f>
        <v>547.36</v>
      </c>
      <c r="J11" s="25"/>
      <c r="K11" s="57" t="s">
        <v>66</v>
      </c>
      <c r="L11" s="61">
        <f>L9+L10</f>
        <v>1499.45</v>
      </c>
      <c r="O11" s="18"/>
      <c r="P11" s="31"/>
      <c r="Q11" s="31"/>
      <c r="R11" s="6"/>
      <c r="S11" s="18"/>
      <c r="T11" s="6">
        <v>48.88</v>
      </c>
      <c r="U11" s="6"/>
      <c r="V11" s="18"/>
    </row>
    <row r="12">
      <c r="A12" s="6" t="s">
        <v>3</v>
      </c>
      <c r="B12" s="18"/>
      <c r="C12" s="18"/>
      <c r="D12" s="18"/>
      <c r="E12" s="68" t="s">
        <v>73</v>
      </c>
      <c r="F12" s="34">
        <f t="shared" si="1"/>
        <v>0</v>
      </c>
      <c r="G12" s="27"/>
      <c r="H12" s="18"/>
      <c r="I12" s="70">
        <f>IF(OR($A$1="Jan",$A$1="Mar",$A$1="May",$A$1="Jul",$A$1="Sep",$A$1="Nov",),50,0)</f>
        <v>0</v>
      </c>
      <c r="J12" s="72"/>
      <c r="K12" s="79"/>
      <c r="L12" s="80"/>
      <c r="O12" s="18"/>
      <c r="P12" s="31"/>
      <c r="Q12" s="31"/>
      <c r="R12" s="18"/>
      <c r="S12" s="18"/>
      <c r="T12" s="6">
        <v>12.3</v>
      </c>
      <c r="U12" s="6"/>
      <c r="V12" s="18"/>
    </row>
    <row r="13">
      <c r="A13" s="6" t="s">
        <v>74</v>
      </c>
      <c r="B13" s="6"/>
      <c r="C13" s="18"/>
      <c r="D13" s="18"/>
      <c r="E13" s="68" t="s">
        <v>10</v>
      </c>
      <c r="F13" s="34">
        <f t="shared" si="1"/>
        <v>182.74</v>
      </c>
      <c r="G13" s="27"/>
      <c r="H13" s="6"/>
      <c r="I13" s="70">
        <f>N9</f>
        <v>182.74</v>
      </c>
      <c r="J13" s="25"/>
      <c r="O13" s="18"/>
      <c r="P13" s="31"/>
      <c r="Q13" s="31"/>
      <c r="R13" s="18"/>
      <c r="S13" s="18"/>
      <c r="T13" s="6">
        <v>2.45</v>
      </c>
      <c r="U13" s="6"/>
      <c r="V13" s="18"/>
    </row>
    <row r="14">
      <c r="A14" s="4" t="s">
        <v>76</v>
      </c>
      <c r="B14" s="18"/>
      <c r="C14" s="18"/>
      <c r="D14" s="6"/>
      <c r="E14" s="82" t="s">
        <v>78</v>
      </c>
      <c r="F14" s="34">
        <f t="shared" si="1"/>
        <v>80</v>
      </c>
      <c r="G14" s="18"/>
      <c r="H14" s="18"/>
      <c r="I14" s="83">
        <f>60+20</f>
        <v>80</v>
      </c>
      <c r="J14" s="25"/>
      <c r="K14" s="8" t="s">
        <v>79</v>
      </c>
      <c r="M14" s="8"/>
      <c r="N14" s="8"/>
      <c r="O14" s="18"/>
      <c r="P14" s="31"/>
      <c r="Q14" s="31"/>
      <c r="R14" s="18"/>
      <c r="S14" s="18"/>
      <c r="T14" s="6">
        <v>130.41</v>
      </c>
      <c r="U14" s="18"/>
      <c r="V14" s="18"/>
    </row>
    <row r="15">
      <c r="A15" s="6" t="s">
        <v>80</v>
      </c>
      <c r="B15" s="18"/>
      <c r="C15" s="18"/>
      <c r="D15" s="18"/>
      <c r="E15" s="23" t="s">
        <v>81</v>
      </c>
      <c r="F15" s="34">
        <f t="shared" si="1"/>
        <v>0</v>
      </c>
      <c r="G15" s="27"/>
      <c r="H15" s="6"/>
      <c r="I15" s="29">
        <f>L20+L19</f>
        <v>0</v>
      </c>
      <c r="J15" s="4"/>
      <c r="K15" s="8" t="s">
        <v>82</v>
      </c>
      <c r="L15" s="18">
        <f>IF(OR($A$1="Feb",$A$1="May",$A$1="Aug",$A$1="Nov"),98.1,0)</f>
        <v>98.1</v>
      </c>
      <c r="M15" s="8"/>
      <c r="N15" s="8"/>
      <c r="O15" s="18"/>
      <c r="P15" s="31"/>
      <c r="Q15" s="31"/>
      <c r="R15" s="18"/>
      <c r="S15" s="18"/>
      <c r="T15" s="6">
        <v>18.8</v>
      </c>
      <c r="U15" s="18"/>
      <c r="V15" s="18"/>
    </row>
    <row r="16">
      <c r="A16" s="6" t="s">
        <v>66</v>
      </c>
      <c r="B16" s="6">
        <f>SUM(B3:B15)+C16</f>
        <v>-1165.19</v>
      </c>
      <c r="C16" s="6">
        <f>SUM(C3:C15)</f>
        <v>2714.93</v>
      </c>
      <c r="D16" s="6"/>
      <c r="E16" s="68" t="s">
        <v>84</v>
      </c>
      <c r="F16" s="34">
        <f t="shared" si="1"/>
        <v>59.9</v>
      </c>
      <c r="G16" s="27"/>
      <c r="H16" s="6"/>
      <c r="I16" s="70">
        <f>IF($A$1="Feb",60.97,59.9)</f>
        <v>59.9</v>
      </c>
      <c r="J16" s="4"/>
      <c r="K16" s="8" t="s">
        <v>67</v>
      </c>
      <c r="L16" s="18">
        <f>IF(OR($A$1="Feb",$A$1="May",$A$1="Aug",$A$1="Nov"),(39.15+329.22/4),0)</f>
        <v>121.455</v>
      </c>
      <c r="M16" s="8"/>
      <c r="N16" s="8"/>
      <c r="O16" s="18"/>
      <c r="P16" s="31"/>
      <c r="Q16" s="31"/>
      <c r="R16" s="18"/>
      <c r="S16" s="18"/>
      <c r="T16" s="18"/>
      <c r="U16" s="18"/>
      <c r="V16" s="18"/>
    </row>
    <row r="17">
      <c r="A17" s="18"/>
      <c r="B17" s="88"/>
      <c r="C17" s="88"/>
      <c r="D17" s="6"/>
      <c r="E17" s="82" t="s">
        <v>82</v>
      </c>
      <c r="F17" s="34">
        <f t="shared" si="1"/>
        <v>98.1</v>
      </c>
      <c r="G17" s="75"/>
      <c r="H17" s="6"/>
      <c r="I17" s="29">
        <f t="shared" ref="I17:I20" si="2">L15</f>
        <v>98.1</v>
      </c>
      <c r="J17" s="25"/>
      <c r="K17" s="8" t="s">
        <v>89</v>
      </c>
      <c r="L17" s="6">
        <f>IF($A$1="May",155.05,0)</f>
        <v>0</v>
      </c>
      <c r="M17" s="8"/>
      <c r="N17" s="93"/>
      <c r="O17" s="18"/>
      <c r="P17" s="31"/>
      <c r="Q17" s="31"/>
      <c r="R17" s="18"/>
      <c r="S17" s="18"/>
      <c r="T17" s="18"/>
      <c r="U17" s="18"/>
      <c r="V17" s="18"/>
    </row>
    <row r="18">
      <c r="A18" s="18"/>
      <c r="B18" s="18"/>
      <c r="C18" s="18"/>
      <c r="D18" s="6"/>
      <c r="E18" s="82" t="s">
        <v>67</v>
      </c>
      <c r="F18" s="34">
        <f t="shared" si="1"/>
        <v>121.455</v>
      </c>
      <c r="G18" s="6"/>
      <c r="H18" s="27"/>
      <c r="I18" s="29">
        <f t="shared" si="2"/>
        <v>121.455</v>
      </c>
      <c r="J18" s="4"/>
      <c r="K18" s="8" t="s">
        <v>91</v>
      </c>
      <c r="L18" s="6">
        <f>IF($A$1="Jul",80,0)</f>
        <v>0</v>
      </c>
      <c r="M18" s="8"/>
      <c r="N18" s="93"/>
      <c r="O18" s="18"/>
      <c r="P18" s="31"/>
      <c r="Q18" s="31"/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82" t="s">
        <v>89</v>
      </c>
      <c r="F19" s="34">
        <f t="shared" si="1"/>
        <v>0</v>
      </c>
      <c r="G19" s="6"/>
      <c r="H19" s="18"/>
      <c r="I19" s="94">
        <f t="shared" si="2"/>
        <v>0</v>
      </c>
      <c r="J19" s="25"/>
      <c r="K19" s="8" t="s">
        <v>92</v>
      </c>
      <c r="L19" s="6">
        <f>IF($A$1="Sep",449.58,0)</f>
        <v>0</v>
      </c>
      <c r="M19" s="8"/>
      <c r="N19" s="8"/>
      <c r="O19" s="18"/>
      <c r="P19" s="31"/>
      <c r="Q19" s="31"/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82" t="s">
        <v>94</v>
      </c>
      <c r="F20" s="34">
        <f t="shared" si="1"/>
        <v>0</v>
      </c>
      <c r="G20" s="75"/>
      <c r="H20" s="75"/>
      <c r="I20" s="29">
        <f t="shared" si="2"/>
        <v>0</v>
      </c>
      <c r="J20" s="4"/>
      <c r="K20" s="8" t="s">
        <v>95</v>
      </c>
      <c r="L20" s="6">
        <f>IF($A$1="Jan",126.66,IF(OR($A$1="Feb",$A$1="Apr"),121.82,0))</f>
        <v>0</v>
      </c>
      <c r="O20" s="18"/>
      <c r="P20" s="95"/>
      <c r="Q20" s="31"/>
      <c r="R20" s="18"/>
      <c r="S20" s="18"/>
      <c r="T20" s="18"/>
      <c r="U20" s="18"/>
      <c r="V20" s="18"/>
    </row>
    <row r="21">
      <c r="A21" s="4"/>
      <c r="B21" s="18"/>
      <c r="C21" s="6"/>
      <c r="D21" s="18"/>
      <c r="E21" s="82" t="s">
        <v>96</v>
      </c>
      <c r="F21" s="34">
        <f t="shared" si="1"/>
        <v>456.54</v>
      </c>
      <c r="G21" s="27"/>
      <c r="H21" s="27"/>
      <c r="I21" s="83">
        <f>IF($A$1="Aug",413.47+43.07,358.71)</f>
        <v>456.54</v>
      </c>
      <c r="J21" s="88"/>
      <c r="K21" s="88"/>
      <c r="L21" s="88"/>
      <c r="M21" s="88"/>
      <c r="N21" s="88"/>
      <c r="O21" s="18"/>
      <c r="P21" s="31"/>
      <c r="Q21" s="6"/>
      <c r="R21" s="18"/>
      <c r="S21" s="18"/>
      <c r="T21" s="18"/>
      <c r="U21" s="18"/>
      <c r="V21" s="18"/>
    </row>
    <row r="22">
      <c r="A22" s="18"/>
      <c r="B22" s="6"/>
      <c r="C22" s="6"/>
      <c r="D22" s="18"/>
      <c r="E22" s="82" t="s">
        <v>99</v>
      </c>
      <c r="F22" s="34">
        <f t="shared" si="1"/>
        <v>21.73</v>
      </c>
      <c r="G22" s="6">
        <v>21.73</v>
      </c>
      <c r="H22" s="6"/>
      <c r="I22" s="83">
        <f>IF($A$1="Jun",330,0)</f>
        <v>0</v>
      </c>
      <c r="J22" s="50"/>
      <c r="K22" s="88"/>
      <c r="L22" s="88"/>
      <c r="M22" s="88"/>
      <c r="N22" s="88"/>
      <c r="O22" s="18"/>
      <c r="P22" s="31"/>
      <c r="Q22" s="6"/>
      <c r="R22" s="18"/>
      <c r="S22" s="18"/>
      <c r="T22" s="18"/>
      <c r="U22" s="18"/>
      <c r="V22" s="18"/>
    </row>
    <row r="23">
      <c r="A23" s="18"/>
      <c r="B23" s="6"/>
      <c r="C23" s="6"/>
      <c r="D23" s="18"/>
      <c r="E23" s="82" t="s">
        <v>100</v>
      </c>
      <c r="F23" s="34">
        <f t="shared" si="1"/>
        <v>0</v>
      </c>
      <c r="G23" s="6"/>
      <c r="H23" s="6"/>
      <c r="I23" s="83">
        <v>0.0</v>
      </c>
      <c r="J23" s="50"/>
      <c r="K23" s="88"/>
      <c r="L23" s="88"/>
      <c r="M23" s="88"/>
      <c r="N23" s="88"/>
      <c r="O23" s="18"/>
      <c r="P23" s="31"/>
      <c r="Q23" s="6"/>
      <c r="R23" s="18"/>
      <c r="S23" s="18"/>
      <c r="T23" s="18"/>
      <c r="U23" s="18"/>
      <c r="V23" s="18"/>
    </row>
    <row r="24">
      <c r="A24" s="18"/>
      <c r="B24" s="6"/>
      <c r="C24" s="18"/>
      <c r="D24" s="18"/>
      <c r="E24" s="102" t="s">
        <v>101</v>
      </c>
      <c r="F24" s="103">
        <f t="shared" si="1"/>
        <v>200</v>
      </c>
      <c r="G24" s="104"/>
      <c r="H24" s="104"/>
      <c r="I24" s="106">
        <f>IF(OR($A$1="Jan",$A$1="Mar",$A$1="May",$A$1="Jul",$A$1="Sep",$A$1="Nov"),100,IF(OR($A$1="Apr",$A$1="Jun",$A$1="Aug",$A$1="Oct",$A$1="Dec"),200,IF(OR($A$1="Feb"),300,0)))</f>
        <v>200</v>
      </c>
      <c r="J24" s="4"/>
      <c r="K24" s="8" t="s">
        <v>103</v>
      </c>
      <c r="L24" s="88"/>
      <c r="M24" s="88"/>
      <c r="N24" s="88"/>
      <c r="O24" s="88"/>
      <c r="P24" s="31"/>
      <c r="Q24" s="6"/>
      <c r="R24" s="18"/>
      <c r="S24" s="18"/>
      <c r="T24" s="18"/>
      <c r="U24" s="18"/>
      <c r="V24" s="18"/>
    </row>
    <row r="25">
      <c r="A25" s="107"/>
      <c r="B25" s="6"/>
      <c r="C25" s="18"/>
      <c r="D25" s="18"/>
      <c r="E25" s="108" t="s">
        <v>104</v>
      </c>
      <c r="F25" s="111">
        <f t="shared" ref="F25:I25" si="3">SUM(F3:F24)</f>
        <v>3143.135</v>
      </c>
      <c r="G25" s="111">
        <f t="shared" si="3"/>
        <v>52.03</v>
      </c>
      <c r="H25" s="111">
        <f t="shared" si="3"/>
        <v>370.86</v>
      </c>
      <c r="I25" s="114">
        <f t="shared" si="3"/>
        <v>2720.245</v>
      </c>
      <c r="J25" s="4"/>
      <c r="K25" s="115"/>
      <c r="L25" s="116"/>
      <c r="M25" s="115"/>
      <c r="N25" s="117"/>
      <c r="O25" s="88"/>
      <c r="P25" s="31"/>
      <c r="Q25" s="6"/>
      <c r="R25" s="18"/>
      <c r="S25" s="18"/>
      <c r="T25" s="18"/>
      <c r="U25" s="18"/>
      <c r="V25" s="18"/>
    </row>
    <row r="26">
      <c r="A26" s="107"/>
      <c r="B26" s="18"/>
      <c r="C26" s="18"/>
      <c r="D26" s="18"/>
      <c r="E26" s="119" t="s">
        <v>11</v>
      </c>
      <c r="F26" s="120">
        <f>G26+I26+H26</f>
        <v>1600.07</v>
      </c>
      <c r="G26" s="121">
        <v>0.0</v>
      </c>
      <c r="H26" s="121">
        <v>0.0</v>
      </c>
      <c r="I26" s="122">
        <v>1600.07</v>
      </c>
      <c r="J26" s="18"/>
      <c r="K26" s="18"/>
      <c r="L26" s="18"/>
      <c r="M26" s="88"/>
      <c r="N26" s="88"/>
      <c r="O26" s="88"/>
      <c r="P26" s="31"/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23" t="s">
        <v>66</v>
      </c>
      <c r="F27" s="124">
        <f t="shared" ref="F27:I27" si="4">SUM(F25:F26)</f>
        <v>4743.205</v>
      </c>
      <c r="G27" s="124">
        <f t="shared" si="4"/>
        <v>52.03</v>
      </c>
      <c r="H27" s="124">
        <f t="shared" si="4"/>
        <v>370.86</v>
      </c>
      <c r="I27" s="125">
        <f t="shared" si="4"/>
        <v>4320.315</v>
      </c>
      <c r="J27" s="88"/>
      <c r="K27" s="88"/>
      <c r="L27" s="18"/>
      <c r="M27" s="88"/>
      <c r="N27" s="88"/>
      <c r="O27" s="88"/>
      <c r="P27" s="31"/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08" t="s">
        <v>106</v>
      </c>
      <c r="F28" s="111">
        <f t="shared" ref="F28:F29" si="6">G28+H28+I28</f>
        <v>0</v>
      </c>
      <c r="G28" s="111">
        <f t="shared" ref="G28:H28" si="5">SUM(R2:R6)</f>
        <v>0</v>
      </c>
      <c r="H28" s="111">
        <f t="shared" si="5"/>
        <v>0</v>
      </c>
      <c r="I28" s="114">
        <f>SUM(Q2:Q31)</f>
        <v>0</v>
      </c>
      <c r="J28" s="88"/>
      <c r="K28" s="4"/>
      <c r="L28" s="18"/>
      <c r="M28" s="4"/>
      <c r="N28" s="4"/>
      <c r="O28" s="4"/>
      <c r="P28" s="31"/>
      <c r="Q28" s="18"/>
      <c r="R28" s="18"/>
      <c r="S28" s="18"/>
      <c r="T28" s="18"/>
      <c r="U28" s="18"/>
      <c r="V28" s="18"/>
    </row>
    <row r="29">
      <c r="A29" s="88"/>
      <c r="B29" s="18"/>
      <c r="C29" s="18"/>
      <c r="D29" s="18"/>
      <c r="E29" s="126" t="s">
        <v>107</v>
      </c>
      <c r="F29" s="127">
        <f t="shared" si="6"/>
        <v>0</v>
      </c>
      <c r="G29" s="129">
        <f t="shared" ref="G29:H29" si="7">SUM(R8:R20)</f>
        <v>0</v>
      </c>
      <c r="H29" s="129">
        <f t="shared" si="7"/>
        <v>0</v>
      </c>
      <c r="I29" s="130">
        <f>SUM(P2:P100)</f>
        <v>0</v>
      </c>
      <c r="J29" s="88"/>
      <c r="K29" s="4"/>
      <c r="L29" s="18"/>
      <c r="M29" s="4"/>
      <c r="N29" s="4"/>
      <c r="O29" s="4"/>
      <c r="P29" s="31"/>
      <c r="Q29" s="18"/>
      <c r="R29" s="18"/>
      <c r="S29" s="18"/>
      <c r="T29" s="18"/>
      <c r="U29" s="18"/>
      <c r="V29" s="18"/>
    </row>
    <row r="30">
      <c r="A30" s="88"/>
      <c r="B30" s="6"/>
      <c r="C30" s="18"/>
      <c r="D30" s="18"/>
      <c r="E30" s="132" t="s">
        <v>108</v>
      </c>
      <c r="F30" s="133">
        <f t="shared" ref="F30:I30" si="8">SUM(F28:F29)</f>
        <v>0</v>
      </c>
      <c r="G30" s="133">
        <f t="shared" si="8"/>
        <v>0</v>
      </c>
      <c r="H30" s="133">
        <f t="shared" si="8"/>
        <v>0</v>
      </c>
      <c r="I30" s="134">
        <f t="shared" si="8"/>
        <v>0</v>
      </c>
      <c r="J30" s="88"/>
      <c r="K30" s="4"/>
      <c r="L30" s="6"/>
      <c r="M30" s="4"/>
      <c r="N30" s="4"/>
      <c r="O30" s="4"/>
      <c r="P30" s="31"/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6"/>
      <c r="E31" s="108" t="s">
        <v>109</v>
      </c>
      <c r="F31" s="111">
        <f t="shared" ref="F31:F32" si="10">G31+H31+I31</f>
        <v>3143.135</v>
      </c>
      <c r="G31" s="111">
        <f t="shared" ref="G31:I31" si="9">G25-G28</f>
        <v>52.03</v>
      </c>
      <c r="H31" s="111">
        <f t="shared" si="9"/>
        <v>370.86</v>
      </c>
      <c r="I31" s="114">
        <f t="shared" si="9"/>
        <v>2720.245</v>
      </c>
      <c r="J31" s="88"/>
      <c r="K31" s="4"/>
      <c r="L31" s="6"/>
      <c r="M31" s="4"/>
      <c r="N31" s="113"/>
      <c r="O31" s="113"/>
      <c r="P31" s="31"/>
      <c r="Q31" s="18"/>
      <c r="R31" s="18"/>
      <c r="S31" s="18"/>
      <c r="T31" s="18"/>
      <c r="U31" s="18"/>
      <c r="V31" s="18"/>
    </row>
    <row r="32">
      <c r="A32" s="18"/>
      <c r="B32" s="135"/>
      <c r="C32" s="135"/>
      <c r="D32" s="88"/>
      <c r="E32" s="126" t="s">
        <v>110</v>
      </c>
      <c r="F32" s="127">
        <f t="shared" si="10"/>
        <v>1600.07</v>
      </c>
      <c r="G32" s="129">
        <f t="shared" ref="G32:I32" si="11">G26-G29</f>
        <v>0</v>
      </c>
      <c r="H32" s="129">
        <f t="shared" si="11"/>
        <v>0</v>
      </c>
      <c r="I32" s="130">
        <f t="shared" si="11"/>
        <v>1600.07</v>
      </c>
      <c r="J32" s="88"/>
      <c r="K32" s="4"/>
      <c r="L32" s="6"/>
      <c r="M32" s="4"/>
      <c r="N32" s="113"/>
      <c r="O32" s="113"/>
      <c r="P32" s="31"/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88"/>
      <c r="E33" s="132" t="s">
        <v>66</v>
      </c>
      <c r="F33" s="133">
        <f t="shared" ref="F33:I33" si="12">SUM(F31:F32)</f>
        <v>4743.205</v>
      </c>
      <c r="G33" s="133">
        <f t="shared" si="12"/>
        <v>52.03</v>
      </c>
      <c r="H33" s="133">
        <f t="shared" si="12"/>
        <v>370.86</v>
      </c>
      <c r="I33" s="134">
        <f t="shared" si="12"/>
        <v>4320.315</v>
      </c>
      <c r="J33" s="88"/>
      <c r="K33" s="4"/>
      <c r="L33" s="6"/>
      <c r="M33" s="4"/>
      <c r="N33" s="4"/>
      <c r="O33" s="4"/>
      <c r="P33" s="31"/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4" t="s">
        <v>111</v>
      </c>
      <c r="F34" s="18">
        <f>G34+I34+H34</f>
        <v>3578.02</v>
      </c>
      <c r="G34" s="6">
        <v>53.0</v>
      </c>
      <c r="H34" s="6">
        <v>240.8</v>
      </c>
      <c r="I34" s="6">
        <v>3284.22</v>
      </c>
      <c r="J34" s="88"/>
      <c r="K34" s="88"/>
      <c r="L34" s="18"/>
      <c r="M34" s="88"/>
      <c r="N34" s="88"/>
      <c r="O34" s="18"/>
      <c r="P34" s="31"/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4" t="s">
        <v>112</v>
      </c>
      <c r="F35" s="18">
        <f t="shared" ref="F35:I35" si="13">F34-F27</f>
        <v>-1165.185</v>
      </c>
      <c r="G35" s="6">
        <f t="shared" si="13"/>
        <v>0.97</v>
      </c>
      <c r="H35" s="6">
        <f t="shared" si="13"/>
        <v>-130.06</v>
      </c>
      <c r="I35" s="6">
        <f t="shared" si="13"/>
        <v>-1036.095</v>
      </c>
      <c r="J35" s="88"/>
      <c r="K35" s="88"/>
      <c r="L35" s="18"/>
      <c r="M35" s="6"/>
      <c r="N35" s="18"/>
      <c r="O35" s="18"/>
      <c r="P35" s="31"/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4" t="s">
        <v>113</v>
      </c>
      <c r="F36" s="18">
        <f t="shared" ref="F36:I36" si="14">F34-F30</f>
        <v>3578.02</v>
      </c>
      <c r="G36" s="18">
        <f t="shared" si="14"/>
        <v>53</v>
      </c>
      <c r="H36" s="18">
        <f t="shared" si="14"/>
        <v>240.8</v>
      </c>
      <c r="I36" s="18">
        <f t="shared" si="14"/>
        <v>3284.22</v>
      </c>
      <c r="J36" s="88"/>
      <c r="K36" s="88"/>
      <c r="L36" s="18"/>
      <c r="M36" s="18"/>
      <c r="N36" s="18"/>
      <c r="O36" s="18"/>
      <c r="P36" s="31"/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88"/>
      <c r="F37" s="88"/>
      <c r="G37" s="88"/>
      <c r="H37" s="50"/>
      <c r="I37" s="88"/>
      <c r="J37" s="88"/>
      <c r="K37" s="88"/>
      <c r="L37" s="18"/>
      <c r="M37" s="18"/>
      <c r="N37" s="18"/>
      <c r="O37" s="18"/>
      <c r="P37" s="31"/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88"/>
      <c r="F38" s="88"/>
      <c r="G38" s="88"/>
      <c r="H38" s="6"/>
      <c r="I38" s="88"/>
      <c r="J38" s="18"/>
      <c r="K38" s="18"/>
      <c r="L38" s="18"/>
      <c r="M38" s="18"/>
      <c r="N38" s="18"/>
      <c r="O38" s="18"/>
      <c r="P38" s="31"/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88"/>
      <c r="F39" s="88"/>
      <c r="G39" s="88"/>
      <c r="H39" s="18"/>
      <c r="I39" s="88"/>
      <c r="J39" s="18"/>
      <c r="K39" s="18"/>
      <c r="L39" s="18"/>
      <c r="M39" s="18"/>
      <c r="N39" s="18"/>
      <c r="O39" s="18"/>
      <c r="P39" s="31"/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88"/>
      <c r="F40" s="88"/>
      <c r="G40" s="88"/>
      <c r="H40" s="18"/>
      <c r="I40" s="88"/>
      <c r="J40" s="18"/>
      <c r="K40" s="18"/>
      <c r="L40" s="18"/>
      <c r="M40" s="18"/>
      <c r="N40" s="18"/>
      <c r="O40" s="18"/>
      <c r="P40" s="31"/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88"/>
      <c r="F41" s="88"/>
      <c r="G41" s="88"/>
      <c r="H41" s="18"/>
      <c r="I41" s="88"/>
      <c r="J41" s="18"/>
      <c r="K41" s="18"/>
      <c r="L41" s="18"/>
      <c r="M41" s="18"/>
      <c r="N41" s="18"/>
      <c r="O41" s="18"/>
      <c r="P41" s="31"/>
      <c r="Q41" s="50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37"/>
      <c r="F42" s="137"/>
      <c r="G42" s="18"/>
      <c r="H42" s="18"/>
      <c r="I42" s="18"/>
      <c r="J42" s="18"/>
      <c r="K42" s="18"/>
      <c r="L42" s="18"/>
      <c r="M42" s="18"/>
      <c r="N42" s="18"/>
      <c r="O42" s="18"/>
      <c r="P42" s="31"/>
      <c r="Q42" s="50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37"/>
      <c r="F43" s="137"/>
      <c r="G43" s="18"/>
      <c r="H43" s="18"/>
      <c r="I43" s="18"/>
      <c r="J43" s="18"/>
      <c r="K43" s="18"/>
      <c r="L43" s="18"/>
      <c r="M43" s="18"/>
      <c r="N43" s="18"/>
      <c r="O43" s="18"/>
      <c r="P43" s="31"/>
      <c r="Q43" s="50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37"/>
      <c r="F44" s="137"/>
      <c r="G44" s="18"/>
      <c r="H44" s="18"/>
      <c r="I44" s="18"/>
      <c r="J44" s="18"/>
      <c r="K44" s="18"/>
      <c r="L44" s="18"/>
      <c r="M44" s="18"/>
      <c r="N44" s="18"/>
      <c r="O44" s="18"/>
      <c r="P44" s="31"/>
      <c r="Q44" s="50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37"/>
      <c r="F45" s="137"/>
      <c r="G45" s="18"/>
      <c r="H45" s="18"/>
      <c r="I45" s="18"/>
      <c r="J45" s="18"/>
      <c r="K45" s="18"/>
      <c r="L45" s="18"/>
      <c r="M45" s="18"/>
      <c r="N45" s="18"/>
      <c r="O45" s="18"/>
      <c r="P45" s="31"/>
      <c r="Q45" s="50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37"/>
      <c r="F46" s="137"/>
      <c r="G46" s="18"/>
      <c r="H46" s="18"/>
      <c r="I46" s="18"/>
      <c r="J46" s="18"/>
      <c r="K46" s="18"/>
      <c r="L46" s="18"/>
      <c r="M46" s="18"/>
      <c r="N46" s="18"/>
      <c r="O46" s="18"/>
      <c r="P46" s="31"/>
      <c r="Q46" s="50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37"/>
      <c r="F47" s="137"/>
      <c r="G47" s="18"/>
      <c r="H47" s="18"/>
      <c r="I47" s="18"/>
      <c r="J47" s="18"/>
      <c r="K47" s="18"/>
      <c r="L47" s="18"/>
      <c r="M47" s="18"/>
      <c r="N47" s="18"/>
      <c r="O47" s="18"/>
      <c r="P47" s="31"/>
      <c r="Q47" s="50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37"/>
      <c r="F48" s="137"/>
      <c r="G48" s="18"/>
      <c r="H48" s="18"/>
      <c r="I48" s="18"/>
      <c r="J48" s="18"/>
      <c r="K48" s="18"/>
      <c r="L48" s="18"/>
      <c r="M48" s="18"/>
      <c r="N48" s="18"/>
      <c r="O48" s="18"/>
      <c r="P48" s="31"/>
      <c r="Q48" s="50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37"/>
      <c r="F49" s="137"/>
      <c r="G49" s="18"/>
      <c r="H49" s="18"/>
      <c r="I49" s="18"/>
      <c r="J49" s="18"/>
      <c r="K49" s="18"/>
      <c r="L49" s="18"/>
      <c r="M49" s="18"/>
      <c r="N49" s="18"/>
      <c r="O49" s="18"/>
      <c r="P49" s="31"/>
      <c r="Q49" s="50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37"/>
      <c r="F50" s="137"/>
      <c r="G50" s="18"/>
      <c r="H50" s="18"/>
      <c r="I50" s="18"/>
      <c r="J50" s="18"/>
      <c r="K50" s="18"/>
      <c r="L50" s="18"/>
      <c r="M50" s="18"/>
      <c r="N50" s="18"/>
      <c r="O50" s="18"/>
      <c r="P50" s="31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37"/>
      <c r="F51" s="137"/>
      <c r="G51" s="18"/>
      <c r="H51" s="18"/>
      <c r="I51" s="18"/>
      <c r="J51" s="18"/>
      <c r="K51" s="18"/>
      <c r="L51" s="18"/>
      <c r="M51" s="18"/>
      <c r="N51" s="18"/>
      <c r="O51" s="18"/>
      <c r="P51" s="31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37"/>
      <c r="F52" s="137"/>
      <c r="G52" s="18"/>
      <c r="H52" s="18"/>
      <c r="I52" s="18"/>
      <c r="J52" s="18"/>
      <c r="K52" s="18"/>
      <c r="L52" s="18"/>
      <c r="M52" s="18"/>
      <c r="N52" s="18"/>
      <c r="O52" s="18"/>
      <c r="P52" s="31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37"/>
      <c r="F53" s="137"/>
      <c r="G53" s="18"/>
      <c r="H53" s="18"/>
      <c r="I53" s="18"/>
      <c r="J53" s="18"/>
      <c r="K53" s="18"/>
      <c r="L53" s="18"/>
      <c r="M53" s="18"/>
      <c r="N53" s="18"/>
      <c r="O53" s="18"/>
      <c r="P53" s="31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37"/>
      <c r="F54" s="137"/>
      <c r="G54" s="18"/>
      <c r="H54" s="18"/>
      <c r="I54" s="18"/>
      <c r="J54" s="18"/>
      <c r="K54" s="18"/>
      <c r="L54" s="18"/>
      <c r="M54" s="18"/>
      <c r="N54" s="18"/>
      <c r="O54" s="18"/>
      <c r="P54" s="31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37"/>
      <c r="F55" s="137"/>
      <c r="G55" s="18"/>
      <c r="H55" s="18"/>
      <c r="I55" s="18"/>
      <c r="J55" s="18"/>
      <c r="K55" s="18"/>
      <c r="L55" s="18"/>
      <c r="M55" s="18"/>
      <c r="N55" s="18"/>
      <c r="O55" s="18"/>
      <c r="P55" s="31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37"/>
      <c r="F56" s="137"/>
      <c r="G56" s="18"/>
      <c r="H56" s="18"/>
      <c r="I56" s="18"/>
      <c r="J56" s="18"/>
      <c r="K56" s="18"/>
      <c r="L56" s="18"/>
      <c r="M56" s="18"/>
      <c r="N56" s="18"/>
      <c r="O56" s="18"/>
      <c r="P56" s="31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37"/>
      <c r="F57" s="137"/>
      <c r="G57" s="18"/>
      <c r="H57" s="18"/>
      <c r="I57" s="18"/>
      <c r="J57" s="18"/>
      <c r="K57" s="18"/>
      <c r="L57" s="18"/>
      <c r="M57" s="18"/>
      <c r="N57" s="18"/>
      <c r="O57" s="18"/>
      <c r="P57" s="31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37"/>
      <c r="F58" s="137"/>
      <c r="G58" s="18"/>
      <c r="H58" s="18"/>
      <c r="I58" s="18"/>
      <c r="J58" s="18"/>
      <c r="K58" s="18"/>
      <c r="L58" s="18"/>
      <c r="M58" s="18"/>
      <c r="N58" s="18"/>
      <c r="O58" s="18"/>
      <c r="P58" s="31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37"/>
      <c r="F59" s="137"/>
      <c r="G59" s="18"/>
      <c r="H59" s="18"/>
      <c r="I59" s="18"/>
      <c r="J59" s="18"/>
      <c r="K59" s="18"/>
      <c r="L59" s="18"/>
      <c r="M59" s="18"/>
      <c r="N59" s="18"/>
      <c r="O59" s="18"/>
      <c r="P59" s="31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37"/>
      <c r="F60" s="137"/>
      <c r="G60" s="18"/>
      <c r="H60" s="18"/>
      <c r="I60" s="18"/>
      <c r="J60" s="18"/>
      <c r="K60" s="18"/>
      <c r="L60" s="18"/>
      <c r="M60" s="18"/>
      <c r="N60" s="18"/>
      <c r="O60" s="18"/>
      <c r="P60" s="31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37"/>
      <c r="F61" s="137"/>
      <c r="G61" s="18"/>
      <c r="H61" s="18"/>
      <c r="I61" s="18"/>
      <c r="J61" s="18"/>
      <c r="K61" s="18"/>
      <c r="L61" s="18"/>
      <c r="M61" s="18"/>
      <c r="N61" s="18"/>
      <c r="O61" s="18"/>
      <c r="P61" s="31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37"/>
      <c r="F62" s="137"/>
      <c r="G62" s="18"/>
      <c r="H62" s="18"/>
      <c r="I62" s="18"/>
      <c r="J62" s="18"/>
      <c r="K62" s="18"/>
      <c r="L62" s="18"/>
      <c r="M62" s="18"/>
      <c r="N62" s="18"/>
      <c r="O62" s="18"/>
      <c r="P62" s="31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37"/>
      <c r="F63" s="137"/>
      <c r="G63" s="18"/>
      <c r="H63" s="18"/>
      <c r="I63" s="18"/>
      <c r="J63" s="18"/>
      <c r="K63" s="18"/>
      <c r="L63" s="18"/>
      <c r="M63" s="18"/>
      <c r="N63" s="18"/>
      <c r="O63" s="18"/>
      <c r="P63" s="31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37"/>
      <c r="F64" s="137"/>
      <c r="G64" s="18"/>
      <c r="H64" s="18"/>
      <c r="I64" s="18"/>
      <c r="J64" s="18"/>
      <c r="K64" s="18"/>
      <c r="L64" s="18"/>
      <c r="M64" s="18"/>
      <c r="N64" s="18"/>
      <c r="O64" s="18"/>
      <c r="P64" s="31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37"/>
      <c r="F65" s="137"/>
      <c r="G65" s="18"/>
      <c r="H65" s="18"/>
      <c r="I65" s="18"/>
      <c r="J65" s="18"/>
      <c r="K65" s="18"/>
      <c r="L65" s="18"/>
      <c r="M65" s="18"/>
      <c r="N65" s="18"/>
      <c r="O65" s="18"/>
      <c r="P65" s="31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37"/>
      <c r="F66" s="137"/>
      <c r="G66" s="18"/>
      <c r="H66" s="18"/>
      <c r="I66" s="18"/>
      <c r="J66" s="18"/>
      <c r="K66" s="18"/>
      <c r="L66" s="18"/>
      <c r="M66" s="18"/>
      <c r="N66" s="18"/>
      <c r="O66" s="18"/>
      <c r="P66" s="31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37"/>
      <c r="F67" s="137"/>
      <c r="G67" s="18"/>
      <c r="H67" s="18"/>
      <c r="I67" s="18"/>
      <c r="J67" s="18"/>
      <c r="K67" s="18"/>
      <c r="L67" s="18"/>
      <c r="M67" s="18"/>
      <c r="N67" s="18"/>
      <c r="O67" s="18"/>
      <c r="P67" s="31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37"/>
      <c r="F68" s="137"/>
      <c r="G68" s="18"/>
      <c r="H68" s="18"/>
      <c r="I68" s="18"/>
      <c r="J68" s="18"/>
      <c r="K68" s="18"/>
      <c r="L68" s="18"/>
      <c r="M68" s="18"/>
      <c r="N68" s="18"/>
      <c r="O68" s="18"/>
      <c r="P68" s="31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37"/>
      <c r="F69" s="137"/>
      <c r="G69" s="18"/>
      <c r="H69" s="18"/>
      <c r="I69" s="18"/>
      <c r="J69" s="18"/>
      <c r="K69" s="18"/>
      <c r="L69" s="18"/>
      <c r="M69" s="18"/>
      <c r="N69" s="18"/>
      <c r="O69" s="18"/>
      <c r="P69" s="31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37"/>
      <c r="F70" s="137"/>
      <c r="G70" s="18"/>
      <c r="H70" s="18"/>
      <c r="I70" s="18"/>
      <c r="J70" s="18"/>
      <c r="K70" s="18"/>
      <c r="L70" s="18"/>
      <c r="M70" s="18"/>
      <c r="N70" s="18"/>
      <c r="O70" s="18"/>
      <c r="P70" s="31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37"/>
      <c r="F71" s="13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37"/>
      <c r="F72" s="13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37"/>
      <c r="F73" s="13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37"/>
      <c r="F74" s="13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37"/>
      <c r="F75" s="13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37"/>
      <c r="F76" s="13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37"/>
      <c r="F77" s="13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37"/>
      <c r="F78" s="13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37"/>
      <c r="F79" s="13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37"/>
      <c r="F80" s="13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37"/>
      <c r="F81" s="13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37"/>
      <c r="F82" s="13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37"/>
      <c r="F83" s="13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37"/>
      <c r="F84" s="13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37"/>
      <c r="F85" s="13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37"/>
      <c r="F86" s="13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37"/>
      <c r="F87" s="13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37"/>
      <c r="F88" s="13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37"/>
      <c r="F89" s="13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37"/>
      <c r="F90" s="13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37"/>
      <c r="F91" s="13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37"/>
      <c r="F92" s="13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37"/>
      <c r="F93" s="13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37"/>
      <c r="F94" s="13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37"/>
      <c r="F95" s="13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37"/>
      <c r="F96" s="13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37"/>
      <c r="F97" s="13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37"/>
      <c r="F98" s="13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37"/>
      <c r="F99" s="13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37"/>
      <c r="F100" s="13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37"/>
      <c r="F101" s="13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37"/>
      <c r="F102" s="13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37"/>
      <c r="F103" s="13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37"/>
      <c r="F104" s="13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37"/>
      <c r="F105" s="13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37"/>
      <c r="F106" s="13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37"/>
      <c r="F107" s="13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37"/>
      <c r="F108" s="13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37"/>
      <c r="F109" s="13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37"/>
      <c r="F110" s="13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37"/>
      <c r="F111" s="13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37"/>
      <c r="F112" s="13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37"/>
      <c r="F113" s="13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37"/>
      <c r="F114" s="13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37"/>
      <c r="F115" s="13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37"/>
      <c r="F116" s="13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37"/>
      <c r="F117" s="13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37"/>
      <c r="F118" s="13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37"/>
      <c r="F119" s="13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37"/>
      <c r="F120" s="13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37"/>
      <c r="F121" s="13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37"/>
      <c r="F122" s="13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37"/>
      <c r="F123" s="13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37"/>
      <c r="F124" s="13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37"/>
      <c r="F125" s="13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37"/>
      <c r="F126" s="13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37"/>
      <c r="F127" s="13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37"/>
      <c r="F128" s="13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37"/>
      <c r="F129" s="13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37"/>
      <c r="F130" s="13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37"/>
      <c r="F131" s="13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37"/>
      <c r="F132" s="13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37"/>
      <c r="F133" s="13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37"/>
      <c r="F134" s="13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37"/>
      <c r="F135" s="13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37"/>
      <c r="F136" s="13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37"/>
      <c r="F137" s="13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37"/>
      <c r="F138" s="13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37"/>
      <c r="F139" s="13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37"/>
      <c r="F140" s="13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37"/>
      <c r="F141" s="13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37"/>
      <c r="F142" s="13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37"/>
      <c r="F143" s="13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37"/>
      <c r="F144" s="13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37"/>
      <c r="F145" s="13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37"/>
      <c r="F146" s="13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37"/>
      <c r="F147" s="13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37"/>
      <c r="F148" s="13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37"/>
      <c r="F149" s="13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37"/>
      <c r="F150" s="13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37"/>
      <c r="F151" s="13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37"/>
      <c r="F152" s="13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37"/>
      <c r="F153" s="13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37"/>
      <c r="F154" s="13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37"/>
      <c r="F155" s="13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37"/>
      <c r="F156" s="13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37"/>
      <c r="F157" s="13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37"/>
      <c r="F158" s="13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37"/>
      <c r="F159" s="13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37"/>
      <c r="F160" s="13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37"/>
      <c r="F161" s="13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37"/>
      <c r="F162" s="13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37"/>
      <c r="F163" s="13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37"/>
      <c r="F164" s="13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37"/>
      <c r="F165" s="13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37"/>
      <c r="F166" s="13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37"/>
      <c r="F167" s="13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37"/>
      <c r="F168" s="13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37"/>
      <c r="F169" s="13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37"/>
      <c r="F170" s="13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37"/>
      <c r="F171" s="13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37"/>
      <c r="F172" s="13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37"/>
      <c r="F173" s="13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37"/>
      <c r="F174" s="13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37"/>
      <c r="F175" s="13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37"/>
      <c r="F176" s="13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37"/>
      <c r="F177" s="13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37"/>
      <c r="F178" s="13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37"/>
      <c r="F179" s="13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37"/>
      <c r="F180" s="13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37"/>
      <c r="F181" s="13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37"/>
      <c r="F182" s="13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37"/>
      <c r="F183" s="13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37"/>
      <c r="F184" s="13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37"/>
      <c r="F185" s="13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37"/>
      <c r="F186" s="13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37"/>
      <c r="F187" s="13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37"/>
      <c r="F188" s="13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37"/>
      <c r="F189" s="13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37"/>
      <c r="F190" s="13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37"/>
      <c r="F191" s="13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37"/>
      <c r="F192" s="13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37"/>
      <c r="F193" s="13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37"/>
      <c r="F194" s="13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37"/>
      <c r="F195" s="13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37"/>
      <c r="F196" s="13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37"/>
      <c r="F197" s="13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37"/>
      <c r="F198" s="13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37"/>
      <c r="F199" s="13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37"/>
      <c r="F200" s="13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37"/>
      <c r="F201" s="13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37"/>
      <c r="F202" s="13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37"/>
      <c r="F203" s="13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37"/>
      <c r="F204" s="13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37"/>
      <c r="F205" s="13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37"/>
      <c r="F206" s="13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37"/>
      <c r="F207" s="13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37"/>
      <c r="F208" s="13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37"/>
      <c r="F209" s="13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37"/>
      <c r="F210" s="13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37"/>
      <c r="F211" s="13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37"/>
      <c r="F212" s="13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37"/>
      <c r="F213" s="13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37"/>
      <c r="F214" s="13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37"/>
      <c r="F215" s="13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37"/>
      <c r="F216" s="13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37"/>
      <c r="F217" s="13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37"/>
      <c r="F218" s="13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37"/>
      <c r="F219" s="13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37"/>
      <c r="F220" s="13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37"/>
      <c r="F221" s="13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37"/>
      <c r="F222" s="13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37"/>
      <c r="F223" s="13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37"/>
      <c r="F224" s="13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37"/>
      <c r="F225" s="13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37"/>
      <c r="F226" s="13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37"/>
      <c r="F227" s="13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37"/>
      <c r="F228" s="13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37"/>
      <c r="F229" s="13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37"/>
      <c r="F230" s="13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37"/>
      <c r="F231" s="13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37"/>
      <c r="F232" s="13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37"/>
      <c r="F233" s="13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37"/>
      <c r="F234" s="13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37"/>
      <c r="F235" s="13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37"/>
      <c r="F236" s="13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37"/>
      <c r="F237" s="13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37"/>
      <c r="F238" s="13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37"/>
      <c r="F239" s="13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37"/>
      <c r="F240" s="13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37"/>
      <c r="F241" s="13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37"/>
      <c r="F242" s="13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37"/>
      <c r="F243" s="13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37"/>
      <c r="F244" s="13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37"/>
      <c r="F245" s="13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37"/>
      <c r="F246" s="13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37"/>
      <c r="F247" s="13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37"/>
      <c r="F248" s="13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37"/>
      <c r="F249" s="13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37"/>
      <c r="F250" s="13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37"/>
      <c r="F251" s="13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37"/>
      <c r="F252" s="13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37"/>
      <c r="F253" s="13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37"/>
      <c r="F254" s="13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37"/>
      <c r="F255" s="13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37"/>
      <c r="F256" s="13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37"/>
      <c r="F257" s="13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37"/>
      <c r="F258" s="13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37"/>
      <c r="F259" s="13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37"/>
      <c r="F260" s="13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37"/>
      <c r="F261" s="13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37"/>
      <c r="F262" s="13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37"/>
      <c r="F263" s="13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37"/>
      <c r="F264" s="13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37"/>
      <c r="F265" s="13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37"/>
      <c r="F266" s="13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37"/>
      <c r="F267" s="13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37"/>
      <c r="F268" s="13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37"/>
      <c r="F269" s="13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37"/>
      <c r="F270" s="13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37"/>
      <c r="F271" s="13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37"/>
      <c r="F272" s="13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37"/>
      <c r="F273" s="13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37"/>
      <c r="F274" s="13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37"/>
      <c r="F275" s="13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37"/>
      <c r="F276" s="13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37"/>
      <c r="F277" s="13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37"/>
      <c r="F278" s="13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37"/>
      <c r="F279" s="13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37"/>
      <c r="F280" s="13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37"/>
      <c r="F281" s="13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37"/>
      <c r="F282" s="13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37"/>
      <c r="F283" s="13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37"/>
      <c r="F284" s="13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37"/>
      <c r="F285" s="13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37"/>
      <c r="F286" s="13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37"/>
      <c r="F287" s="13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37"/>
      <c r="F288" s="13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37"/>
      <c r="F289" s="13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37"/>
      <c r="F290" s="13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37"/>
      <c r="F291" s="13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37"/>
      <c r="F292" s="13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37"/>
      <c r="F293" s="13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37"/>
      <c r="F294" s="13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37"/>
      <c r="F295" s="13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37"/>
      <c r="F296" s="13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37"/>
      <c r="F297" s="13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37"/>
      <c r="F298" s="13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37"/>
      <c r="F299" s="13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37"/>
      <c r="F300" s="13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37"/>
      <c r="F301" s="13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37"/>
      <c r="F302" s="13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37"/>
      <c r="F303" s="13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37"/>
      <c r="F304" s="13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37"/>
      <c r="F305" s="13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37"/>
      <c r="F306" s="13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37"/>
      <c r="F307" s="13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37"/>
      <c r="F308" s="13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37"/>
      <c r="F309" s="13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37"/>
      <c r="F310" s="13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37"/>
      <c r="F311" s="13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37"/>
      <c r="F312" s="13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37"/>
      <c r="F313" s="13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37"/>
      <c r="F314" s="13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37"/>
      <c r="F315" s="13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37"/>
      <c r="F316" s="13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37"/>
      <c r="F317" s="13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37"/>
      <c r="F318" s="13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37"/>
      <c r="F319" s="13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37"/>
      <c r="F320" s="13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37"/>
      <c r="F321" s="13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37"/>
      <c r="F322" s="13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37"/>
      <c r="F323" s="13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37"/>
      <c r="F324" s="13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37"/>
      <c r="F325" s="13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37"/>
      <c r="F326" s="13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37"/>
      <c r="F327" s="13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37"/>
      <c r="F328" s="13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37"/>
      <c r="F329" s="13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37"/>
      <c r="F330" s="13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37"/>
      <c r="F331" s="13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37"/>
      <c r="F332" s="13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37"/>
      <c r="F333" s="13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37"/>
      <c r="F334" s="13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37"/>
      <c r="F335" s="13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37"/>
      <c r="F336" s="13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37"/>
      <c r="F337" s="13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37"/>
      <c r="F338" s="13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37"/>
      <c r="F339" s="13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37"/>
      <c r="F340" s="13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37"/>
      <c r="F341" s="13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37"/>
      <c r="F342" s="13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37"/>
      <c r="F343" s="13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37"/>
      <c r="F344" s="13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37"/>
      <c r="F345" s="13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37"/>
      <c r="F346" s="13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37"/>
      <c r="F347" s="13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37"/>
      <c r="F348" s="13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37"/>
      <c r="F349" s="13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37"/>
      <c r="F350" s="13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37"/>
      <c r="F351" s="13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37"/>
      <c r="F352" s="13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37"/>
      <c r="F353" s="13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37"/>
      <c r="F354" s="13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37"/>
      <c r="F355" s="13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37"/>
      <c r="F356" s="13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37"/>
      <c r="F357" s="13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37"/>
      <c r="F358" s="13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37"/>
      <c r="F359" s="13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37"/>
      <c r="F360" s="13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37"/>
      <c r="F361" s="13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37"/>
      <c r="F362" s="13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37"/>
      <c r="F363" s="13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37"/>
      <c r="F364" s="13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37"/>
      <c r="F365" s="13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37"/>
      <c r="F366" s="13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37"/>
      <c r="F367" s="13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37"/>
      <c r="F368" s="13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37"/>
      <c r="F369" s="13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37"/>
      <c r="F370" s="13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37"/>
      <c r="F371" s="13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37"/>
      <c r="F372" s="13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37"/>
      <c r="F373" s="13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37"/>
      <c r="F374" s="13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37"/>
      <c r="F375" s="13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37"/>
      <c r="F376" s="13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37"/>
      <c r="F377" s="13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37"/>
      <c r="F378" s="13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37"/>
      <c r="F379" s="13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37"/>
      <c r="F380" s="13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37"/>
      <c r="F381" s="13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37"/>
      <c r="F382" s="13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37"/>
      <c r="F383" s="13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37"/>
      <c r="F384" s="13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37"/>
      <c r="F385" s="13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37"/>
      <c r="F386" s="13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37"/>
      <c r="F387" s="13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37"/>
      <c r="F388" s="13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37"/>
      <c r="F389" s="13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37"/>
      <c r="F390" s="13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37"/>
      <c r="F391" s="13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37"/>
      <c r="F392" s="13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37"/>
      <c r="F393" s="13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37"/>
      <c r="F394" s="13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37"/>
      <c r="F395" s="13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37"/>
      <c r="F396" s="13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37"/>
      <c r="F397" s="13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37"/>
      <c r="F398" s="13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37"/>
      <c r="F399" s="13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37"/>
      <c r="F400" s="13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37"/>
      <c r="F401" s="13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37"/>
      <c r="F402" s="13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37"/>
      <c r="F403" s="13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37"/>
      <c r="F404" s="13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37"/>
      <c r="F405" s="13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37"/>
      <c r="F406" s="13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37"/>
      <c r="F407" s="13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37"/>
      <c r="F408" s="13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37"/>
      <c r="F409" s="13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37"/>
      <c r="F410" s="13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37"/>
      <c r="F411" s="13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37"/>
      <c r="F412" s="13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37"/>
      <c r="F413" s="13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37"/>
      <c r="F414" s="13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37"/>
      <c r="F415" s="13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37"/>
      <c r="F416" s="13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37"/>
      <c r="F417" s="13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37"/>
      <c r="F418" s="13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37"/>
      <c r="F419" s="13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37"/>
      <c r="F420" s="13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37"/>
      <c r="F421" s="13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37"/>
      <c r="F422" s="13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37"/>
      <c r="F423" s="13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37"/>
      <c r="F424" s="13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37"/>
      <c r="F425" s="13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37"/>
      <c r="F426" s="13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37"/>
      <c r="F427" s="13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37"/>
      <c r="F428" s="13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37"/>
      <c r="F429" s="13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37"/>
      <c r="F430" s="13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37"/>
      <c r="F431" s="13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37"/>
      <c r="F432" s="13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37"/>
      <c r="F433" s="13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37"/>
      <c r="F434" s="13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37"/>
      <c r="F435" s="13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37"/>
      <c r="F436" s="13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37"/>
      <c r="F437" s="13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37"/>
      <c r="F438" s="13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37"/>
      <c r="F439" s="13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37"/>
      <c r="F440" s="13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37"/>
      <c r="F441" s="13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37"/>
      <c r="F442" s="13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37"/>
      <c r="F443" s="13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37"/>
      <c r="F444" s="13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37"/>
      <c r="F445" s="13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37"/>
      <c r="F446" s="13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37"/>
      <c r="F447" s="13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37"/>
      <c r="F448" s="13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37"/>
      <c r="F449" s="13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37"/>
      <c r="F450" s="13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37"/>
      <c r="F451" s="13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37"/>
      <c r="F452" s="13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37"/>
      <c r="F453" s="13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37"/>
      <c r="F454" s="13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37"/>
      <c r="F455" s="13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37"/>
      <c r="F456" s="13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37"/>
      <c r="F457" s="13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37"/>
      <c r="F458" s="13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37"/>
      <c r="F459" s="13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37"/>
      <c r="F460" s="13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37"/>
      <c r="F461" s="13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37"/>
      <c r="F462" s="13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37"/>
      <c r="F463" s="13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37"/>
      <c r="F464" s="13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37"/>
      <c r="F465" s="13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37"/>
      <c r="F466" s="13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37"/>
      <c r="F467" s="13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37"/>
      <c r="F468" s="13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37"/>
      <c r="F469" s="13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37"/>
      <c r="F470" s="13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37"/>
      <c r="F471" s="13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37"/>
      <c r="F472" s="13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37"/>
      <c r="F473" s="13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37"/>
      <c r="F474" s="13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37"/>
      <c r="F475" s="13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37"/>
      <c r="F476" s="13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37"/>
      <c r="F477" s="13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37"/>
      <c r="F478" s="13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37"/>
      <c r="F479" s="13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37"/>
      <c r="F480" s="13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37"/>
      <c r="F481" s="13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37"/>
      <c r="F482" s="13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37"/>
      <c r="F483" s="13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37"/>
      <c r="F484" s="13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37"/>
      <c r="F485" s="13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37"/>
      <c r="F486" s="13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37"/>
      <c r="F487" s="13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37"/>
      <c r="F488" s="13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37"/>
      <c r="F489" s="13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37"/>
      <c r="F490" s="13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37"/>
      <c r="F491" s="13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37"/>
      <c r="F492" s="13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37"/>
      <c r="F493" s="13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37"/>
      <c r="F494" s="13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37"/>
      <c r="F495" s="13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37"/>
      <c r="F496" s="13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37"/>
      <c r="F497" s="13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37"/>
      <c r="F498" s="13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37"/>
      <c r="F499" s="13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37"/>
      <c r="F500" s="13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37"/>
      <c r="F501" s="13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37"/>
      <c r="F502" s="13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37"/>
      <c r="F503" s="13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37"/>
      <c r="F504" s="13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37"/>
      <c r="F505" s="13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37"/>
      <c r="F506" s="13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37"/>
      <c r="F507" s="13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37"/>
      <c r="F508" s="13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37"/>
      <c r="F509" s="13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37"/>
      <c r="F510" s="13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37"/>
      <c r="F511" s="13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37"/>
      <c r="F512" s="13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37"/>
      <c r="F513" s="13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37"/>
      <c r="F514" s="13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37"/>
      <c r="F515" s="13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37"/>
      <c r="F516" s="13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37"/>
      <c r="F517" s="13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37"/>
      <c r="F518" s="13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37"/>
      <c r="F519" s="13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37"/>
      <c r="F520" s="13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37"/>
      <c r="F521" s="13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37"/>
      <c r="F522" s="13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37"/>
      <c r="F523" s="13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37"/>
      <c r="F524" s="13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37"/>
      <c r="F525" s="13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37"/>
      <c r="F526" s="13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37"/>
      <c r="F527" s="13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37"/>
      <c r="F528" s="13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37"/>
      <c r="F529" s="13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37"/>
      <c r="F530" s="13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37"/>
      <c r="F531" s="13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37"/>
      <c r="F532" s="13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37"/>
      <c r="F533" s="13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37"/>
      <c r="F534" s="13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37"/>
      <c r="F535" s="13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37"/>
      <c r="F536" s="13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37"/>
      <c r="F537" s="13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37"/>
      <c r="F538" s="13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37"/>
      <c r="F539" s="13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37"/>
      <c r="F540" s="13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37"/>
      <c r="F541" s="13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37"/>
      <c r="F542" s="13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37"/>
      <c r="F543" s="13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37"/>
      <c r="F544" s="13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37"/>
      <c r="F545" s="13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37"/>
      <c r="F546" s="13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37"/>
      <c r="F547" s="13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37"/>
      <c r="F548" s="13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37"/>
      <c r="F549" s="13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37"/>
      <c r="F550" s="13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37"/>
      <c r="F551" s="13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37"/>
      <c r="F552" s="13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37"/>
      <c r="F553" s="13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37"/>
      <c r="F554" s="13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37"/>
      <c r="F555" s="13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37"/>
      <c r="F556" s="13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37"/>
      <c r="F557" s="13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37"/>
      <c r="F558" s="13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37"/>
      <c r="F559" s="13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37"/>
      <c r="F560" s="13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37"/>
      <c r="F561" s="13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37"/>
      <c r="F562" s="13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37"/>
      <c r="F563" s="13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37"/>
      <c r="F564" s="13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37"/>
      <c r="F565" s="13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37"/>
      <c r="F566" s="13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37"/>
      <c r="F567" s="13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37"/>
      <c r="F568" s="13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37"/>
      <c r="F569" s="13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37"/>
      <c r="F570" s="13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37"/>
      <c r="F571" s="13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37"/>
      <c r="F572" s="13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37"/>
      <c r="F573" s="13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37"/>
      <c r="F574" s="13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37"/>
      <c r="F575" s="13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37"/>
      <c r="F576" s="13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37"/>
      <c r="F577" s="13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37"/>
      <c r="F578" s="13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37"/>
      <c r="F579" s="13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37"/>
      <c r="F580" s="13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37"/>
      <c r="F581" s="13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37"/>
      <c r="F582" s="13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37"/>
      <c r="F583" s="13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37"/>
      <c r="F584" s="13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37"/>
      <c r="F585" s="13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37"/>
      <c r="F586" s="13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37"/>
      <c r="F587" s="13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37"/>
      <c r="F588" s="13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37"/>
      <c r="F589" s="13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37"/>
      <c r="F590" s="13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37"/>
      <c r="F591" s="13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37"/>
      <c r="F592" s="13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37"/>
      <c r="F593" s="13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37"/>
      <c r="F594" s="13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37"/>
      <c r="F595" s="13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37"/>
      <c r="F596" s="13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37"/>
      <c r="F597" s="13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37"/>
      <c r="F598" s="13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37"/>
      <c r="F599" s="13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37"/>
      <c r="F600" s="13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37"/>
      <c r="F601" s="13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37"/>
      <c r="F602" s="13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37"/>
      <c r="F603" s="13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37"/>
      <c r="F604" s="13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37"/>
      <c r="F605" s="13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37"/>
      <c r="F606" s="13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37"/>
      <c r="F607" s="13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37"/>
      <c r="F608" s="13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37"/>
      <c r="F609" s="13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37"/>
      <c r="F610" s="13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37"/>
      <c r="F611" s="13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37"/>
      <c r="F612" s="13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37"/>
      <c r="F613" s="13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37"/>
      <c r="F614" s="13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37"/>
      <c r="F615" s="13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37"/>
      <c r="F616" s="13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37"/>
      <c r="F617" s="13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37"/>
      <c r="F618" s="13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37"/>
      <c r="F619" s="13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37"/>
      <c r="F620" s="13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37"/>
      <c r="F621" s="13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37"/>
      <c r="F622" s="13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37"/>
      <c r="F623" s="13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37"/>
      <c r="F624" s="13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37"/>
      <c r="F625" s="13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37"/>
      <c r="F626" s="13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37"/>
      <c r="F627" s="13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37"/>
      <c r="F628" s="13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37"/>
      <c r="F629" s="13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37"/>
      <c r="F630" s="13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37"/>
      <c r="F631" s="13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37"/>
      <c r="F632" s="13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37"/>
      <c r="F633" s="13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37"/>
      <c r="F634" s="13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37"/>
      <c r="F635" s="13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37"/>
      <c r="F636" s="13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37"/>
      <c r="F637" s="13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37"/>
      <c r="F638" s="13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37"/>
      <c r="F639" s="13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37"/>
      <c r="F640" s="13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37"/>
      <c r="F641" s="13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37"/>
      <c r="F642" s="13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37"/>
      <c r="F643" s="13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37"/>
      <c r="F644" s="13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37"/>
      <c r="F645" s="13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37"/>
      <c r="F646" s="13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37"/>
      <c r="F647" s="13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37"/>
      <c r="F648" s="13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37"/>
      <c r="F649" s="13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37"/>
      <c r="F650" s="13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37"/>
      <c r="F651" s="13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37"/>
      <c r="F652" s="13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37"/>
      <c r="F653" s="13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37"/>
      <c r="F654" s="13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37"/>
      <c r="F655" s="13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37"/>
      <c r="F656" s="13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37"/>
      <c r="F657" s="13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37"/>
      <c r="F658" s="13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37"/>
      <c r="F659" s="13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37"/>
      <c r="F660" s="13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37"/>
      <c r="F661" s="13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37"/>
      <c r="F662" s="13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37"/>
      <c r="F663" s="13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37"/>
      <c r="F664" s="13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37"/>
      <c r="F665" s="13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37"/>
      <c r="F666" s="13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37"/>
      <c r="F667" s="13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37"/>
      <c r="F668" s="13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37"/>
      <c r="F669" s="13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37"/>
      <c r="F670" s="13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37"/>
      <c r="F671" s="13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37"/>
      <c r="F672" s="13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37"/>
      <c r="F673" s="13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37"/>
      <c r="F674" s="13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37"/>
      <c r="F675" s="13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37"/>
      <c r="F676" s="13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37"/>
      <c r="F677" s="13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37"/>
      <c r="F678" s="13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37"/>
      <c r="F679" s="13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37"/>
      <c r="F680" s="13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37"/>
      <c r="F681" s="13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37"/>
      <c r="F682" s="13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37"/>
      <c r="F683" s="13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37"/>
      <c r="F684" s="13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37"/>
      <c r="F685" s="13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37"/>
      <c r="F686" s="13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37"/>
      <c r="F687" s="13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37"/>
      <c r="F688" s="13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37"/>
      <c r="F689" s="13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37"/>
      <c r="F690" s="13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37"/>
      <c r="F691" s="13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37"/>
      <c r="F692" s="13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37"/>
      <c r="F693" s="13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37"/>
      <c r="F694" s="13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37"/>
      <c r="F695" s="13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37"/>
      <c r="F696" s="13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37"/>
      <c r="F697" s="13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37"/>
      <c r="F698" s="13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37"/>
      <c r="F699" s="13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37"/>
      <c r="F700" s="13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37"/>
      <c r="F701" s="13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37"/>
      <c r="F702" s="13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37"/>
      <c r="F703" s="13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37"/>
      <c r="F704" s="13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37"/>
      <c r="F705" s="13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37"/>
      <c r="F706" s="13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37"/>
      <c r="F707" s="13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37"/>
      <c r="F708" s="13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37"/>
      <c r="F709" s="13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37"/>
      <c r="F710" s="13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37"/>
      <c r="F711" s="13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37"/>
      <c r="F712" s="13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37"/>
      <c r="F713" s="13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37"/>
      <c r="F714" s="13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37"/>
      <c r="F715" s="13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37"/>
      <c r="F716" s="13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37"/>
      <c r="F717" s="13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37"/>
      <c r="F718" s="13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37"/>
      <c r="F719" s="13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37"/>
      <c r="F720" s="13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37"/>
      <c r="F721" s="13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37"/>
      <c r="F722" s="13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37"/>
      <c r="F723" s="13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37"/>
      <c r="F724" s="13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37"/>
      <c r="F725" s="13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37"/>
      <c r="F726" s="13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37"/>
      <c r="F727" s="13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37"/>
      <c r="F728" s="13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37"/>
      <c r="F729" s="13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37"/>
      <c r="F730" s="13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37"/>
      <c r="F731" s="13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37"/>
      <c r="F732" s="13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37"/>
      <c r="F733" s="13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37"/>
      <c r="F734" s="13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37"/>
      <c r="F735" s="13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37"/>
      <c r="F736" s="13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37"/>
      <c r="F737" s="13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37"/>
      <c r="F738" s="13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37"/>
      <c r="F739" s="13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37"/>
      <c r="F740" s="13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37"/>
      <c r="F741" s="13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37"/>
      <c r="F742" s="13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37"/>
      <c r="F743" s="13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37"/>
      <c r="F744" s="13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37"/>
      <c r="F745" s="13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37"/>
      <c r="F746" s="13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37"/>
      <c r="F747" s="13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37"/>
      <c r="F748" s="13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37"/>
      <c r="F749" s="13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37"/>
      <c r="F750" s="13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37"/>
      <c r="F751" s="13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37"/>
      <c r="F752" s="13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37"/>
      <c r="F753" s="13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37"/>
      <c r="F754" s="13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37"/>
      <c r="F755" s="13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37"/>
      <c r="F756" s="13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37"/>
      <c r="F757" s="13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37"/>
      <c r="F758" s="13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37"/>
      <c r="F759" s="13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37"/>
      <c r="F760" s="13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37"/>
      <c r="F761" s="13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37"/>
      <c r="F762" s="13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37"/>
      <c r="F763" s="13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37"/>
      <c r="F764" s="13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37"/>
      <c r="F765" s="13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37"/>
      <c r="F766" s="13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37"/>
      <c r="F767" s="13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37"/>
      <c r="F768" s="13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37"/>
      <c r="F769" s="13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37"/>
      <c r="F770" s="13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37"/>
      <c r="F771" s="13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37"/>
      <c r="F772" s="13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37"/>
      <c r="F773" s="13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37"/>
      <c r="F774" s="13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37"/>
      <c r="F775" s="13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37"/>
      <c r="F776" s="13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37"/>
      <c r="F777" s="13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37"/>
      <c r="F778" s="13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37"/>
      <c r="F779" s="13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37"/>
      <c r="F780" s="13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37"/>
      <c r="F781" s="13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37"/>
      <c r="F782" s="13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37"/>
      <c r="F783" s="13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37"/>
      <c r="F784" s="13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37"/>
      <c r="F785" s="13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37"/>
      <c r="F786" s="13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37"/>
      <c r="F787" s="13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37"/>
      <c r="F788" s="13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37"/>
      <c r="F789" s="13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37"/>
      <c r="F790" s="13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37"/>
      <c r="F791" s="13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37"/>
      <c r="F792" s="13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37"/>
      <c r="F793" s="13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37"/>
      <c r="F794" s="13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37"/>
      <c r="F795" s="13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37"/>
      <c r="F796" s="13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37"/>
      <c r="F797" s="13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37"/>
      <c r="F798" s="13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37"/>
      <c r="F799" s="13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37"/>
      <c r="F800" s="13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37"/>
      <c r="F801" s="13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37"/>
      <c r="F802" s="13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37"/>
      <c r="F803" s="13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37"/>
      <c r="F804" s="13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37"/>
      <c r="F805" s="13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37"/>
      <c r="F806" s="13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37"/>
      <c r="F807" s="13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37"/>
      <c r="F808" s="13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37"/>
      <c r="F809" s="13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37"/>
      <c r="F810" s="13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37"/>
      <c r="F811" s="13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37"/>
      <c r="F812" s="13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37"/>
      <c r="F813" s="13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37"/>
      <c r="F814" s="13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37"/>
      <c r="F815" s="13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37"/>
      <c r="F816" s="13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37"/>
      <c r="F817" s="13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37"/>
      <c r="F818" s="13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37"/>
      <c r="F819" s="13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37"/>
      <c r="F820" s="13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37"/>
      <c r="F821" s="13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37"/>
      <c r="F822" s="13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37"/>
      <c r="F823" s="13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37"/>
      <c r="F824" s="13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37"/>
      <c r="F825" s="13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37"/>
      <c r="F826" s="13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37"/>
      <c r="F827" s="13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37"/>
      <c r="F828" s="13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37"/>
      <c r="F829" s="13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37"/>
      <c r="F830" s="13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37"/>
      <c r="F831" s="13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37"/>
      <c r="F832" s="13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37"/>
      <c r="F833" s="13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37"/>
      <c r="F834" s="13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37"/>
      <c r="F835" s="13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37"/>
      <c r="F836" s="13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37"/>
      <c r="F837" s="13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37"/>
      <c r="F838" s="13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37"/>
      <c r="F839" s="13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37"/>
      <c r="F840" s="13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37"/>
      <c r="F841" s="13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37"/>
      <c r="F842" s="13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37"/>
      <c r="F843" s="13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37"/>
      <c r="F844" s="13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37"/>
      <c r="F845" s="13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37"/>
      <c r="F846" s="13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37"/>
      <c r="F847" s="13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37"/>
      <c r="F848" s="13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37"/>
      <c r="F849" s="13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37"/>
      <c r="F850" s="13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37"/>
      <c r="F851" s="13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37"/>
      <c r="F852" s="13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37"/>
      <c r="F853" s="13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37"/>
      <c r="F854" s="13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37"/>
      <c r="F855" s="13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37"/>
      <c r="F856" s="13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37"/>
      <c r="F857" s="13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37"/>
      <c r="F858" s="13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37"/>
      <c r="F859" s="13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37"/>
      <c r="F860" s="13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37"/>
      <c r="F861" s="13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37"/>
      <c r="F862" s="13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37"/>
      <c r="F863" s="13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37"/>
      <c r="F864" s="13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37"/>
      <c r="F865" s="13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37"/>
      <c r="F866" s="13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37"/>
      <c r="F867" s="13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37"/>
      <c r="F868" s="13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37"/>
      <c r="F869" s="13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37"/>
      <c r="F870" s="13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37"/>
      <c r="F871" s="13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37"/>
      <c r="F872" s="13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37"/>
      <c r="F873" s="13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37"/>
      <c r="F874" s="13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37"/>
      <c r="F875" s="13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37"/>
      <c r="F876" s="13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37"/>
      <c r="F877" s="13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37"/>
      <c r="F878" s="13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37"/>
      <c r="F879" s="13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37"/>
      <c r="F880" s="13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37"/>
      <c r="F881" s="13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37"/>
      <c r="F882" s="13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37"/>
      <c r="F883" s="13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37"/>
      <c r="F884" s="13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37"/>
      <c r="F885" s="13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37"/>
      <c r="F886" s="13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37"/>
      <c r="F887" s="13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37"/>
      <c r="F888" s="13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37"/>
      <c r="F889" s="13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37"/>
      <c r="F890" s="13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37"/>
      <c r="F891" s="13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37"/>
      <c r="F892" s="13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37"/>
      <c r="F893" s="13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37"/>
      <c r="F894" s="13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37"/>
      <c r="F895" s="13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37"/>
      <c r="F896" s="13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37"/>
      <c r="F897" s="13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37"/>
      <c r="F898" s="13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37"/>
      <c r="F899" s="13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37"/>
      <c r="F900" s="13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37"/>
      <c r="F901" s="13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37"/>
      <c r="F902" s="13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37"/>
      <c r="F903" s="13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37"/>
      <c r="F904" s="13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37"/>
      <c r="F905" s="13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37"/>
      <c r="F906" s="13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37"/>
      <c r="F907" s="13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37"/>
      <c r="F908" s="13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37"/>
      <c r="F909" s="13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37"/>
      <c r="F910" s="13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37"/>
      <c r="F911" s="13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37"/>
      <c r="F912" s="13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37"/>
      <c r="F913" s="13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37"/>
      <c r="F914" s="13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37"/>
      <c r="F915" s="13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37"/>
      <c r="F916" s="13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37"/>
      <c r="F917" s="13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37"/>
      <c r="F918" s="13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37"/>
      <c r="F919" s="13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37"/>
      <c r="F920" s="13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37"/>
      <c r="F921" s="13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37"/>
      <c r="F922" s="13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37"/>
      <c r="F923" s="13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37"/>
      <c r="F924" s="13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37"/>
      <c r="F925" s="13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37"/>
      <c r="F926" s="13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37"/>
      <c r="F927" s="13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37"/>
      <c r="F928" s="13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37"/>
      <c r="F929" s="13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37"/>
      <c r="F930" s="13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37"/>
      <c r="F931" s="13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37"/>
      <c r="F932" s="13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37"/>
      <c r="F933" s="13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37"/>
      <c r="F934" s="13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37"/>
      <c r="F935" s="13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37"/>
      <c r="F936" s="13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37"/>
      <c r="F937" s="13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37"/>
      <c r="F938" s="13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37"/>
      <c r="F939" s="13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37"/>
      <c r="F940" s="13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37"/>
      <c r="F941" s="13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37"/>
      <c r="F942" s="13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37"/>
      <c r="F943" s="13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37"/>
      <c r="F944" s="13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37"/>
      <c r="F945" s="13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37"/>
      <c r="F946" s="13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37"/>
      <c r="F947" s="13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37"/>
      <c r="F948" s="13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37"/>
      <c r="F949" s="13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37"/>
      <c r="F950" s="13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37"/>
      <c r="F951" s="13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37"/>
      <c r="F952" s="13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37"/>
      <c r="F953" s="13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37"/>
      <c r="F954" s="13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37"/>
      <c r="F955" s="13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37"/>
      <c r="F956" s="13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37"/>
      <c r="F957" s="13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37"/>
      <c r="F958" s="13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37"/>
      <c r="F959" s="13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37"/>
      <c r="F960" s="13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37"/>
      <c r="F961" s="13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37"/>
      <c r="F962" s="13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37"/>
      <c r="F963" s="13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37"/>
      <c r="F964" s="13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37"/>
      <c r="F965" s="13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37"/>
      <c r="F966" s="13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37"/>
      <c r="F967" s="13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37"/>
      <c r="F968" s="13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37"/>
      <c r="F969" s="13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37"/>
      <c r="F970" s="13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37"/>
      <c r="F971" s="13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37"/>
      <c r="F972" s="13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37"/>
      <c r="F973" s="13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37"/>
      <c r="F974" s="13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37"/>
      <c r="F975" s="13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37"/>
      <c r="F976" s="13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37"/>
      <c r="F977" s="13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37"/>
      <c r="F978" s="13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37"/>
      <c r="F979" s="13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37"/>
      <c r="F980" s="13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37"/>
      <c r="F981" s="13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37"/>
      <c r="F982" s="13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37"/>
      <c r="F983" s="13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37"/>
      <c r="F984" s="13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37"/>
      <c r="F985" s="13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37"/>
      <c r="F986" s="13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37"/>
      <c r="F987" s="13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37"/>
      <c r="F988" s="13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37"/>
      <c r="F989" s="13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37"/>
      <c r="F990" s="13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37"/>
      <c r="F991" s="13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37"/>
      <c r="F992" s="13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37"/>
      <c r="F993" s="13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37"/>
      <c r="F994" s="13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37"/>
      <c r="F995" s="13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37"/>
      <c r="F996" s="13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37"/>
      <c r="F997" s="13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37"/>
      <c r="F998" s="13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37"/>
      <c r="F999" s="13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37"/>
      <c r="F1000" s="13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37"/>
      <c r="F1001" s="13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>
      <c r="A1002" s="18"/>
      <c r="B1002" s="18"/>
      <c r="C1002" s="18"/>
      <c r="D1002" s="18"/>
      <c r="E1002" s="137"/>
      <c r="F1002" s="13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  <row r="1003">
      <c r="A1003" s="18"/>
      <c r="B1003" s="18"/>
      <c r="C1003" s="18"/>
      <c r="D1003" s="18"/>
      <c r="E1003" s="137"/>
      <c r="F1003" s="13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</row>
  </sheetData>
  <mergeCells count="5">
    <mergeCell ref="A1:B1"/>
    <mergeCell ref="E1:I1"/>
    <mergeCell ref="K1:L1"/>
    <mergeCell ref="M1:N1"/>
    <mergeCell ref="K14:L14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1.75"/>
    <col customWidth="1" min="3" max="3" width="2.25"/>
  </cols>
  <sheetData>
    <row r="1">
      <c r="A1" s="1" t="s">
        <v>0</v>
      </c>
      <c r="B1" s="5">
        <f>TODAY()</f>
        <v>46251</v>
      </c>
      <c r="C1" s="5"/>
      <c r="D1" s="9" t="s">
        <v>1</v>
      </c>
      <c r="E1" s="11" t="s">
        <v>5</v>
      </c>
      <c r="F1" s="28" t="s">
        <v>7</v>
      </c>
      <c r="G1" s="9" t="s">
        <v>1</v>
      </c>
      <c r="H1" s="11" t="s">
        <v>5</v>
      </c>
      <c r="I1" s="28" t="s">
        <v>7</v>
      </c>
      <c r="J1" s="9" t="s">
        <v>1</v>
      </c>
      <c r="K1" s="11" t="s">
        <v>5</v>
      </c>
      <c r="L1" s="28" t="s">
        <v>7</v>
      </c>
      <c r="M1" s="9" t="s">
        <v>1</v>
      </c>
      <c r="N1" s="11" t="s">
        <v>5</v>
      </c>
      <c r="O1" s="28" t="s">
        <v>7</v>
      </c>
      <c r="P1" s="9" t="s">
        <v>1</v>
      </c>
      <c r="Q1" s="11" t="s">
        <v>5</v>
      </c>
      <c r="R1" s="28" t="s">
        <v>7</v>
      </c>
      <c r="S1" s="9" t="s">
        <v>1</v>
      </c>
      <c r="T1" s="11" t="s">
        <v>5</v>
      </c>
      <c r="U1" s="28" t="s">
        <v>7</v>
      </c>
      <c r="V1" s="33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26" t="s">
        <v>31</v>
      </c>
      <c r="B2" s="17">
        <f>D8+G8+J8+M8</f>
        <v>26142.6188</v>
      </c>
      <c r="C2" s="14"/>
      <c r="D2" s="38">
        <v>20000.0</v>
      </c>
      <c r="E2" s="39">
        <v>45356.0</v>
      </c>
      <c r="F2" s="42">
        <f>DATE(YEAR(E2)+8,MONTH(E2),DAY(E2))</f>
        <v>48278</v>
      </c>
      <c r="G2" s="38">
        <f>5000</f>
        <v>5000</v>
      </c>
      <c r="H2" s="44">
        <v>44316.0</v>
      </c>
      <c r="I2" s="45">
        <v>47238.0</v>
      </c>
      <c r="J2" s="38">
        <v>10000.0</v>
      </c>
      <c r="K2" s="39">
        <v>45870.0</v>
      </c>
      <c r="L2" s="42">
        <f>DATE(YEAR(K2)+4,MONTH(K2),DAY(K2))</f>
        <v>47331</v>
      </c>
      <c r="M2" s="38">
        <v>2786.63</v>
      </c>
      <c r="N2" s="39">
        <v>46027.0</v>
      </c>
      <c r="O2" s="42">
        <f>DATE(YEAR(N2)+2,MONTH(N2),DAY(N2))</f>
        <v>46757</v>
      </c>
      <c r="P2" s="38">
        <v>22931.84</v>
      </c>
      <c r="Q2" s="39">
        <v>46020.0</v>
      </c>
      <c r="R2" s="42">
        <f>DATE(YEAR(Q2)+10,MONTH(Q2),DAY(Q2))</f>
        <v>49672</v>
      </c>
      <c r="S2" s="38">
        <v>132300.0</v>
      </c>
      <c r="T2" s="39">
        <v>45442.0</v>
      </c>
      <c r="U2" s="42">
        <f>DATE(YEAR(T2),MONTH(T2)+359,DAY(T2))</f>
        <v>56369</v>
      </c>
      <c r="V2" s="49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26" t="s">
        <v>58</v>
      </c>
      <c r="B3" s="51">
        <f>B2+P8</f>
        <v>48040.9837</v>
      </c>
      <c r="C3" s="51"/>
      <c r="D3" s="52" t="s">
        <v>25</v>
      </c>
      <c r="E3" s="54">
        <v>0.0839</v>
      </c>
      <c r="F3" s="56"/>
      <c r="G3" s="52" t="s">
        <v>25</v>
      </c>
      <c r="H3" s="54">
        <v>0.058</v>
      </c>
      <c r="I3" s="56"/>
      <c r="J3" s="52" t="s">
        <v>25</v>
      </c>
      <c r="K3" s="54">
        <v>0.0677</v>
      </c>
      <c r="L3" s="56"/>
      <c r="M3" s="52" t="s">
        <v>25</v>
      </c>
      <c r="N3" s="54">
        <v>0.075</v>
      </c>
      <c r="O3" s="56"/>
      <c r="P3" s="52" t="s">
        <v>25</v>
      </c>
      <c r="Q3" s="54">
        <v>0.0525</v>
      </c>
      <c r="R3" s="56"/>
      <c r="S3" s="52" t="s">
        <v>25</v>
      </c>
      <c r="T3" s="54">
        <v>0.0289</v>
      </c>
      <c r="U3" s="56"/>
      <c r="V3" s="33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1" t="s">
        <v>63</v>
      </c>
      <c r="B4" s="58">
        <f>S8</f>
        <v>126074.6925</v>
      </c>
      <c r="C4" s="59"/>
      <c r="D4" s="60" t="s">
        <v>35</v>
      </c>
      <c r="E4" s="60" t="s">
        <v>65</v>
      </c>
      <c r="F4" s="62"/>
      <c r="G4" s="60" t="s">
        <v>35</v>
      </c>
      <c r="H4" s="60" t="s">
        <v>65</v>
      </c>
      <c r="I4" s="62"/>
      <c r="J4" s="60" t="s">
        <v>35</v>
      </c>
      <c r="K4" s="60" t="s">
        <v>65</v>
      </c>
      <c r="L4" s="62"/>
      <c r="M4" s="60" t="s">
        <v>35</v>
      </c>
      <c r="N4" s="60" t="s">
        <v>65</v>
      </c>
      <c r="O4" s="62"/>
      <c r="P4" s="60" t="s">
        <v>35</v>
      </c>
      <c r="Q4" s="60" t="s">
        <v>65</v>
      </c>
      <c r="R4" s="62"/>
      <c r="S4" s="60" t="s">
        <v>35</v>
      </c>
      <c r="T4" s="60" t="s">
        <v>67</v>
      </c>
      <c r="U4" s="62"/>
      <c r="V4" s="66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26" t="s">
        <v>69</v>
      </c>
      <c r="B5" s="17">
        <f>B4+B2</f>
        <v>152217.3113</v>
      </c>
      <c r="C5" s="14"/>
      <c r="D5" s="71">
        <f>PMT(E3/12,DATEDIF(E2,F2,"M"),-D2)</f>
        <v>286.7140786</v>
      </c>
      <c r="E5" s="73">
        <v>22.25</v>
      </c>
      <c r="F5" s="74"/>
      <c r="G5" s="71">
        <f>PMT(H3/12,DATEDIF(G12,I2,"M"),H8-G2)</f>
        <v>29.42086684</v>
      </c>
      <c r="H5" s="73">
        <v>0.0</v>
      </c>
      <c r="I5" s="74"/>
      <c r="J5" s="71">
        <f>PMT(K3/12,DATEDIF(K2,L2,"M"),-J2)</f>
        <v>238.3968072</v>
      </c>
      <c r="K5" s="73">
        <v>0.0</v>
      </c>
      <c r="L5" s="74"/>
      <c r="M5" s="71">
        <f>M2*(1+N3)/DATEDIF(N2,O2,"M")</f>
        <v>124.8178021</v>
      </c>
      <c r="N5" s="73">
        <v>0.0</v>
      </c>
      <c r="O5" s="74"/>
      <c r="P5" s="71">
        <f>PMT(Q3/12,DATEDIF(Q2,R2,"M"),-P2)</f>
        <v>246.039613</v>
      </c>
      <c r="Q5" s="73">
        <v>0.0</v>
      </c>
      <c r="R5" s="74"/>
      <c r="S5" s="71">
        <f>PMT(T3/12,DATEDIF(T2,U2,"M"),-S2)</f>
        <v>550.9274339</v>
      </c>
      <c r="T5" s="73">
        <f>(121.46*4+80)/12</f>
        <v>47.15333333</v>
      </c>
      <c r="U5" s="74"/>
      <c r="V5" s="33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1" t="s">
        <v>75</v>
      </c>
      <c r="B6" s="51">
        <f>B3+B4</f>
        <v>174115.6762</v>
      </c>
      <c r="C6" s="51"/>
      <c r="D6" s="81" t="s">
        <v>77</v>
      </c>
      <c r="E6" s="84">
        <f>D5+E5</f>
        <v>308.9640786</v>
      </c>
      <c r="F6" s="74"/>
      <c r="G6" s="81" t="s">
        <v>77</v>
      </c>
      <c r="H6" s="84">
        <f>G5+H5</f>
        <v>29.42086684</v>
      </c>
      <c r="I6" s="74"/>
      <c r="J6" s="81" t="s">
        <v>77</v>
      </c>
      <c r="K6" s="84">
        <f>J5+K5</f>
        <v>238.3968072</v>
      </c>
      <c r="L6" s="74"/>
      <c r="M6" s="81" t="s">
        <v>77</v>
      </c>
      <c r="N6" s="84">
        <f>M5+N5</f>
        <v>124.8178021</v>
      </c>
      <c r="O6" s="74"/>
      <c r="P6" s="81" t="s">
        <v>77</v>
      </c>
      <c r="Q6" s="84">
        <f>P5+Q5</f>
        <v>246.039613</v>
      </c>
      <c r="R6" s="74"/>
      <c r="S6" s="81" t="s">
        <v>77</v>
      </c>
      <c r="T6" s="84">
        <f>S5+T5</f>
        <v>598.0807672</v>
      </c>
      <c r="U6" s="74"/>
      <c r="V6" s="85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59"/>
      <c r="B7" s="59"/>
      <c r="C7" s="59"/>
      <c r="D7" s="86" t="s">
        <v>85</v>
      </c>
      <c r="E7" s="19" t="s">
        <v>86</v>
      </c>
      <c r="F7" s="87"/>
      <c r="G7" s="86" t="s">
        <v>85</v>
      </c>
      <c r="H7" s="19" t="s">
        <v>86</v>
      </c>
      <c r="I7" s="87"/>
      <c r="J7" s="86" t="s">
        <v>85</v>
      </c>
      <c r="K7" s="19" t="s">
        <v>86</v>
      </c>
      <c r="L7" s="87"/>
      <c r="M7" s="86" t="s">
        <v>85</v>
      </c>
      <c r="N7" s="19" t="s">
        <v>86</v>
      </c>
      <c r="O7" s="87"/>
      <c r="P7" s="86" t="s">
        <v>85</v>
      </c>
      <c r="Q7" s="19" t="s">
        <v>86</v>
      </c>
      <c r="R7" s="87"/>
      <c r="S7" s="86" t="s">
        <v>85</v>
      </c>
      <c r="T7" s="19" t="s">
        <v>86</v>
      </c>
      <c r="U7" s="87"/>
      <c r="V7" s="33"/>
      <c r="W7" s="14"/>
      <c r="X7" s="14"/>
      <c r="Y7" s="14"/>
      <c r="Z7" s="14"/>
      <c r="AA7" s="14"/>
      <c r="AB7" s="14"/>
      <c r="AC7" s="14"/>
      <c r="AD7" s="14"/>
      <c r="AE7" s="14"/>
    </row>
    <row r="8">
      <c r="A8" s="89"/>
      <c r="B8" s="89"/>
      <c r="C8" s="89"/>
      <c r="D8" s="90">
        <f>D2-E8</f>
        <v>15296.04924</v>
      </c>
      <c r="E8" s="91">
        <f>SUM(E10:F12)</f>
        <v>4703.95076</v>
      </c>
      <c r="F8" s="92"/>
      <c r="G8" s="90">
        <f>G2-H8</f>
        <v>920.3957279</v>
      </c>
      <c r="H8" s="91">
        <f>SUM(H10:I13)</f>
        <v>4079.604272</v>
      </c>
      <c r="I8" s="92"/>
      <c r="J8" s="90">
        <f>J2-K8</f>
        <v>7804.271199</v>
      </c>
      <c r="K8" s="91">
        <f>SUM(K10:L12)</f>
        <v>2195.728801</v>
      </c>
      <c r="L8" s="92"/>
      <c r="M8" s="90">
        <f>M2*(1+N3)-N8</f>
        <v>2121.902635</v>
      </c>
      <c r="N8" s="91">
        <f>SUM(N10:O12)</f>
        <v>873.7246146</v>
      </c>
      <c r="O8" s="92"/>
      <c r="P8" s="90">
        <f>P2-Q8</f>
        <v>21898.3649</v>
      </c>
      <c r="Q8" s="91">
        <f>SUM(Q10:R12)</f>
        <v>1033.4751</v>
      </c>
      <c r="R8" s="92"/>
      <c r="S8" s="90">
        <f>S2-T8</f>
        <v>126074.6925</v>
      </c>
      <c r="T8" s="91">
        <f>SUM(T10:U12)</f>
        <v>6225.307519</v>
      </c>
      <c r="U8" s="92"/>
      <c r="V8" s="96"/>
      <c r="W8" s="14"/>
      <c r="X8" s="14"/>
      <c r="Y8" s="14"/>
      <c r="Z8" s="14"/>
      <c r="AA8" s="14"/>
      <c r="AB8" s="14"/>
      <c r="AC8" s="14"/>
      <c r="AD8" s="14"/>
      <c r="AE8" s="14"/>
    </row>
    <row r="9">
      <c r="A9" s="19"/>
      <c r="B9" s="19"/>
      <c r="C9" s="19"/>
      <c r="D9" s="97" t="s">
        <v>98</v>
      </c>
      <c r="E9" s="99"/>
      <c r="F9" s="100"/>
      <c r="G9" s="101" t="s">
        <v>98</v>
      </c>
      <c r="H9" s="13"/>
      <c r="I9" s="16"/>
      <c r="J9" s="97" t="s">
        <v>98</v>
      </c>
      <c r="K9" s="99"/>
      <c r="L9" s="100"/>
      <c r="M9" s="97" t="s">
        <v>98</v>
      </c>
      <c r="N9" s="99"/>
      <c r="O9" s="100"/>
      <c r="P9" s="97" t="s">
        <v>98</v>
      </c>
      <c r="Q9" s="99"/>
      <c r="R9" s="100"/>
      <c r="S9" s="97" t="s">
        <v>98</v>
      </c>
      <c r="T9" s="99"/>
      <c r="U9" s="100"/>
      <c r="V9" s="30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26"/>
      <c r="B10" s="26"/>
      <c r="C10" s="26"/>
      <c r="D10" s="105">
        <f>$B$1</f>
        <v>46251</v>
      </c>
      <c r="E10" s="17"/>
      <c r="F10" s="109">
        <f>IF(DATEDIF(E2, D10, "M")=0, 0,-CUMPRINC(E3/12, DATEDIF(E2,F2,"M"), D2, 1, IF(DATEDIF(E2,D10,"M")=0,1,DATEDIF(E2,D10,"M")), 0))</f>
        <v>4703.95076</v>
      </c>
      <c r="G10" s="110">
        <v>44742.0</v>
      </c>
      <c r="H10" s="112">
        <v>1091.0</v>
      </c>
      <c r="I10" s="118">
        <f>-CUMPRINC(0.048/12, 96, G2, 1, DATEDIF(H2, G10, "M"), 0)+0.77</f>
        <v>616.154674</v>
      </c>
      <c r="J10" s="105">
        <f>$B$1</f>
        <v>46251</v>
      </c>
      <c r="K10" s="19"/>
      <c r="L10" s="109">
        <f>IF(DATEDIF(K2, J10, "M")=0, 0,-CUMPRINC(0.0839/12, DATEDIF(K2,L2,"M"), J2, 1, IF(DATEDIF(K2,J10,"M")=0,1,DATEDIF(K2,J10,"M")), 0))</f>
        <v>2195.728801</v>
      </c>
      <c r="M10" s="105">
        <f>$B$1</f>
        <v>46251</v>
      </c>
      <c r="N10" s="17"/>
      <c r="O10" s="109">
        <f>(DATEDIF(N2,M10,"M")*N6)</f>
        <v>873.7246146</v>
      </c>
      <c r="P10" s="105">
        <f>$B$1</f>
        <v>46251</v>
      </c>
      <c r="Q10" s="17"/>
      <c r="R10" s="109">
        <f>IF(DATEDIF(Q2, P10, "M")=0, 0,-CUMPRINC(Q3/12, DATEDIF(Q2,R2,"M"),P2, 1, IF(DATEDIF(Q2,P10,"M")=0,1,DATEDIF(Q2,P10,"M")), 0))</f>
        <v>1033.4751</v>
      </c>
      <c r="S10" s="105">
        <f>$B$1</f>
        <v>46251</v>
      </c>
      <c r="T10" s="19"/>
      <c r="U10" s="109">
        <f>IF(DATEDIF(T2, S10, "M")=0, 0,-CUMPRINC(T3/12, DATEDIF(T2,U2,"M"),S2, 1, IF(DATEDIF(T2,S10,"M")=0,1,DATEDIF(T2,S10,"M")), 0))</f>
        <v>6225.307519</v>
      </c>
      <c r="V10" s="26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A11" s="14"/>
      <c r="B11" s="14"/>
      <c r="C11" s="14"/>
      <c r="D11" s="131"/>
      <c r="E11" s="19"/>
      <c r="F11" s="109"/>
      <c r="G11" s="131">
        <v>46142.0</v>
      </c>
      <c r="H11" s="19">
        <v>600.0</v>
      </c>
      <c r="I11" s="109">
        <f>-CUMPRINC(0.048/12, 83, G2-SUM(H10:I10), 1, DATEDIF(G10,G11,"M"), 0)</f>
        <v>1689.672784</v>
      </c>
      <c r="J11" s="131"/>
      <c r="K11" s="19"/>
      <c r="L11" s="109"/>
      <c r="M11" s="131"/>
      <c r="N11" s="19"/>
      <c r="O11" s="109"/>
      <c r="P11" s="131"/>
      <c r="Q11" s="19"/>
      <c r="R11" s="109"/>
      <c r="S11" s="131"/>
      <c r="T11" s="19"/>
      <c r="U11" s="109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A12" s="26"/>
      <c r="B12" s="26"/>
      <c r="C12" s="26"/>
      <c r="D12" s="105"/>
      <c r="E12" s="17"/>
      <c r="F12" s="109"/>
      <c r="G12" s="131">
        <v>46203.0</v>
      </c>
      <c r="H12" s="19">
        <v>0.0</v>
      </c>
      <c r="I12" s="109">
        <f>IF(DATEDIF(G11, G12, "M")=0, 0,-CUMPRINC(0.048/12, DATEDIF(G12,I2,"M"), G2-SUM(H10:I11), 1, IF(DATEDIF(G11,G12,"M")=0,1,DATEDIF(G11,G12,"M")), 0))</f>
        <v>55.31655843</v>
      </c>
      <c r="J12" s="105"/>
      <c r="K12" s="17"/>
      <c r="L12" s="109"/>
      <c r="M12" s="105"/>
      <c r="N12" s="17"/>
      <c r="O12" s="109"/>
      <c r="P12" s="105"/>
      <c r="Q12" s="17"/>
      <c r="R12" s="109"/>
      <c r="S12" s="105"/>
      <c r="T12" s="17"/>
      <c r="U12" s="109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A13" s="136"/>
      <c r="B13" s="136"/>
      <c r="C13" s="136"/>
      <c r="D13" s="17"/>
      <c r="E13" s="17"/>
      <c r="F13" s="17"/>
      <c r="G13" s="131">
        <f>$B$1</f>
        <v>46251</v>
      </c>
      <c r="H13" s="17"/>
      <c r="I13" s="109">
        <f>IF(DATEDIF(G12, G13, "M")=0, 0,-CUMPRINC(H3/12, DATEDIF(G13,I2,"M"), G2-SUM(H10:I12), 1, IF(DATEDIF(G12,G13,"M")=0,1,DATEDIF(G12,G13,"M")), 0))</f>
        <v>27.46025518</v>
      </c>
      <c r="J13" s="14"/>
      <c r="K13" s="14"/>
      <c r="L13" s="14"/>
      <c r="M13" s="14"/>
      <c r="N13" s="14"/>
      <c r="O13" s="14"/>
      <c r="P13" s="14"/>
      <c r="Q13" s="14"/>
      <c r="R13" s="14"/>
      <c r="S13" s="26"/>
      <c r="T13" s="17"/>
      <c r="U13" s="17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A14" s="26"/>
      <c r="B14" s="26"/>
      <c r="C14" s="26"/>
      <c r="D14" s="17"/>
      <c r="E14" s="17"/>
      <c r="F14" s="17"/>
      <c r="G14" s="17"/>
      <c r="H14" s="17"/>
      <c r="I14" s="17"/>
      <c r="J14" s="30"/>
      <c r="K14" s="30"/>
      <c r="L14" s="30"/>
      <c r="M14" s="30"/>
      <c r="N14" s="14"/>
      <c r="O14" s="14"/>
      <c r="P14" s="14"/>
      <c r="Q14" s="14"/>
      <c r="R14" s="14"/>
      <c r="S14" s="14"/>
      <c r="T14" s="17"/>
      <c r="U14" s="17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A15" s="26"/>
      <c r="B15" s="26"/>
      <c r="C15" s="26"/>
      <c r="D15" s="17"/>
      <c r="E15" s="17"/>
      <c r="F15" s="17"/>
      <c r="G15" s="17"/>
      <c r="H15" s="17"/>
      <c r="I15" s="17"/>
      <c r="J15" s="30"/>
      <c r="K15" s="30"/>
      <c r="L15" s="30"/>
      <c r="M15" s="30"/>
      <c r="N15" s="14"/>
      <c r="O15" s="14"/>
      <c r="P15" s="14"/>
      <c r="Q15" s="14"/>
      <c r="R15" s="14"/>
      <c r="S15" s="14"/>
      <c r="T15" s="17"/>
      <c r="U15" s="17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14"/>
      <c r="B16" s="14"/>
      <c r="C16" s="14"/>
      <c r="D16" s="17"/>
      <c r="E16" s="17"/>
      <c r="F16" s="17"/>
      <c r="G16" s="17"/>
      <c r="H16" s="17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7"/>
      <c r="U16" s="17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14"/>
      <c r="B17" s="14"/>
      <c r="C17" s="14"/>
      <c r="D17" s="17"/>
      <c r="E17" s="17"/>
      <c r="F17" s="17"/>
      <c r="G17" s="17"/>
      <c r="H17" s="17"/>
      <c r="I17" s="1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9">
        <f>359-24</f>
        <v>335</v>
      </c>
      <c r="U17" s="17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14"/>
      <c r="B18" s="14"/>
      <c r="C18" s="14"/>
      <c r="D18" s="19"/>
      <c r="E18" s="19"/>
      <c r="F18" s="19"/>
      <c r="G18" s="19"/>
      <c r="H18" s="17"/>
      <c r="I18" s="17"/>
      <c r="J18" s="14"/>
      <c r="K18" s="14"/>
      <c r="L18" s="14"/>
      <c r="M18" s="14"/>
      <c r="N18" s="14"/>
      <c r="O18" s="14"/>
      <c r="P18" s="14"/>
      <c r="Q18" s="14"/>
      <c r="R18" s="14"/>
      <c r="S18" s="26"/>
      <c r="T18" s="17"/>
      <c r="U18" s="17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26"/>
      <c r="B19" s="26"/>
      <c r="C19" s="26"/>
      <c r="D19" s="19"/>
      <c r="E19" s="19"/>
      <c r="F19" s="19"/>
      <c r="G19" s="19"/>
      <c r="H19" s="17"/>
      <c r="I19" s="1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7"/>
      <c r="U19" s="17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14"/>
      <c r="B20" s="14"/>
      <c r="C20" s="14"/>
      <c r="D20" s="17"/>
      <c r="E20" s="17"/>
      <c r="F20" s="17"/>
      <c r="G20" s="17"/>
      <c r="H20" s="17"/>
      <c r="I20" s="1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7"/>
      <c r="U20" s="17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14"/>
      <c r="B21" s="14"/>
      <c r="C21" s="14"/>
      <c r="D21" s="30"/>
      <c r="E21" s="30"/>
      <c r="F21" s="30"/>
      <c r="G21" s="30"/>
      <c r="H21" s="30"/>
      <c r="I21" s="51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7"/>
      <c r="U21" s="17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14"/>
      <c r="B22" s="14"/>
      <c r="C22" s="14"/>
      <c r="D22" s="30"/>
      <c r="E22" s="30"/>
      <c r="F22" s="30"/>
      <c r="G22" s="30"/>
      <c r="H22" s="30"/>
      <c r="I22" s="5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7"/>
      <c r="U22" s="17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14"/>
      <c r="B23" s="14"/>
      <c r="C23" s="14"/>
      <c r="D23" s="17"/>
      <c r="E23" s="17"/>
      <c r="F23" s="17"/>
      <c r="G23" s="17"/>
      <c r="H23" s="51"/>
      <c r="I23" s="51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7"/>
      <c r="U23" s="17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A24" s="14"/>
      <c r="B24" s="14"/>
      <c r="C24" s="14"/>
      <c r="D24" s="30"/>
      <c r="E24" s="30"/>
      <c r="F24" s="30"/>
      <c r="G24" s="30"/>
      <c r="H24" s="30"/>
      <c r="I24" s="3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7"/>
      <c r="U24" s="17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A25" s="14"/>
      <c r="B25" s="14"/>
      <c r="C25" s="14"/>
      <c r="D25" s="30"/>
      <c r="E25" s="30"/>
      <c r="F25" s="30"/>
      <c r="G25" s="30"/>
      <c r="H25" s="30"/>
      <c r="I25" s="3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7"/>
      <c r="U25" s="17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A26" s="14"/>
      <c r="B26" s="14"/>
      <c r="C26" s="14"/>
      <c r="D26" s="30"/>
      <c r="E26" s="30"/>
      <c r="F26" s="30"/>
      <c r="G26" s="30"/>
      <c r="H26" s="30"/>
      <c r="I26" s="3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7"/>
      <c r="U26" s="17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A27" s="14"/>
      <c r="B27" s="14"/>
      <c r="C27" s="14"/>
      <c r="D27" s="30"/>
      <c r="E27" s="30"/>
      <c r="F27" s="30"/>
      <c r="G27" s="30"/>
      <c r="H27" s="30"/>
      <c r="I27" s="3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7"/>
      <c r="U27" s="17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A28" s="14"/>
      <c r="B28" s="14"/>
      <c r="C28" s="14"/>
      <c r="D28" s="30"/>
      <c r="E28" s="30"/>
      <c r="F28" s="30"/>
      <c r="G28" s="30"/>
      <c r="H28" s="30"/>
      <c r="I28" s="3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7"/>
      <c r="U28" s="17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A29" s="14"/>
      <c r="B29" s="14"/>
      <c r="C29" s="14"/>
      <c r="D29" s="30"/>
      <c r="E29" s="30"/>
      <c r="F29" s="30"/>
      <c r="G29" s="30"/>
      <c r="H29" s="30"/>
      <c r="I29" s="3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7"/>
      <c r="U29" s="17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7"/>
      <c r="U30" s="17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7"/>
      <c r="U31" s="17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7"/>
      <c r="U32" s="17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7"/>
      <c r="U33" s="17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7"/>
      <c r="U34" s="17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7"/>
      <c r="U35" s="17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7"/>
      <c r="U36" s="17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7"/>
      <c r="U37" s="17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7"/>
      <c r="U38" s="17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7"/>
      <c r="U39" s="17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7"/>
      <c r="U40" s="17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7"/>
      <c r="U41" s="17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7"/>
      <c r="U42" s="17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7"/>
      <c r="U43" s="17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7"/>
      <c r="U44" s="17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  <c r="U45" s="17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7"/>
      <c r="U46" s="17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7"/>
      <c r="U47" s="17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7"/>
      <c r="U48" s="17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7"/>
      <c r="U49" s="17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7"/>
      <c r="U50" s="17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7"/>
      <c r="U51" s="17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7"/>
      <c r="U52" s="17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7"/>
      <c r="U53" s="17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"/>
      <c r="U54" s="17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"/>
      <c r="U55" s="17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"/>
      <c r="U56" s="17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"/>
      <c r="U57" s="17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"/>
      <c r="U58" s="17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"/>
      <c r="U59" s="17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7"/>
      <c r="U60" s="17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7"/>
      <c r="U61" s="17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7"/>
      <c r="U62" s="17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7"/>
      <c r="U63" s="17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7"/>
      <c r="U64" s="17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7"/>
      <c r="U65" s="17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7"/>
      <c r="U66" s="17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7"/>
      <c r="U67" s="17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7"/>
      <c r="U68" s="17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7"/>
      <c r="U69" s="17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7"/>
      <c r="U70" s="17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7"/>
      <c r="U71" s="17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7"/>
      <c r="U72" s="17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7"/>
      <c r="U73" s="17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7"/>
      <c r="U74" s="17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7"/>
      <c r="U75" s="17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7"/>
      <c r="U76" s="17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7"/>
      <c r="U77" s="17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7"/>
      <c r="U78" s="17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7"/>
      <c r="U79" s="17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7"/>
      <c r="U80" s="17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7"/>
      <c r="U81" s="17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7"/>
      <c r="U82" s="17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7"/>
      <c r="U83" s="17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7"/>
      <c r="U84" s="17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7"/>
      <c r="U85" s="17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7"/>
      <c r="U86" s="17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7"/>
      <c r="U87" s="17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7"/>
      <c r="U88" s="17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7"/>
      <c r="U89" s="17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7"/>
      <c r="U90" s="17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7"/>
      <c r="U91" s="17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7"/>
      <c r="U92" s="17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7"/>
      <c r="U93" s="17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7"/>
      <c r="U94" s="17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7"/>
      <c r="U95" s="17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7"/>
      <c r="U96" s="17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7"/>
      <c r="U97" s="17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7"/>
      <c r="U98" s="17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7"/>
      <c r="U99" s="17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7"/>
      <c r="U100" s="17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7"/>
      <c r="U101" s="17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7"/>
      <c r="U102" s="17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7"/>
      <c r="U103" s="17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7"/>
      <c r="U104" s="17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7"/>
      <c r="U105" s="17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7"/>
      <c r="U106" s="17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7"/>
      <c r="U107" s="17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7"/>
      <c r="U108" s="17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7"/>
      <c r="U109" s="17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7"/>
      <c r="U110" s="17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7"/>
      <c r="U111" s="17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7"/>
      <c r="U112" s="17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7"/>
      <c r="U113" s="17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7"/>
      <c r="U114" s="17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7"/>
      <c r="U115" s="17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7"/>
      <c r="U116" s="17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7"/>
      <c r="U117" s="17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7"/>
      <c r="U118" s="17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7"/>
      <c r="U119" s="17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7"/>
      <c r="U120" s="17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7"/>
      <c r="U121" s="17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7"/>
      <c r="U122" s="17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7"/>
      <c r="U123" s="17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7"/>
      <c r="U124" s="17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7"/>
      <c r="U125" s="17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7"/>
      <c r="U126" s="17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7"/>
      <c r="U127" s="17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7"/>
      <c r="U128" s="17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7"/>
      <c r="U129" s="17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7"/>
      <c r="U130" s="17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7"/>
      <c r="U131" s="17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7"/>
      <c r="U132" s="17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7"/>
      <c r="U133" s="17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7"/>
      <c r="U134" s="17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7"/>
      <c r="U135" s="17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7"/>
      <c r="U136" s="17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7"/>
      <c r="U137" s="17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7"/>
      <c r="U138" s="17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7"/>
      <c r="U139" s="17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7"/>
      <c r="U140" s="17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7"/>
      <c r="U141" s="17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7"/>
      <c r="U142" s="17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7"/>
      <c r="U143" s="17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7"/>
      <c r="U144" s="17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7"/>
      <c r="U145" s="17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7"/>
      <c r="U146" s="17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7"/>
      <c r="U147" s="17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7"/>
      <c r="U148" s="17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7"/>
      <c r="U149" s="17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7"/>
      <c r="U150" s="17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7"/>
      <c r="U151" s="17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7"/>
      <c r="U152" s="17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7"/>
      <c r="U153" s="17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7"/>
      <c r="U154" s="17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7"/>
      <c r="U155" s="17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7"/>
      <c r="U156" s="17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7"/>
      <c r="U157" s="17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7"/>
      <c r="U158" s="17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7"/>
      <c r="U159" s="17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7"/>
      <c r="U160" s="17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7"/>
      <c r="U161" s="17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7"/>
      <c r="U162" s="17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7"/>
      <c r="U163" s="17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7"/>
      <c r="U164" s="17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7"/>
      <c r="U165" s="17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7"/>
      <c r="U166" s="17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7"/>
      <c r="U167" s="17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7"/>
      <c r="U168" s="17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7"/>
      <c r="U169" s="17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7"/>
      <c r="U170" s="17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7"/>
      <c r="U171" s="17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7"/>
      <c r="U172" s="17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7"/>
      <c r="U173" s="17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7"/>
      <c r="U174" s="17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7"/>
      <c r="U175" s="17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7"/>
      <c r="U176" s="17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7"/>
      <c r="U177" s="17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7"/>
      <c r="U178" s="17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7"/>
      <c r="U179" s="17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7"/>
      <c r="U180" s="17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7"/>
      <c r="U181" s="17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7"/>
      <c r="U182" s="17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7"/>
      <c r="U183" s="17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7"/>
      <c r="U184" s="17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7"/>
      <c r="U185" s="17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7"/>
      <c r="U186" s="17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7"/>
      <c r="U187" s="17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7"/>
      <c r="U188" s="17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7"/>
      <c r="U189" s="17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7"/>
      <c r="U190" s="17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7"/>
      <c r="U191" s="17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7"/>
      <c r="U192" s="17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7"/>
      <c r="U193" s="17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7"/>
      <c r="U194" s="17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7"/>
      <c r="U195" s="17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7"/>
      <c r="U196" s="17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7"/>
      <c r="U197" s="17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7"/>
      <c r="U198" s="17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7"/>
      <c r="U199" s="17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7"/>
      <c r="U200" s="17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7"/>
      <c r="U201" s="17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7"/>
      <c r="U202" s="17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7"/>
      <c r="U203" s="17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7"/>
      <c r="U204" s="17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7"/>
      <c r="U205" s="17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7"/>
      <c r="U206" s="17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7"/>
      <c r="U207" s="17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7"/>
      <c r="U208" s="17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7"/>
      <c r="U209" s="17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7"/>
      <c r="U210" s="17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7"/>
      <c r="U211" s="17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7"/>
      <c r="U212" s="17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7"/>
      <c r="U213" s="17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7"/>
      <c r="U214" s="17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7"/>
      <c r="U215" s="17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7"/>
      <c r="U216" s="17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7"/>
      <c r="U217" s="17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7"/>
      <c r="U218" s="17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7"/>
      <c r="U219" s="17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7"/>
      <c r="U220" s="17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7"/>
      <c r="U221" s="17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7"/>
      <c r="U222" s="17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7"/>
      <c r="U223" s="17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7"/>
      <c r="U224" s="17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7"/>
      <c r="U225" s="17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7"/>
      <c r="U226" s="17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7"/>
      <c r="U227" s="17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7"/>
      <c r="U228" s="17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7"/>
      <c r="U229" s="17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7"/>
      <c r="U230" s="17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7"/>
      <c r="U231" s="17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7"/>
      <c r="U232" s="17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7"/>
      <c r="U233" s="17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7"/>
      <c r="U234" s="17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7"/>
      <c r="U235" s="17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7"/>
      <c r="U236" s="17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7"/>
      <c r="U237" s="17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7"/>
      <c r="U238" s="17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7"/>
      <c r="U239" s="17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7"/>
      <c r="U240" s="17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7"/>
      <c r="U241" s="17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7"/>
      <c r="U242" s="17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7"/>
      <c r="U243" s="17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7"/>
      <c r="U244" s="17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7"/>
      <c r="U245" s="17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7"/>
      <c r="U246" s="17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7"/>
      <c r="U247" s="17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7"/>
      <c r="U248" s="17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7"/>
      <c r="U249" s="17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7"/>
      <c r="U250" s="17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7"/>
      <c r="U251" s="17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7"/>
      <c r="U252" s="17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7"/>
      <c r="U253" s="17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7"/>
      <c r="U254" s="17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7"/>
      <c r="U255" s="17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7"/>
      <c r="U256" s="17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7"/>
      <c r="U257" s="17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7"/>
      <c r="U258" s="17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7"/>
      <c r="U259" s="17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7"/>
      <c r="U260" s="17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7"/>
      <c r="U261" s="17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7"/>
      <c r="U262" s="17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7"/>
      <c r="U263" s="17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7"/>
      <c r="U264" s="17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7"/>
      <c r="U265" s="17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7"/>
      <c r="U266" s="17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7"/>
      <c r="U267" s="17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7"/>
      <c r="U268" s="17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7"/>
      <c r="U269" s="17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7"/>
      <c r="U270" s="17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7"/>
      <c r="U271" s="17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7"/>
      <c r="U272" s="17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7"/>
      <c r="U273" s="17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7"/>
      <c r="U274" s="17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7"/>
      <c r="U275" s="17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7"/>
      <c r="U276" s="17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7"/>
      <c r="U277" s="17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7"/>
      <c r="U278" s="17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7"/>
      <c r="U279" s="17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7"/>
      <c r="U280" s="17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7"/>
      <c r="U281" s="17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7"/>
      <c r="U282" s="17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7"/>
      <c r="U283" s="17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7"/>
      <c r="U284" s="17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7"/>
      <c r="U285" s="17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7"/>
      <c r="U286" s="17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7"/>
      <c r="U287" s="17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7"/>
      <c r="U288" s="17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7"/>
      <c r="U289" s="17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7"/>
      <c r="U290" s="17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7"/>
      <c r="U291" s="17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7"/>
      <c r="U292" s="17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7"/>
      <c r="U293" s="17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7"/>
      <c r="U294" s="17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7"/>
      <c r="U295" s="17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7"/>
      <c r="U296" s="17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7"/>
      <c r="U297" s="17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7"/>
      <c r="U298" s="17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7"/>
      <c r="U299" s="17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7"/>
      <c r="U300" s="17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7"/>
      <c r="U301" s="17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7"/>
      <c r="U302" s="17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7"/>
      <c r="U303" s="17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7"/>
      <c r="U304" s="17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7"/>
      <c r="U305" s="17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7"/>
      <c r="U306" s="17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7"/>
      <c r="U307" s="17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7"/>
      <c r="U308" s="17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7"/>
      <c r="U309" s="17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7"/>
      <c r="U310" s="17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7"/>
      <c r="U311" s="17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7"/>
      <c r="U312" s="17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7"/>
      <c r="U313" s="17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7"/>
      <c r="U314" s="17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7"/>
      <c r="U315" s="17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7"/>
      <c r="U316" s="17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7"/>
      <c r="U317" s="17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7"/>
      <c r="U318" s="17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7"/>
      <c r="U319" s="17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7"/>
      <c r="U320" s="17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7"/>
      <c r="U321" s="17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7"/>
      <c r="U322" s="17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7"/>
      <c r="U323" s="17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7"/>
      <c r="U324" s="17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7"/>
      <c r="U325" s="17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7"/>
      <c r="U326" s="17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7"/>
      <c r="U327" s="17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7"/>
      <c r="U328" s="17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7"/>
      <c r="U329" s="17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7"/>
      <c r="U330" s="17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7"/>
      <c r="U331" s="17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7"/>
      <c r="U332" s="17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7"/>
      <c r="U333" s="17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7"/>
      <c r="U334" s="17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7"/>
      <c r="U335" s="17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7"/>
      <c r="U336" s="17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7"/>
      <c r="U337" s="17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7"/>
      <c r="U338" s="17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7"/>
      <c r="U339" s="17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7"/>
      <c r="U340" s="17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7"/>
      <c r="U341" s="17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7"/>
      <c r="U342" s="17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7"/>
      <c r="U343" s="17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7"/>
      <c r="U344" s="17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7"/>
      <c r="U345" s="17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7"/>
      <c r="U346" s="17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7"/>
      <c r="U347" s="17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7"/>
      <c r="U348" s="17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7"/>
      <c r="U349" s="17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7"/>
      <c r="U350" s="17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7"/>
      <c r="U351" s="17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7"/>
      <c r="U352" s="17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7"/>
      <c r="U353" s="17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7"/>
      <c r="U354" s="17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7"/>
      <c r="U355" s="17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7"/>
      <c r="U356" s="17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7"/>
      <c r="U357" s="17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7"/>
      <c r="U358" s="17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7"/>
      <c r="U359" s="17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7"/>
      <c r="U360" s="17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7"/>
      <c r="U361" s="17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7"/>
      <c r="U362" s="17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7"/>
      <c r="U363" s="17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7"/>
      <c r="U364" s="17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7"/>
      <c r="U365" s="17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7"/>
      <c r="U366" s="17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7"/>
      <c r="U367" s="17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7"/>
      <c r="U368" s="17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7"/>
      <c r="U369" s="17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7"/>
      <c r="U370" s="17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7"/>
      <c r="U371" s="17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7"/>
      <c r="U372" s="17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7"/>
      <c r="U373" s="17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7"/>
      <c r="U374" s="17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7"/>
      <c r="U375" s="17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7"/>
      <c r="U376" s="17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7"/>
      <c r="U377" s="17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7"/>
      <c r="U378" s="17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7"/>
      <c r="U379" s="17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7"/>
      <c r="U380" s="17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7"/>
      <c r="U381" s="17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7"/>
      <c r="U382" s="17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7"/>
      <c r="U383" s="17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7"/>
      <c r="U384" s="17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7"/>
      <c r="U385" s="17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7"/>
      <c r="U386" s="17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7"/>
      <c r="U387" s="17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7"/>
      <c r="U388" s="17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7"/>
      <c r="U389" s="17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7"/>
      <c r="U390" s="17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7"/>
      <c r="U391" s="17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7"/>
      <c r="U392" s="17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7"/>
      <c r="U393" s="17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7"/>
      <c r="U394" s="17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7"/>
      <c r="U395" s="17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7"/>
      <c r="U396" s="17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7"/>
      <c r="U397" s="17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7"/>
      <c r="U398" s="17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7"/>
      <c r="U399" s="17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7"/>
      <c r="U400" s="17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7"/>
      <c r="U401" s="17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7"/>
      <c r="U402" s="17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7"/>
      <c r="U403" s="17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7"/>
      <c r="U404" s="17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7"/>
      <c r="U405" s="17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7"/>
      <c r="U406" s="17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7"/>
      <c r="U407" s="17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7"/>
      <c r="U408" s="17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7"/>
      <c r="U409" s="17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7"/>
      <c r="U410" s="17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7"/>
      <c r="U411" s="17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7"/>
      <c r="U412" s="17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7"/>
      <c r="U413" s="17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7"/>
      <c r="U414" s="17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7"/>
      <c r="U415" s="17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7"/>
      <c r="U416" s="17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7"/>
      <c r="U417" s="17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7"/>
      <c r="U418" s="17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7"/>
      <c r="U419" s="17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7"/>
      <c r="U420" s="17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7"/>
      <c r="U421" s="17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7"/>
      <c r="U422" s="17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7"/>
      <c r="U423" s="17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7"/>
      <c r="U424" s="17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7"/>
      <c r="U425" s="17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7"/>
      <c r="U426" s="17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7"/>
      <c r="U427" s="17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7"/>
      <c r="U428" s="17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7"/>
      <c r="U429" s="17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7"/>
      <c r="U430" s="17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7"/>
      <c r="U431" s="17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7"/>
      <c r="U432" s="17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7"/>
      <c r="U433" s="17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7"/>
      <c r="U434" s="17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7"/>
      <c r="U435" s="17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7"/>
      <c r="U436" s="17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7"/>
      <c r="U437" s="17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7"/>
      <c r="U438" s="17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7"/>
      <c r="U439" s="17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7"/>
      <c r="U440" s="17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7"/>
      <c r="U441" s="17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7"/>
      <c r="U442" s="17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7"/>
      <c r="U443" s="17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7"/>
      <c r="U444" s="17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7"/>
      <c r="U445" s="17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7"/>
      <c r="U446" s="17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7"/>
      <c r="U447" s="17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7"/>
      <c r="U448" s="17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7"/>
      <c r="U449" s="17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7"/>
      <c r="U450" s="17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7"/>
      <c r="U451" s="17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7"/>
      <c r="U452" s="17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7"/>
      <c r="U453" s="17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7"/>
      <c r="U454" s="17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7"/>
      <c r="U455" s="17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7"/>
      <c r="U456" s="17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7"/>
      <c r="U457" s="17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7"/>
      <c r="U458" s="17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7"/>
      <c r="U459" s="17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7"/>
      <c r="U460" s="17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7"/>
      <c r="U461" s="17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7"/>
      <c r="U462" s="17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7"/>
      <c r="U463" s="17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7"/>
      <c r="U464" s="17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7"/>
      <c r="U465" s="17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7"/>
      <c r="U466" s="17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7"/>
      <c r="U467" s="17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7"/>
      <c r="U468" s="17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7"/>
      <c r="U469" s="17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7"/>
      <c r="U470" s="17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7"/>
      <c r="U471" s="17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7"/>
      <c r="U472" s="17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7"/>
      <c r="U473" s="17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7"/>
      <c r="U474" s="17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7"/>
      <c r="U475" s="17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7"/>
      <c r="U476" s="17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7"/>
      <c r="U477" s="17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7"/>
      <c r="U478" s="17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7"/>
      <c r="U479" s="17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7"/>
      <c r="U480" s="17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7"/>
      <c r="U481" s="17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7"/>
      <c r="U482" s="17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7"/>
      <c r="U483" s="17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7"/>
      <c r="U484" s="17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7"/>
      <c r="U485" s="17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7"/>
      <c r="U486" s="17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7"/>
      <c r="U487" s="17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7"/>
      <c r="U488" s="17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7"/>
      <c r="U489" s="17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7"/>
      <c r="U490" s="17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7"/>
      <c r="U491" s="17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7"/>
      <c r="U492" s="17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7"/>
      <c r="U493" s="17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7"/>
      <c r="U494" s="17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7"/>
      <c r="U495" s="17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7"/>
      <c r="U496" s="17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7"/>
      <c r="U497" s="17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7"/>
      <c r="U498" s="17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7"/>
      <c r="U499" s="17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7"/>
      <c r="U500" s="17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7"/>
      <c r="U501" s="17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7"/>
      <c r="U502" s="17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7"/>
      <c r="U503" s="17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7"/>
      <c r="U504" s="17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7"/>
      <c r="U505" s="17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7"/>
      <c r="U506" s="17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7"/>
      <c r="U507" s="17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7"/>
      <c r="U508" s="17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7"/>
      <c r="U509" s="17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7"/>
      <c r="U510" s="17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7"/>
      <c r="U511" s="17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7"/>
      <c r="U512" s="17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7"/>
      <c r="U513" s="17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7"/>
      <c r="U514" s="17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7"/>
      <c r="U515" s="17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7"/>
      <c r="U516" s="17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7"/>
      <c r="U517" s="17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7"/>
      <c r="U518" s="17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7"/>
      <c r="U519" s="17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7"/>
      <c r="U520" s="17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7"/>
      <c r="U521" s="17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7"/>
      <c r="U522" s="17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7"/>
      <c r="U523" s="17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7"/>
      <c r="U524" s="17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7"/>
      <c r="U525" s="17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7"/>
      <c r="U526" s="17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7"/>
      <c r="U527" s="17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7"/>
      <c r="U528" s="17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7"/>
      <c r="U529" s="17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7"/>
      <c r="U530" s="17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7"/>
      <c r="U531" s="17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7"/>
      <c r="U532" s="17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7"/>
      <c r="U533" s="17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7"/>
      <c r="U534" s="17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7"/>
      <c r="U535" s="17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7"/>
      <c r="U536" s="17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7"/>
      <c r="U537" s="17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7"/>
      <c r="U538" s="17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7"/>
      <c r="U539" s="17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7"/>
      <c r="U540" s="17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7"/>
      <c r="U541" s="17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7"/>
      <c r="U542" s="17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7"/>
      <c r="U543" s="17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7"/>
      <c r="U544" s="17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7"/>
      <c r="U545" s="17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7"/>
      <c r="U546" s="17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7"/>
      <c r="U547" s="17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7"/>
      <c r="U548" s="17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7"/>
      <c r="U549" s="17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7"/>
      <c r="U550" s="17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7"/>
      <c r="U551" s="17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7"/>
      <c r="U552" s="17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7"/>
      <c r="U553" s="17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7"/>
      <c r="U554" s="17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7"/>
      <c r="U555" s="17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7"/>
      <c r="U556" s="17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7"/>
      <c r="U557" s="17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7"/>
      <c r="U558" s="17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7"/>
      <c r="U559" s="17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7"/>
      <c r="U560" s="17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7"/>
      <c r="U561" s="17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7"/>
      <c r="U562" s="17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7"/>
      <c r="U563" s="17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7"/>
      <c r="U564" s="17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7"/>
      <c r="U565" s="17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7"/>
      <c r="U566" s="17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7"/>
      <c r="U567" s="17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7"/>
      <c r="U568" s="17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7"/>
      <c r="U569" s="17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7"/>
      <c r="U570" s="17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7"/>
      <c r="U571" s="17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7"/>
      <c r="U572" s="17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7"/>
      <c r="U573" s="17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7"/>
      <c r="U574" s="17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7"/>
      <c r="U575" s="17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7"/>
      <c r="U576" s="17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7"/>
      <c r="U577" s="17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7"/>
      <c r="U578" s="17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7"/>
      <c r="U579" s="17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7"/>
      <c r="U580" s="17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7"/>
      <c r="U581" s="17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7"/>
      <c r="U582" s="17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7"/>
      <c r="U583" s="17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7"/>
      <c r="U584" s="17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7"/>
      <c r="U585" s="17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7"/>
      <c r="U586" s="17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7"/>
      <c r="U587" s="17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7"/>
      <c r="U588" s="17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7"/>
      <c r="U589" s="17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7"/>
      <c r="U590" s="17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7"/>
      <c r="U591" s="17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7"/>
      <c r="U592" s="17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7"/>
      <c r="U593" s="17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7"/>
      <c r="U594" s="17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7"/>
      <c r="U595" s="17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7"/>
      <c r="U596" s="17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7"/>
      <c r="U597" s="17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7"/>
      <c r="U598" s="17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7"/>
      <c r="U599" s="17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7"/>
      <c r="U600" s="17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7"/>
      <c r="U601" s="17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7"/>
      <c r="U602" s="17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7"/>
      <c r="U603" s="17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7"/>
      <c r="U604" s="17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7"/>
      <c r="U605" s="17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7"/>
      <c r="U606" s="17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7"/>
      <c r="U607" s="17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7"/>
      <c r="U608" s="17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7"/>
      <c r="U609" s="17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7"/>
      <c r="U610" s="17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7"/>
      <c r="U611" s="17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7"/>
      <c r="U612" s="17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7"/>
      <c r="U613" s="17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7"/>
      <c r="U614" s="17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7"/>
      <c r="U615" s="17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7"/>
      <c r="U616" s="17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7"/>
      <c r="U617" s="17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7"/>
      <c r="U618" s="17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7"/>
      <c r="U619" s="17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7"/>
      <c r="U620" s="17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7"/>
      <c r="U621" s="17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7"/>
      <c r="U622" s="17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7"/>
      <c r="U623" s="17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7"/>
      <c r="U624" s="17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7"/>
      <c r="U625" s="17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7"/>
      <c r="U626" s="17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7"/>
      <c r="U627" s="17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7"/>
      <c r="U628" s="17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7"/>
      <c r="U629" s="17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7"/>
      <c r="U630" s="17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7"/>
      <c r="U631" s="17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7"/>
      <c r="U632" s="17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7"/>
      <c r="U633" s="17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7"/>
      <c r="U634" s="17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7"/>
      <c r="U635" s="17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7"/>
      <c r="U636" s="17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7"/>
      <c r="U637" s="17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7"/>
      <c r="U638" s="17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7"/>
      <c r="U639" s="17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7"/>
      <c r="U640" s="17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7"/>
      <c r="U641" s="17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7"/>
      <c r="U642" s="17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7"/>
      <c r="U643" s="17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7"/>
      <c r="U644" s="17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7"/>
      <c r="U645" s="17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7"/>
      <c r="U646" s="17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7"/>
      <c r="U647" s="17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7"/>
      <c r="U648" s="17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7"/>
      <c r="U649" s="17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7"/>
      <c r="U650" s="17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7"/>
      <c r="U651" s="17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7"/>
      <c r="U652" s="17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7"/>
      <c r="U653" s="17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7"/>
      <c r="U654" s="17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7"/>
      <c r="U655" s="17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7"/>
      <c r="U656" s="17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7"/>
      <c r="U657" s="17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7"/>
      <c r="U658" s="17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7"/>
      <c r="U659" s="17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7"/>
      <c r="U660" s="17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7"/>
      <c r="U661" s="17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7"/>
      <c r="U662" s="17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7"/>
      <c r="U663" s="17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7"/>
      <c r="U664" s="17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7"/>
      <c r="U665" s="17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7"/>
      <c r="U666" s="17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7"/>
      <c r="U667" s="17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7"/>
      <c r="U668" s="17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7"/>
      <c r="U669" s="17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7"/>
      <c r="U670" s="17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7"/>
      <c r="U671" s="17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7"/>
      <c r="U672" s="17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7"/>
      <c r="U673" s="17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7"/>
      <c r="U674" s="17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7"/>
      <c r="U675" s="17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7"/>
      <c r="U676" s="17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7"/>
      <c r="U677" s="17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7"/>
      <c r="U678" s="17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7"/>
      <c r="U679" s="17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7"/>
      <c r="U680" s="17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7"/>
      <c r="U681" s="17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7"/>
      <c r="U682" s="17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7"/>
      <c r="U683" s="17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7"/>
      <c r="U684" s="17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7"/>
      <c r="U685" s="17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7"/>
      <c r="U686" s="17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7"/>
      <c r="U687" s="17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7"/>
      <c r="U688" s="17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7"/>
      <c r="U689" s="17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7"/>
      <c r="U690" s="17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7"/>
      <c r="U691" s="17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7"/>
      <c r="U692" s="17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7"/>
      <c r="U693" s="17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7"/>
      <c r="U694" s="17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7"/>
      <c r="U695" s="17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7"/>
      <c r="U696" s="17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7"/>
      <c r="U697" s="17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7"/>
      <c r="U698" s="17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7"/>
      <c r="U699" s="17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7"/>
      <c r="U700" s="17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7"/>
      <c r="U701" s="17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7"/>
      <c r="U702" s="17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7"/>
      <c r="U703" s="17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7"/>
      <c r="U704" s="17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7"/>
      <c r="U705" s="17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7"/>
      <c r="U706" s="17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7"/>
      <c r="U707" s="17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7"/>
      <c r="U708" s="17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7"/>
      <c r="U709" s="17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7"/>
      <c r="U710" s="17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7"/>
      <c r="U711" s="17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7"/>
      <c r="U712" s="17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7"/>
      <c r="U713" s="17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7"/>
      <c r="U714" s="17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7"/>
      <c r="U715" s="17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7"/>
      <c r="U716" s="17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7"/>
      <c r="U717" s="17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7"/>
      <c r="U718" s="17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7"/>
      <c r="U719" s="17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7"/>
      <c r="U720" s="17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7"/>
      <c r="U721" s="17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7"/>
      <c r="U722" s="17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7"/>
      <c r="U723" s="17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7"/>
      <c r="U724" s="17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7"/>
      <c r="U725" s="17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7"/>
      <c r="U726" s="17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7"/>
      <c r="U727" s="17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7"/>
      <c r="U728" s="17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7"/>
      <c r="U729" s="17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7"/>
      <c r="U730" s="17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7"/>
      <c r="U731" s="17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7"/>
      <c r="U732" s="17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7"/>
      <c r="U733" s="17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7"/>
      <c r="U734" s="17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7"/>
      <c r="U735" s="17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7"/>
      <c r="U736" s="17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7"/>
      <c r="U737" s="17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7"/>
      <c r="U738" s="17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7"/>
      <c r="U739" s="17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7"/>
      <c r="U740" s="17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7"/>
      <c r="U741" s="17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7"/>
      <c r="U742" s="17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7"/>
      <c r="U743" s="17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7"/>
      <c r="U744" s="17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7"/>
      <c r="U745" s="17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7"/>
      <c r="U746" s="17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7"/>
      <c r="U747" s="17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7"/>
      <c r="U748" s="17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7"/>
      <c r="U749" s="17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7"/>
      <c r="U750" s="17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7"/>
      <c r="U751" s="17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7"/>
      <c r="U752" s="17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7"/>
      <c r="U753" s="17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7"/>
      <c r="U754" s="17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7"/>
      <c r="U755" s="17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7"/>
      <c r="U756" s="17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7"/>
      <c r="U757" s="17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7"/>
      <c r="U758" s="17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7"/>
      <c r="U759" s="17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7"/>
      <c r="U760" s="17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7"/>
      <c r="U761" s="17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7"/>
      <c r="U762" s="17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7"/>
      <c r="U763" s="17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7"/>
      <c r="U764" s="17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7"/>
      <c r="U765" s="17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7"/>
      <c r="U766" s="17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7"/>
      <c r="U767" s="17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7"/>
      <c r="U768" s="17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7"/>
      <c r="U769" s="17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7"/>
      <c r="U770" s="17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7"/>
      <c r="U771" s="17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7"/>
      <c r="U772" s="17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7"/>
      <c r="U773" s="17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7"/>
      <c r="U774" s="17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7"/>
      <c r="U775" s="17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7"/>
      <c r="U776" s="17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7"/>
      <c r="U777" s="17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7"/>
      <c r="U778" s="17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7"/>
      <c r="U779" s="17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7"/>
      <c r="U780" s="17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7"/>
      <c r="U781" s="17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7"/>
      <c r="U782" s="17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7"/>
      <c r="U783" s="17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7"/>
      <c r="U784" s="17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7"/>
      <c r="U785" s="17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7"/>
      <c r="U786" s="17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7"/>
      <c r="U787" s="17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7"/>
      <c r="U788" s="17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7"/>
      <c r="U789" s="17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7"/>
      <c r="U790" s="17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7"/>
      <c r="U791" s="17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7"/>
      <c r="U792" s="17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7"/>
      <c r="U793" s="17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7"/>
      <c r="U794" s="17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7"/>
      <c r="U795" s="17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7"/>
      <c r="U796" s="17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7"/>
      <c r="U797" s="17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7"/>
      <c r="U798" s="17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7"/>
      <c r="U799" s="17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7"/>
      <c r="U800" s="17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7"/>
      <c r="U801" s="17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7"/>
      <c r="U802" s="17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7"/>
      <c r="U803" s="17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7"/>
      <c r="U804" s="17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7"/>
      <c r="U805" s="17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7"/>
      <c r="U806" s="17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7"/>
      <c r="U807" s="17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7"/>
      <c r="U808" s="17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7"/>
      <c r="U809" s="17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7"/>
      <c r="U810" s="17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7"/>
      <c r="U811" s="17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7"/>
      <c r="U812" s="17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7"/>
      <c r="U813" s="17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7"/>
      <c r="U814" s="17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7"/>
      <c r="U815" s="17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7"/>
      <c r="U816" s="17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7"/>
      <c r="U817" s="17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7"/>
      <c r="U818" s="17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7"/>
      <c r="U819" s="17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7"/>
      <c r="U820" s="17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7"/>
      <c r="U821" s="17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7"/>
      <c r="U822" s="17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7"/>
      <c r="U823" s="17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7"/>
      <c r="U824" s="17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7"/>
      <c r="U825" s="17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7"/>
      <c r="U826" s="17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7"/>
      <c r="U827" s="17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7"/>
      <c r="U828" s="17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7"/>
      <c r="U829" s="17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7"/>
      <c r="U830" s="17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7"/>
      <c r="U831" s="17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7"/>
      <c r="U832" s="17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7"/>
      <c r="U833" s="17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7"/>
      <c r="U834" s="17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7"/>
      <c r="U835" s="17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7"/>
      <c r="U836" s="17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7"/>
      <c r="U837" s="17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7"/>
      <c r="U838" s="17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7"/>
      <c r="U839" s="17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7"/>
      <c r="U840" s="17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7"/>
      <c r="U841" s="17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7"/>
      <c r="U842" s="17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7"/>
      <c r="U843" s="17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7"/>
      <c r="U844" s="17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7"/>
      <c r="U845" s="17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7"/>
      <c r="U846" s="17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7"/>
      <c r="U847" s="17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7"/>
      <c r="U848" s="17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7"/>
      <c r="U849" s="17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7"/>
      <c r="U850" s="17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7"/>
      <c r="U851" s="17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7"/>
      <c r="U852" s="17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7"/>
      <c r="U853" s="17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7"/>
      <c r="U854" s="17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7"/>
      <c r="U855" s="17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7"/>
      <c r="U856" s="17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7"/>
      <c r="U857" s="17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7"/>
      <c r="U858" s="17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7"/>
      <c r="U859" s="17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7"/>
      <c r="U860" s="17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7"/>
      <c r="U861" s="17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7"/>
      <c r="U862" s="17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7"/>
      <c r="U863" s="17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7"/>
      <c r="U864" s="17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7"/>
      <c r="U865" s="17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7"/>
      <c r="U866" s="17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7"/>
      <c r="U867" s="17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7"/>
      <c r="U868" s="17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7"/>
      <c r="U869" s="17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7"/>
      <c r="U870" s="17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7"/>
      <c r="U871" s="17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7"/>
      <c r="U872" s="17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7"/>
      <c r="U873" s="17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7"/>
      <c r="U874" s="17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7"/>
      <c r="U875" s="17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7"/>
      <c r="U876" s="17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7"/>
      <c r="U877" s="17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7"/>
      <c r="U878" s="17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7"/>
      <c r="U879" s="17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7"/>
      <c r="U880" s="17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7"/>
      <c r="U881" s="17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7"/>
      <c r="U882" s="17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7"/>
      <c r="U883" s="17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7"/>
      <c r="U884" s="17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7"/>
      <c r="U885" s="17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7"/>
      <c r="U886" s="17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7"/>
      <c r="U887" s="17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7"/>
      <c r="U888" s="17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7"/>
      <c r="U889" s="17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7"/>
      <c r="U890" s="17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7"/>
      <c r="U891" s="17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7"/>
      <c r="U892" s="17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7"/>
      <c r="U893" s="17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7"/>
      <c r="U894" s="17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7"/>
      <c r="U895" s="17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7"/>
      <c r="U896" s="17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7"/>
      <c r="U897" s="17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7"/>
      <c r="U898" s="17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7"/>
      <c r="U899" s="17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7"/>
      <c r="U900" s="17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7"/>
      <c r="U901" s="17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7"/>
      <c r="U902" s="17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7"/>
      <c r="U903" s="17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7"/>
      <c r="U904" s="17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7"/>
      <c r="U905" s="17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7"/>
      <c r="U906" s="17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7"/>
      <c r="U907" s="17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7"/>
      <c r="U908" s="17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7"/>
      <c r="U909" s="17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7"/>
      <c r="U910" s="17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7"/>
      <c r="U911" s="17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7"/>
      <c r="U912" s="17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7"/>
      <c r="U913" s="17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7"/>
      <c r="U914" s="17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7"/>
      <c r="U915" s="17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7"/>
      <c r="U916" s="17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7"/>
      <c r="U917" s="17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7"/>
      <c r="U918" s="17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7"/>
      <c r="U919" s="17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7"/>
      <c r="U920" s="17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7"/>
      <c r="U921" s="17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7"/>
      <c r="U922" s="17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7"/>
      <c r="U923" s="17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7"/>
      <c r="U924" s="17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7"/>
      <c r="U925" s="17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7"/>
      <c r="U926" s="17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7"/>
      <c r="U927" s="17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7"/>
      <c r="U928" s="17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7"/>
      <c r="U929" s="17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7"/>
      <c r="U930" s="17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7"/>
      <c r="U931" s="17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7"/>
      <c r="U932" s="17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7"/>
      <c r="U933" s="17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7"/>
      <c r="U934" s="17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7"/>
      <c r="U935" s="17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7"/>
      <c r="U936" s="17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7"/>
      <c r="U937" s="17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7"/>
      <c r="U938" s="17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7"/>
      <c r="U939" s="17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7"/>
      <c r="U940" s="17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7"/>
      <c r="U941" s="17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7"/>
      <c r="U942" s="17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7"/>
      <c r="U943" s="17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7"/>
      <c r="U944" s="17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7"/>
      <c r="U945" s="17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7"/>
      <c r="U946" s="17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7"/>
      <c r="U947" s="17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7"/>
      <c r="U948" s="17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7"/>
      <c r="U949" s="17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7"/>
      <c r="U950" s="17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7"/>
      <c r="U951" s="17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7"/>
      <c r="U952" s="17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7"/>
      <c r="U953" s="17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7"/>
      <c r="U954" s="17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7"/>
      <c r="U955" s="17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7"/>
      <c r="U956" s="17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7"/>
      <c r="U957" s="17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7"/>
      <c r="U958" s="17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7"/>
      <c r="U959" s="17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7"/>
      <c r="U960" s="17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7"/>
      <c r="U961" s="17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7"/>
      <c r="U962" s="17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7"/>
      <c r="U963" s="17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7"/>
      <c r="U964" s="17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7"/>
      <c r="U965" s="17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7"/>
      <c r="U966" s="17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7"/>
      <c r="U967" s="17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7"/>
      <c r="U968" s="17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7"/>
      <c r="U969" s="17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7"/>
      <c r="U970" s="17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7"/>
      <c r="U971" s="17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7"/>
      <c r="U972" s="17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7"/>
      <c r="U973" s="17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7"/>
      <c r="U974" s="17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7"/>
      <c r="U975" s="17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7"/>
      <c r="U976" s="17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7"/>
      <c r="U977" s="17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7"/>
      <c r="U978" s="17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7"/>
      <c r="U979" s="17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7"/>
      <c r="U980" s="17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7"/>
      <c r="U981" s="17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7"/>
      <c r="U982" s="17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7"/>
      <c r="U983" s="17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7"/>
      <c r="U984" s="17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7"/>
      <c r="U985" s="17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7"/>
      <c r="U986" s="17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7"/>
      <c r="U987" s="17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7"/>
      <c r="U988" s="17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7"/>
      <c r="U989" s="17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7"/>
      <c r="U990" s="17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7"/>
      <c r="U991" s="17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7"/>
      <c r="U992" s="17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7"/>
      <c r="U993" s="17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7"/>
      <c r="U994" s="17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7"/>
      <c r="U995" s="17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7"/>
      <c r="U996" s="17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7"/>
      <c r="U997" s="17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7"/>
      <c r="U998" s="17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7"/>
      <c r="U999" s="17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</sheetData>
  <mergeCells count="6">
    <mergeCell ref="D9:F9"/>
    <mergeCell ref="G9:I9"/>
    <mergeCell ref="J9:L9"/>
    <mergeCell ref="M9:O9"/>
    <mergeCell ref="P9:R9"/>
    <mergeCell ref="S9:U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>
        <v>45413.0</v>
      </c>
      <c r="C1" s="2" t="s">
        <v>1</v>
      </c>
      <c r="D1" s="3"/>
      <c r="E1" s="14"/>
      <c r="F1" s="14"/>
      <c r="G1" s="17"/>
      <c r="H1" s="1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1">
        <v>132300.0</v>
      </c>
      <c r="B2" s="3">
        <f>TODAY()</f>
        <v>46251</v>
      </c>
      <c r="C2" s="21">
        <v>150000.0</v>
      </c>
      <c r="D2" s="3"/>
      <c r="E2" s="14"/>
      <c r="F2" s="26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" t="s">
        <v>25</v>
      </c>
      <c r="B3" s="30"/>
      <c r="C3" s="2" t="s">
        <v>25</v>
      </c>
      <c r="D3" s="26"/>
      <c r="E3" s="14"/>
      <c r="F3" s="26"/>
      <c r="G3" s="17"/>
      <c r="H3" s="1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2">
        <v>0.0289</v>
      </c>
      <c r="B4" s="30"/>
      <c r="C4" s="32">
        <v>0.0285</v>
      </c>
      <c r="D4" s="26"/>
      <c r="E4" s="14"/>
      <c r="F4" s="26"/>
      <c r="G4" s="17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6" t="s">
        <v>28</v>
      </c>
      <c r="B5" s="30"/>
      <c r="C5" s="26" t="s">
        <v>28</v>
      </c>
      <c r="D5" s="14"/>
      <c r="E5" s="14"/>
      <c r="F5" s="26"/>
      <c r="G5" s="17"/>
      <c r="H5" s="17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6">
        <v>30.0</v>
      </c>
      <c r="B6" s="30"/>
      <c r="C6" s="26">
        <v>27.0</v>
      </c>
      <c r="D6" s="14"/>
      <c r="E6" s="14"/>
      <c r="F6" s="14"/>
      <c r="G6" s="17"/>
      <c r="H6" s="17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" t="s">
        <v>30</v>
      </c>
      <c r="B7" s="30"/>
      <c r="C7" s="2" t="s">
        <v>30</v>
      </c>
      <c r="D7" s="14"/>
      <c r="E7" s="14"/>
      <c r="F7" s="14"/>
      <c r="G7" s="17"/>
      <c r="H7" s="1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6">
        <f>A6*12-1</f>
        <v>359</v>
      </c>
      <c r="B8" s="30"/>
      <c r="C8" s="36">
        <f>C6*12</f>
        <v>324</v>
      </c>
      <c r="D8" s="14"/>
      <c r="E8" s="14"/>
      <c r="F8" s="14"/>
      <c r="G8" s="17"/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" t="s">
        <v>35</v>
      </c>
      <c r="B9" s="30"/>
      <c r="C9" s="2" t="s">
        <v>35</v>
      </c>
      <c r="D9" s="14"/>
      <c r="E9" s="14"/>
      <c r="F9" s="14"/>
      <c r="G9" s="17"/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0">
        <f>A2*POWER(1+(A4/12),A8)*(A4/12)/(POWER(1+(A4/12),A8)-1)</f>
        <v>550.9274339</v>
      </c>
      <c r="B10" s="30"/>
      <c r="C10" s="40">
        <f>C2*POWER(1+(C4/12),C8)*(C4/12)/(POWER(1+(C4/12),C8)-1)</f>
        <v>664.233426</v>
      </c>
      <c r="D10" s="14"/>
      <c r="E10" s="14"/>
      <c r="F10" s="14"/>
      <c r="G10" s="17"/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30"/>
      <c r="C11" s="46">
        <f>C10-A10</f>
        <v>113.3059922</v>
      </c>
      <c r="D11" s="14"/>
      <c r="E11" s="14"/>
      <c r="F11" s="14"/>
      <c r="G11" s="17"/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26"/>
      <c r="D12" s="14"/>
      <c r="E12" s="14"/>
      <c r="F12" s="14"/>
      <c r="G12" s="17"/>
      <c r="H12" s="1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7"/>
      <c r="H13" s="1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7"/>
      <c r="H15" s="1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7"/>
      <c r="H16" s="1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7"/>
      <c r="H17" s="1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7"/>
      <c r="H18" s="1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7"/>
      <c r="H19" s="1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7"/>
      <c r="H20" s="17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7"/>
      <c r="H21" s="17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7"/>
      <c r="H22" s="17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7"/>
      <c r="H23" s="17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7"/>
      <c r="H24" s="1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7"/>
      <c r="H25" s="1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7"/>
      <c r="H26" s="1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7"/>
      <c r="H27" s="1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7"/>
      <c r="H28" s="17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7"/>
      <c r="H29" s="17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7"/>
      <c r="H30" s="17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7"/>
      <c r="H31" s="17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7"/>
      <c r="H32" s="17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7"/>
      <c r="H33" s="17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7"/>
      <c r="H34" s="17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7"/>
      <c r="H35" s="17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7"/>
      <c r="H36" s="17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7"/>
      <c r="H37" s="17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7"/>
      <c r="H38" s="17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7"/>
      <c r="H39" s="17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7"/>
      <c r="H40" s="1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7"/>
      <c r="H41" s="17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7"/>
      <c r="H42" s="17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7"/>
      <c r="H43" s="17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7"/>
      <c r="H44" s="17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7"/>
      <c r="H45" s="17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7"/>
      <c r="H46" s="17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7"/>
      <c r="H47" s="17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7"/>
      <c r="H48" s="17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7"/>
      <c r="H49" s="17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7"/>
      <c r="H50" s="17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7"/>
      <c r="H51" s="17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7"/>
      <c r="H52" s="17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7"/>
      <c r="H53" s="17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7"/>
      <c r="H54" s="17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7"/>
      <c r="H55" s="17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7"/>
      <c r="H56" s="17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7"/>
      <c r="H57" s="17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7"/>
      <c r="H58" s="17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7"/>
      <c r="H59" s="17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7"/>
      <c r="H60" s="17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7"/>
      <c r="H61" s="17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7"/>
      <c r="H62" s="17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7"/>
      <c r="H63" s="17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7"/>
      <c r="H64" s="17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7"/>
      <c r="H65" s="17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7"/>
      <c r="H66" s="17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7"/>
      <c r="H67" s="17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7"/>
      <c r="H68" s="17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7"/>
      <c r="H69" s="17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7"/>
      <c r="H70" s="17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7"/>
      <c r="H71" s="17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7"/>
      <c r="H72" s="17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7"/>
      <c r="H73" s="17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7"/>
      <c r="H74" s="17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7"/>
      <c r="H75" s="17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7"/>
      <c r="H76" s="17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7"/>
      <c r="H77" s="17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7"/>
      <c r="H78" s="17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7"/>
      <c r="H79" s="17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7"/>
      <c r="H80" s="17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7"/>
      <c r="H81" s="17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7"/>
      <c r="H82" s="17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7"/>
      <c r="H83" s="17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7"/>
      <c r="H84" s="17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7"/>
      <c r="H85" s="17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7"/>
      <c r="H86" s="17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7"/>
      <c r="H87" s="17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7"/>
      <c r="H88" s="17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7"/>
      <c r="H89" s="17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7"/>
      <c r="H90" s="17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7"/>
      <c r="H91" s="17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7"/>
      <c r="H92" s="17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7"/>
      <c r="H93" s="17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7"/>
      <c r="H94" s="17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7"/>
      <c r="H95" s="17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7"/>
      <c r="H96" s="17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7"/>
      <c r="H97" s="17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7"/>
      <c r="H98" s="17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7"/>
      <c r="H99" s="17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7"/>
      <c r="H100" s="17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7"/>
      <c r="H101" s="17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7"/>
      <c r="H102" s="17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7"/>
      <c r="H103" s="17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7"/>
      <c r="H104" s="17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7"/>
      <c r="H105" s="17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7"/>
      <c r="H106" s="17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7"/>
      <c r="H107" s="17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7"/>
      <c r="H108" s="17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7"/>
      <c r="H109" s="17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7"/>
      <c r="H110" s="17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7"/>
      <c r="H111" s="17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7"/>
      <c r="H112" s="17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7"/>
      <c r="H113" s="17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7"/>
      <c r="H114" s="17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7"/>
      <c r="H115" s="17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7"/>
      <c r="H116" s="17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7"/>
      <c r="H117" s="17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7"/>
      <c r="H118" s="17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7"/>
      <c r="H119" s="17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7"/>
      <c r="H120" s="17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7"/>
      <c r="H121" s="17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7"/>
      <c r="H122" s="17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7"/>
      <c r="H123" s="17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7"/>
      <c r="H124" s="17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7"/>
      <c r="H125" s="17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7"/>
      <c r="H126" s="17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7"/>
      <c r="H127" s="17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7"/>
      <c r="H128" s="17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7"/>
      <c r="H129" s="17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7"/>
      <c r="H130" s="17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7"/>
      <c r="H131" s="17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7"/>
      <c r="H132" s="17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7"/>
      <c r="H133" s="17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7"/>
      <c r="H134" s="17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7"/>
      <c r="H135" s="17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7"/>
      <c r="H136" s="17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7"/>
      <c r="H137" s="17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7"/>
      <c r="H138" s="17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7"/>
      <c r="H139" s="17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7"/>
      <c r="H140" s="17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7"/>
      <c r="H141" s="17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7"/>
      <c r="H142" s="17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7"/>
      <c r="H143" s="17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7"/>
      <c r="H144" s="17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7"/>
      <c r="H145" s="17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7"/>
      <c r="H146" s="17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7"/>
      <c r="H147" s="17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7"/>
      <c r="H148" s="17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7"/>
      <c r="H149" s="17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7"/>
      <c r="H150" s="17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7"/>
      <c r="H151" s="17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7"/>
      <c r="H152" s="17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7"/>
      <c r="H153" s="17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7"/>
      <c r="H154" s="17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7"/>
      <c r="H155" s="17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7"/>
      <c r="H156" s="17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7"/>
      <c r="H157" s="17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7"/>
      <c r="H158" s="17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7"/>
      <c r="H159" s="17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7"/>
      <c r="H160" s="17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7"/>
      <c r="H161" s="17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7"/>
      <c r="H162" s="17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7"/>
      <c r="H163" s="17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7"/>
      <c r="H164" s="17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7"/>
      <c r="H165" s="17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7"/>
      <c r="H166" s="17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7"/>
      <c r="H167" s="17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7"/>
      <c r="H168" s="17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7"/>
      <c r="H169" s="17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7"/>
      <c r="H170" s="17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7"/>
      <c r="H171" s="17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7"/>
      <c r="H172" s="17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7"/>
      <c r="H173" s="17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7"/>
      <c r="H174" s="17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7"/>
      <c r="H175" s="17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7"/>
      <c r="H176" s="17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7"/>
      <c r="H177" s="17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7"/>
      <c r="H178" s="17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7"/>
      <c r="H179" s="17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7"/>
      <c r="H180" s="17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7"/>
      <c r="H181" s="17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7"/>
      <c r="H182" s="17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7"/>
      <c r="H183" s="17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7"/>
      <c r="H184" s="17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7"/>
      <c r="H185" s="17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7"/>
      <c r="H186" s="17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7"/>
      <c r="H187" s="17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7"/>
      <c r="H188" s="17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7"/>
      <c r="H189" s="17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7"/>
      <c r="H190" s="17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7"/>
      <c r="H191" s="17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7"/>
      <c r="H192" s="17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7"/>
      <c r="H193" s="17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7"/>
      <c r="H194" s="17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7"/>
      <c r="H195" s="17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7"/>
      <c r="H196" s="17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7"/>
      <c r="H197" s="17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7"/>
      <c r="H198" s="17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7"/>
      <c r="H199" s="17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7"/>
      <c r="H200" s="17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7"/>
      <c r="H201" s="17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7"/>
      <c r="H202" s="17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7"/>
      <c r="H203" s="17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7"/>
      <c r="H204" s="17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7"/>
      <c r="H205" s="17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7"/>
      <c r="H206" s="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7"/>
      <c r="H207" s="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7"/>
      <c r="H208" s="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7"/>
      <c r="H209" s="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7"/>
      <c r="H210" s="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7"/>
      <c r="H211" s="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7"/>
      <c r="H212" s="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7"/>
      <c r="H213" s="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7"/>
      <c r="H214" s="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7"/>
      <c r="H215" s="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7"/>
      <c r="H216" s="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7"/>
      <c r="H217" s="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7"/>
      <c r="H218" s="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7"/>
      <c r="H219" s="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7"/>
      <c r="H220" s="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7"/>
      <c r="H221" s="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7"/>
      <c r="H222" s="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7"/>
      <c r="H223" s="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7"/>
      <c r="H224" s="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7"/>
      <c r="H225" s="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7"/>
      <c r="H226" s="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7"/>
      <c r="H227" s="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7"/>
      <c r="H228" s="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7"/>
      <c r="H229" s="1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7"/>
      <c r="H230" s="17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7"/>
      <c r="H231" s="17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7"/>
      <c r="H232" s="17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7"/>
      <c r="H233" s="17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7"/>
      <c r="H234" s="17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7"/>
      <c r="H235" s="17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7"/>
      <c r="H236" s="17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7"/>
      <c r="H237" s="17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7"/>
      <c r="H238" s="17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7"/>
      <c r="H239" s="17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7"/>
      <c r="H240" s="17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7"/>
      <c r="H241" s="17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7"/>
      <c r="H242" s="17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7"/>
      <c r="H243" s="17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7"/>
      <c r="H244" s="17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7"/>
      <c r="H245" s="17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7"/>
      <c r="H246" s="17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7"/>
      <c r="H247" s="17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7"/>
      <c r="H248" s="17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7"/>
      <c r="H249" s="17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7"/>
      <c r="H250" s="17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7"/>
      <c r="H251" s="17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7"/>
      <c r="H252" s="17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7"/>
      <c r="H253" s="17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7"/>
      <c r="H254" s="17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7"/>
      <c r="H255" s="17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7"/>
      <c r="H256" s="17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7"/>
      <c r="H257" s="17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7"/>
      <c r="H258" s="17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7"/>
      <c r="H259" s="17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7"/>
      <c r="H260" s="17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7"/>
      <c r="H261" s="17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7"/>
      <c r="H262" s="17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7"/>
      <c r="H263" s="17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7"/>
      <c r="H264" s="17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7"/>
      <c r="H265" s="17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7"/>
      <c r="H266" s="17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7"/>
      <c r="H267" s="17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7"/>
      <c r="H268" s="17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7"/>
      <c r="H269" s="17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7"/>
      <c r="H270" s="17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7"/>
      <c r="H271" s="17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7"/>
      <c r="H272" s="17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7"/>
      <c r="H273" s="17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7"/>
      <c r="H274" s="17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7"/>
      <c r="H275" s="17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7"/>
      <c r="H276" s="17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7"/>
      <c r="H277" s="17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7"/>
      <c r="H278" s="17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7"/>
      <c r="H279" s="17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7"/>
      <c r="H280" s="17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7"/>
      <c r="H281" s="17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7"/>
      <c r="H282" s="17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7"/>
      <c r="H283" s="17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7"/>
      <c r="H284" s="17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7"/>
      <c r="H285" s="17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7"/>
      <c r="H286" s="17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7"/>
      <c r="H287" s="17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7"/>
      <c r="H288" s="17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7"/>
      <c r="H289" s="17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7"/>
      <c r="H290" s="17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7"/>
      <c r="H291" s="17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7"/>
      <c r="H292" s="17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7"/>
      <c r="H293" s="17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7"/>
      <c r="H294" s="17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7"/>
      <c r="H295" s="17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7"/>
      <c r="H296" s="17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7"/>
      <c r="H297" s="17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7"/>
      <c r="H298" s="17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7"/>
      <c r="H299" s="17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7"/>
      <c r="H300" s="17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7"/>
      <c r="H301" s="17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7"/>
      <c r="H302" s="17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7"/>
      <c r="H303" s="17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7"/>
      <c r="H304" s="17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7"/>
      <c r="H305" s="17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7"/>
      <c r="H306" s="17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7"/>
      <c r="H307" s="17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7"/>
      <c r="H308" s="17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7"/>
      <c r="H309" s="17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7"/>
      <c r="H310" s="17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7"/>
      <c r="H311" s="17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7"/>
      <c r="H312" s="17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7"/>
      <c r="H313" s="17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7"/>
      <c r="H314" s="17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7"/>
      <c r="H315" s="17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7"/>
      <c r="H316" s="17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7"/>
      <c r="H317" s="17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7"/>
      <c r="H318" s="17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7"/>
      <c r="H319" s="17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7"/>
      <c r="H320" s="17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7"/>
      <c r="H321" s="17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7"/>
      <c r="H322" s="17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7"/>
      <c r="H323" s="17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7"/>
      <c r="H324" s="17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7"/>
      <c r="H325" s="17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7"/>
      <c r="H326" s="17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7"/>
      <c r="H327" s="17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7"/>
      <c r="H328" s="17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7"/>
      <c r="H329" s="17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7"/>
      <c r="H330" s="17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7"/>
      <c r="H331" s="17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7"/>
      <c r="H332" s="17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7"/>
      <c r="H333" s="17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7"/>
      <c r="H334" s="17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7"/>
      <c r="H335" s="17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7"/>
      <c r="H336" s="17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7"/>
      <c r="H337" s="17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7"/>
      <c r="H338" s="17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7"/>
      <c r="H339" s="17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7"/>
      <c r="H340" s="17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7"/>
      <c r="H341" s="17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7"/>
      <c r="H342" s="17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7"/>
      <c r="H343" s="17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7"/>
      <c r="H344" s="17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7"/>
      <c r="H345" s="17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7"/>
      <c r="H346" s="17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7"/>
      <c r="H347" s="17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7"/>
      <c r="H348" s="17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7"/>
      <c r="H349" s="17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7"/>
      <c r="H350" s="17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7"/>
      <c r="H351" s="17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7"/>
      <c r="H352" s="17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7"/>
      <c r="H353" s="17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7"/>
      <c r="H354" s="17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7"/>
      <c r="H355" s="17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7"/>
      <c r="H356" s="17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7"/>
      <c r="H357" s="17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7"/>
      <c r="H358" s="17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7"/>
      <c r="H359" s="17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7"/>
      <c r="H360" s="17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7"/>
      <c r="H361" s="17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7"/>
      <c r="H362" s="17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7"/>
      <c r="H363" s="17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7"/>
      <c r="H364" s="17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7"/>
      <c r="H365" s="17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7"/>
      <c r="H366" s="17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7"/>
      <c r="H367" s="17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7"/>
      <c r="H368" s="17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7"/>
      <c r="H369" s="17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7"/>
      <c r="H370" s="17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7"/>
      <c r="H371" s="17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7"/>
      <c r="H372" s="17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7"/>
      <c r="H373" s="17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7"/>
      <c r="H374" s="17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7"/>
      <c r="H375" s="17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7"/>
      <c r="H376" s="17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7"/>
      <c r="H377" s="17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7"/>
      <c r="H378" s="17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7"/>
      <c r="H379" s="17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7"/>
      <c r="H380" s="17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7"/>
      <c r="H381" s="17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7"/>
      <c r="H382" s="17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7"/>
      <c r="H383" s="17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7"/>
      <c r="H384" s="17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7"/>
      <c r="H385" s="17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7"/>
      <c r="H386" s="17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7"/>
      <c r="H387" s="17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7"/>
      <c r="H388" s="17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7"/>
      <c r="H389" s="17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7"/>
      <c r="H390" s="17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7"/>
      <c r="H391" s="17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7"/>
      <c r="H392" s="17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7"/>
      <c r="H393" s="17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7"/>
      <c r="H394" s="17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7"/>
      <c r="H395" s="17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7"/>
      <c r="H396" s="17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7"/>
      <c r="H397" s="17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7"/>
      <c r="H398" s="17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7"/>
      <c r="H399" s="17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7"/>
      <c r="H400" s="17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7"/>
      <c r="H401" s="17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7"/>
      <c r="H402" s="17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7"/>
      <c r="H403" s="17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7"/>
      <c r="H404" s="17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7"/>
      <c r="H405" s="17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7"/>
      <c r="H406" s="17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7"/>
      <c r="H407" s="17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7"/>
      <c r="H408" s="17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7"/>
      <c r="H409" s="17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7"/>
      <c r="H410" s="17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7"/>
      <c r="H411" s="17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7"/>
      <c r="H412" s="17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7"/>
      <c r="H413" s="17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7"/>
      <c r="H414" s="17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7"/>
      <c r="H415" s="17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7"/>
      <c r="H416" s="17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7"/>
      <c r="H417" s="17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7"/>
      <c r="H418" s="17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7"/>
      <c r="H419" s="17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7"/>
      <c r="H420" s="17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7"/>
      <c r="H421" s="17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7"/>
      <c r="H422" s="17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7"/>
      <c r="H423" s="17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7"/>
      <c r="H424" s="17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7"/>
      <c r="H425" s="17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7"/>
      <c r="H426" s="17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7"/>
      <c r="H427" s="17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7"/>
      <c r="H428" s="17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7"/>
      <c r="H429" s="17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7"/>
      <c r="H430" s="17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7"/>
      <c r="H431" s="17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7"/>
      <c r="H432" s="17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7"/>
      <c r="H433" s="17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7"/>
      <c r="H434" s="17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7"/>
      <c r="H435" s="17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7"/>
      <c r="H436" s="17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7"/>
      <c r="H437" s="17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7"/>
      <c r="H438" s="17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7"/>
      <c r="H439" s="17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7"/>
      <c r="H440" s="17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7"/>
      <c r="H441" s="17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7"/>
      <c r="H442" s="17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7"/>
      <c r="H443" s="17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7"/>
      <c r="H444" s="17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7"/>
      <c r="H445" s="17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7"/>
      <c r="H446" s="17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7"/>
      <c r="H447" s="17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7"/>
      <c r="H448" s="17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7"/>
      <c r="H449" s="17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7"/>
      <c r="H450" s="17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7"/>
      <c r="H451" s="17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7"/>
      <c r="H452" s="17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7"/>
      <c r="H453" s="17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7"/>
      <c r="H454" s="17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7"/>
      <c r="H455" s="17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7"/>
      <c r="H456" s="17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7"/>
      <c r="H457" s="17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7"/>
      <c r="H458" s="17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7"/>
      <c r="H459" s="17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7"/>
      <c r="H460" s="17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7"/>
      <c r="H461" s="17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7"/>
      <c r="H462" s="17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7"/>
      <c r="H463" s="17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7"/>
      <c r="H464" s="17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7"/>
      <c r="H465" s="17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7"/>
      <c r="H466" s="17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7"/>
      <c r="H467" s="17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7"/>
      <c r="H468" s="17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7"/>
      <c r="H469" s="17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7"/>
      <c r="H470" s="17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7"/>
      <c r="H471" s="17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7"/>
      <c r="H472" s="17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7"/>
      <c r="H473" s="17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7"/>
      <c r="H474" s="17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7"/>
      <c r="H475" s="17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7"/>
      <c r="H476" s="17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7"/>
      <c r="H477" s="17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7"/>
      <c r="H478" s="17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7"/>
      <c r="H479" s="17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7"/>
      <c r="H480" s="17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7"/>
      <c r="H481" s="17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7"/>
      <c r="H482" s="17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7"/>
      <c r="H483" s="17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7"/>
      <c r="H484" s="17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7"/>
      <c r="H485" s="17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7"/>
      <c r="H486" s="17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7"/>
      <c r="H487" s="17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7"/>
      <c r="H488" s="17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7"/>
      <c r="H489" s="17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7"/>
      <c r="H490" s="17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7"/>
      <c r="H491" s="17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7"/>
      <c r="H492" s="17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7"/>
      <c r="H493" s="17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7"/>
      <c r="H494" s="17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7"/>
      <c r="H495" s="17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7"/>
      <c r="H496" s="17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7"/>
      <c r="H497" s="17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7"/>
      <c r="H498" s="17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7"/>
      <c r="H499" s="17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7"/>
      <c r="H500" s="17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7"/>
      <c r="H501" s="17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7"/>
      <c r="H502" s="17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7"/>
      <c r="H503" s="17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7"/>
      <c r="H504" s="17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7"/>
      <c r="H505" s="17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7"/>
      <c r="H506" s="17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7"/>
      <c r="H507" s="17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7"/>
      <c r="H508" s="17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7"/>
      <c r="H509" s="17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7"/>
      <c r="H510" s="17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7"/>
      <c r="H511" s="17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7"/>
      <c r="H512" s="17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7"/>
      <c r="H513" s="17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7"/>
      <c r="H514" s="17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7"/>
      <c r="H515" s="17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7"/>
      <c r="H516" s="17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7"/>
      <c r="H517" s="17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7"/>
      <c r="H518" s="17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7"/>
      <c r="H519" s="17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7"/>
      <c r="H520" s="17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7"/>
      <c r="H521" s="17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7"/>
      <c r="H522" s="17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7"/>
      <c r="H523" s="17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7"/>
      <c r="H524" s="17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7"/>
      <c r="H525" s="17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7"/>
      <c r="H526" s="17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7"/>
      <c r="H527" s="17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7"/>
      <c r="H528" s="17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7"/>
      <c r="H529" s="17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7"/>
      <c r="H530" s="17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7"/>
      <c r="H531" s="17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7"/>
      <c r="H532" s="17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7"/>
      <c r="H533" s="17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7"/>
      <c r="H534" s="17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7"/>
      <c r="H535" s="17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7"/>
      <c r="H536" s="17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7"/>
      <c r="H537" s="17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7"/>
      <c r="H538" s="17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7"/>
      <c r="H539" s="17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7"/>
      <c r="H540" s="17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7"/>
      <c r="H541" s="17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7"/>
      <c r="H542" s="17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7"/>
      <c r="H543" s="17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7"/>
      <c r="H544" s="17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7"/>
      <c r="H545" s="17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7"/>
      <c r="H546" s="17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7"/>
      <c r="H547" s="17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7"/>
      <c r="H548" s="17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7"/>
      <c r="H549" s="17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7"/>
      <c r="H550" s="17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7"/>
      <c r="H551" s="17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7"/>
      <c r="H552" s="17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7"/>
      <c r="H553" s="17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7"/>
      <c r="H554" s="17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7"/>
      <c r="H555" s="17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7"/>
      <c r="H556" s="17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7"/>
      <c r="H557" s="17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7"/>
      <c r="H558" s="17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7"/>
      <c r="H559" s="17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7"/>
      <c r="H560" s="17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7"/>
      <c r="H561" s="17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7"/>
      <c r="H562" s="17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7"/>
      <c r="H563" s="17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7"/>
      <c r="H564" s="17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7"/>
      <c r="H565" s="17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7"/>
      <c r="H566" s="17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7"/>
      <c r="H567" s="17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7"/>
      <c r="H568" s="17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7"/>
      <c r="H569" s="17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7"/>
      <c r="H570" s="17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7"/>
      <c r="H571" s="17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7"/>
      <c r="H572" s="17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7"/>
      <c r="H573" s="17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7"/>
      <c r="H574" s="17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7"/>
      <c r="H575" s="17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7"/>
      <c r="H576" s="17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7"/>
      <c r="H577" s="17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7"/>
      <c r="H578" s="17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7"/>
      <c r="H579" s="17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7"/>
      <c r="H580" s="17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7"/>
      <c r="H581" s="17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7"/>
      <c r="H582" s="17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7"/>
      <c r="H583" s="17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7"/>
      <c r="H584" s="17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7"/>
      <c r="H585" s="17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7"/>
      <c r="H586" s="17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7"/>
      <c r="H587" s="17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7"/>
      <c r="H588" s="17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7"/>
      <c r="H589" s="17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7"/>
      <c r="H590" s="17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7"/>
      <c r="H591" s="17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7"/>
      <c r="H592" s="17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7"/>
      <c r="H593" s="17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7"/>
      <c r="H594" s="17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7"/>
      <c r="H595" s="17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7"/>
      <c r="H596" s="17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7"/>
      <c r="H597" s="17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7"/>
      <c r="H598" s="17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7"/>
      <c r="H599" s="17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7"/>
      <c r="H600" s="17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7"/>
      <c r="H601" s="17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7"/>
      <c r="H602" s="17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7"/>
      <c r="H603" s="17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7"/>
      <c r="H604" s="17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7"/>
      <c r="H605" s="17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7"/>
      <c r="H606" s="17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7"/>
      <c r="H607" s="17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7"/>
      <c r="H608" s="17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7"/>
      <c r="H609" s="17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7"/>
      <c r="H610" s="17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7"/>
      <c r="H611" s="17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7"/>
      <c r="H612" s="17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7"/>
      <c r="H613" s="17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7"/>
      <c r="H614" s="17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7"/>
      <c r="H615" s="17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7"/>
      <c r="H616" s="17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7"/>
      <c r="H617" s="17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7"/>
      <c r="H618" s="17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7"/>
      <c r="H619" s="17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7"/>
      <c r="H620" s="17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7"/>
      <c r="H621" s="17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7"/>
      <c r="H622" s="17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7"/>
      <c r="H623" s="17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7"/>
      <c r="H624" s="17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7"/>
      <c r="H625" s="17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7"/>
      <c r="H626" s="17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7"/>
      <c r="H627" s="17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7"/>
      <c r="H628" s="17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7"/>
      <c r="H629" s="17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7"/>
      <c r="H630" s="17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7"/>
      <c r="H631" s="17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7"/>
      <c r="H632" s="17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7"/>
      <c r="H633" s="17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7"/>
      <c r="H634" s="17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7"/>
      <c r="H635" s="17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7"/>
      <c r="H636" s="17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7"/>
      <c r="H637" s="17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7"/>
      <c r="H638" s="17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7"/>
      <c r="H639" s="17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7"/>
      <c r="H640" s="17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7"/>
      <c r="H641" s="17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7"/>
      <c r="H642" s="17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7"/>
      <c r="H643" s="17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7"/>
      <c r="H644" s="17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7"/>
      <c r="H645" s="17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7"/>
      <c r="H646" s="17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7"/>
      <c r="H647" s="17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7"/>
      <c r="H648" s="17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7"/>
      <c r="H649" s="17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7"/>
      <c r="H650" s="17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7"/>
      <c r="H651" s="17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7"/>
      <c r="H652" s="17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7"/>
      <c r="H653" s="17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7"/>
      <c r="H654" s="17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7"/>
      <c r="H655" s="17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7"/>
      <c r="H656" s="17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7"/>
      <c r="H657" s="17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7"/>
      <c r="H658" s="17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7"/>
      <c r="H659" s="17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7"/>
      <c r="H660" s="17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7"/>
      <c r="H661" s="17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7"/>
      <c r="H662" s="17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7"/>
      <c r="H663" s="17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7"/>
      <c r="H664" s="17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7"/>
      <c r="H665" s="17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7"/>
      <c r="H666" s="17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7"/>
      <c r="H667" s="17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7"/>
      <c r="H668" s="17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7"/>
      <c r="H669" s="17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7"/>
      <c r="H670" s="17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7"/>
      <c r="H671" s="17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7"/>
      <c r="H672" s="17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7"/>
      <c r="H673" s="17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7"/>
      <c r="H674" s="17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7"/>
      <c r="H675" s="17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7"/>
      <c r="H676" s="17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7"/>
      <c r="H677" s="17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7"/>
      <c r="H678" s="17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7"/>
      <c r="H679" s="17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7"/>
      <c r="H680" s="17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7"/>
      <c r="H681" s="17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7"/>
      <c r="H682" s="17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7"/>
      <c r="H683" s="17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7"/>
      <c r="H684" s="17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7"/>
      <c r="H685" s="17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7"/>
      <c r="H686" s="17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7"/>
      <c r="H687" s="17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7"/>
      <c r="H688" s="17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7"/>
      <c r="H689" s="17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7"/>
      <c r="H690" s="17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7"/>
      <c r="H691" s="17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7"/>
      <c r="H692" s="17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7"/>
      <c r="H693" s="17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7"/>
      <c r="H694" s="17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7"/>
      <c r="H695" s="17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7"/>
      <c r="H696" s="17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7"/>
      <c r="H697" s="17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7"/>
      <c r="H698" s="17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7"/>
      <c r="H699" s="17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7"/>
      <c r="H700" s="17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7"/>
      <c r="H701" s="17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7"/>
      <c r="H702" s="17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7"/>
      <c r="H703" s="17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7"/>
      <c r="H704" s="17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7"/>
      <c r="H705" s="17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7"/>
      <c r="H706" s="17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7"/>
      <c r="H707" s="17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7"/>
      <c r="H708" s="17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7"/>
      <c r="H709" s="17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7"/>
      <c r="H710" s="17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7"/>
      <c r="H711" s="17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7"/>
      <c r="H712" s="17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7"/>
      <c r="H713" s="17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7"/>
      <c r="H714" s="17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7"/>
      <c r="H715" s="17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7"/>
      <c r="H716" s="17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7"/>
      <c r="H717" s="17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7"/>
      <c r="H718" s="17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7"/>
      <c r="H719" s="17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7"/>
      <c r="H720" s="17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7"/>
      <c r="H721" s="17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7"/>
      <c r="H722" s="17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7"/>
      <c r="H723" s="17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7"/>
      <c r="H724" s="17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7"/>
      <c r="H725" s="17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7"/>
      <c r="H726" s="17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7"/>
      <c r="H727" s="17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7"/>
      <c r="H728" s="17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7"/>
      <c r="H729" s="17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7"/>
      <c r="H730" s="17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7"/>
      <c r="H731" s="17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7"/>
      <c r="H732" s="17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7"/>
      <c r="H733" s="17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7"/>
      <c r="H734" s="17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7"/>
      <c r="H735" s="17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7"/>
      <c r="H736" s="17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7"/>
      <c r="H737" s="17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7"/>
      <c r="H738" s="17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7"/>
      <c r="H739" s="17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7"/>
      <c r="H740" s="17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7"/>
      <c r="H741" s="17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7"/>
      <c r="H742" s="17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7"/>
      <c r="H743" s="17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7"/>
      <c r="H744" s="17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7"/>
      <c r="H745" s="17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7"/>
      <c r="H746" s="17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7"/>
      <c r="H747" s="17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7"/>
      <c r="H748" s="17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7"/>
      <c r="H749" s="17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7"/>
      <c r="H750" s="17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7"/>
      <c r="H751" s="17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7"/>
      <c r="H752" s="17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7"/>
      <c r="H753" s="17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7"/>
      <c r="H754" s="17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7"/>
      <c r="H755" s="17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7"/>
      <c r="H756" s="17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7"/>
      <c r="H757" s="17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7"/>
      <c r="H758" s="17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7"/>
      <c r="H759" s="17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7"/>
      <c r="H760" s="17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7"/>
      <c r="H761" s="17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7"/>
      <c r="H762" s="17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7"/>
      <c r="H763" s="17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7"/>
      <c r="H764" s="17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7"/>
      <c r="H765" s="17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7"/>
      <c r="H766" s="17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7"/>
      <c r="H767" s="17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7"/>
      <c r="H768" s="17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7"/>
      <c r="H769" s="17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7"/>
      <c r="H770" s="17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7"/>
      <c r="H771" s="17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7"/>
      <c r="H772" s="17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7"/>
      <c r="H773" s="17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7"/>
      <c r="H774" s="17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7"/>
      <c r="H775" s="17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7"/>
      <c r="H776" s="17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7"/>
      <c r="H777" s="17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7"/>
      <c r="H778" s="17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7"/>
      <c r="H779" s="17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7"/>
      <c r="H780" s="17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7"/>
      <c r="H781" s="17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7"/>
      <c r="H782" s="17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7"/>
      <c r="H783" s="17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7"/>
      <c r="H784" s="17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7"/>
      <c r="H785" s="17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7"/>
      <c r="H786" s="17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7"/>
      <c r="H787" s="17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7"/>
      <c r="H788" s="17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7"/>
      <c r="H789" s="17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7"/>
      <c r="H790" s="17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7"/>
      <c r="H791" s="17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7"/>
      <c r="H792" s="17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7"/>
      <c r="H793" s="17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7"/>
      <c r="H794" s="17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7"/>
      <c r="H795" s="17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7"/>
      <c r="H796" s="17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7"/>
      <c r="H797" s="17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7"/>
      <c r="H798" s="17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7"/>
      <c r="H799" s="17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7"/>
      <c r="H800" s="17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7"/>
      <c r="H801" s="17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7"/>
      <c r="H802" s="17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7"/>
      <c r="H803" s="17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7"/>
      <c r="H804" s="17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7"/>
      <c r="H805" s="17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7"/>
      <c r="H806" s="17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7"/>
      <c r="H807" s="17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7"/>
      <c r="H808" s="17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7"/>
      <c r="H809" s="17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7"/>
      <c r="H810" s="17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7"/>
      <c r="H811" s="17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7"/>
      <c r="H812" s="17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7"/>
      <c r="H813" s="17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7"/>
      <c r="H814" s="17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7"/>
      <c r="H815" s="17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7"/>
      <c r="H816" s="17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7"/>
      <c r="H817" s="17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7"/>
      <c r="H818" s="17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7"/>
      <c r="H819" s="17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7"/>
      <c r="H820" s="17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7"/>
      <c r="H821" s="17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7"/>
      <c r="H822" s="17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7"/>
      <c r="H823" s="17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7"/>
      <c r="H824" s="17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7"/>
      <c r="H825" s="17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7"/>
      <c r="H826" s="17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7"/>
      <c r="H827" s="17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7"/>
      <c r="H828" s="17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7"/>
      <c r="H829" s="17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7"/>
      <c r="H830" s="17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7"/>
      <c r="H831" s="17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7"/>
      <c r="H832" s="17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7"/>
      <c r="H833" s="17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7"/>
      <c r="H834" s="17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7"/>
      <c r="H835" s="17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7"/>
      <c r="H836" s="17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7"/>
      <c r="H837" s="17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7"/>
      <c r="H838" s="17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7"/>
      <c r="H839" s="17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7"/>
      <c r="H840" s="17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7"/>
      <c r="H841" s="17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7"/>
      <c r="H842" s="17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7"/>
      <c r="H843" s="17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7"/>
      <c r="H844" s="17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7"/>
      <c r="H845" s="17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7"/>
      <c r="H846" s="17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7"/>
      <c r="H847" s="17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7"/>
      <c r="H848" s="17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7"/>
      <c r="H849" s="17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7"/>
      <c r="H850" s="17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7"/>
      <c r="H851" s="17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7"/>
      <c r="H852" s="17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7"/>
      <c r="H853" s="17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7"/>
      <c r="H854" s="17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7"/>
      <c r="H855" s="17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7"/>
      <c r="H856" s="17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7"/>
      <c r="H857" s="17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7"/>
      <c r="H858" s="17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7"/>
      <c r="H859" s="17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7"/>
      <c r="H860" s="17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7"/>
      <c r="H861" s="17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7"/>
      <c r="H862" s="17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7"/>
      <c r="H863" s="17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7"/>
      <c r="H864" s="17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7"/>
      <c r="H865" s="17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7"/>
      <c r="H866" s="17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7"/>
      <c r="H867" s="17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7"/>
      <c r="H868" s="17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7"/>
      <c r="H869" s="17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7"/>
      <c r="H870" s="17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7"/>
      <c r="H871" s="17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7"/>
      <c r="H872" s="17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7"/>
      <c r="H873" s="17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7"/>
      <c r="H874" s="17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7"/>
      <c r="H875" s="17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7"/>
      <c r="H876" s="17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7"/>
      <c r="H877" s="17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7"/>
      <c r="H878" s="17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7"/>
      <c r="H879" s="17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7"/>
      <c r="H880" s="17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7"/>
      <c r="H881" s="17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7"/>
      <c r="H882" s="17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7"/>
      <c r="H883" s="17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7"/>
      <c r="H884" s="17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7"/>
      <c r="H885" s="17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7"/>
      <c r="H886" s="17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7"/>
      <c r="H887" s="17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7"/>
      <c r="H888" s="17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7"/>
      <c r="H889" s="17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7"/>
      <c r="H890" s="17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7"/>
      <c r="H891" s="17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7"/>
      <c r="H892" s="17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7"/>
      <c r="H893" s="17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7"/>
      <c r="H894" s="17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7"/>
      <c r="H895" s="17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7"/>
      <c r="H896" s="17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7"/>
      <c r="H897" s="17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7"/>
      <c r="H898" s="17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7"/>
      <c r="H899" s="17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7"/>
      <c r="H900" s="17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7"/>
      <c r="H901" s="17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7"/>
      <c r="H902" s="17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7"/>
      <c r="H903" s="17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7"/>
      <c r="H904" s="17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7"/>
      <c r="H905" s="17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7"/>
      <c r="H906" s="17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7"/>
      <c r="H907" s="17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7"/>
      <c r="H908" s="17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7"/>
      <c r="H909" s="17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7"/>
      <c r="H910" s="17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7"/>
      <c r="H911" s="17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7"/>
      <c r="H912" s="17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7"/>
      <c r="H913" s="17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7"/>
      <c r="H914" s="17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7"/>
      <c r="H915" s="17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7"/>
      <c r="H916" s="17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7"/>
      <c r="H917" s="17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7"/>
      <c r="H918" s="17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7"/>
      <c r="H919" s="17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7"/>
      <c r="H920" s="17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7"/>
      <c r="H921" s="17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7"/>
      <c r="H922" s="17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7"/>
      <c r="H923" s="17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7"/>
      <c r="H924" s="17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7"/>
      <c r="H925" s="17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7"/>
      <c r="H926" s="17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7"/>
      <c r="H927" s="17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7"/>
      <c r="H928" s="17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7"/>
      <c r="H929" s="17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7"/>
      <c r="H930" s="17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7"/>
      <c r="H931" s="17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7"/>
      <c r="H932" s="17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7"/>
      <c r="H933" s="17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7"/>
      <c r="H934" s="17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7"/>
      <c r="H935" s="17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7"/>
      <c r="H936" s="17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7"/>
      <c r="H937" s="17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7"/>
      <c r="H938" s="17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7"/>
      <c r="H939" s="17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7"/>
      <c r="H940" s="17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7"/>
      <c r="H941" s="17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7"/>
      <c r="H942" s="17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7"/>
      <c r="H943" s="17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7"/>
      <c r="H944" s="17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7"/>
      <c r="H945" s="17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7"/>
      <c r="H946" s="17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7"/>
      <c r="H947" s="17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7"/>
      <c r="H948" s="17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7"/>
      <c r="H949" s="17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7"/>
      <c r="H950" s="17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7"/>
      <c r="H951" s="17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7"/>
      <c r="H952" s="17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7"/>
      <c r="H953" s="17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7"/>
      <c r="H954" s="17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7"/>
      <c r="H955" s="17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7"/>
      <c r="H956" s="17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7"/>
      <c r="H957" s="17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7"/>
      <c r="H958" s="17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7"/>
      <c r="H959" s="17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7"/>
      <c r="H960" s="17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7"/>
      <c r="H961" s="17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7"/>
      <c r="H962" s="17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7"/>
      <c r="H963" s="17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7"/>
      <c r="H964" s="17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7"/>
      <c r="H965" s="17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7"/>
      <c r="H966" s="17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7"/>
      <c r="H967" s="17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7"/>
      <c r="H968" s="17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7"/>
      <c r="H969" s="17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7"/>
      <c r="H970" s="17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7"/>
      <c r="H971" s="17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7"/>
      <c r="H972" s="17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7"/>
      <c r="H973" s="17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7"/>
      <c r="H974" s="17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7"/>
      <c r="H975" s="17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7"/>
      <c r="H976" s="17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7"/>
      <c r="H977" s="17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7"/>
      <c r="H978" s="17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7"/>
      <c r="H979" s="17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7"/>
      <c r="H980" s="17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7"/>
      <c r="H981" s="17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7"/>
      <c r="H982" s="17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7"/>
      <c r="H983" s="17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7"/>
      <c r="H984" s="17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7"/>
      <c r="H985" s="17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7"/>
      <c r="H986" s="17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7"/>
      <c r="H987" s="17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7"/>
      <c r="H988" s="17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7"/>
      <c r="H989" s="17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7"/>
      <c r="H990" s="17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7"/>
      <c r="H991" s="17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7"/>
      <c r="H992" s="17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7"/>
      <c r="H993" s="17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7"/>
      <c r="H994" s="17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7"/>
      <c r="H995" s="17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7"/>
      <c r="H996" s="17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7"/>
      <c r="H997" s="17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7"/>
      <c r="H998" s="17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7"/>
      <c r="H999" s="17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7"/>
      <c r="H1000" s="17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75"/>
      <c r="B1" s="27" t="s">
        <v>3</v>
      </c>
      <c r="C1" s="27" t="s">
        <v>74</v>
      </c>
      <c r="D1" s="8" t="s">
        <v>76</v>
      </c>
      <c r="E1" s="8" t="s">
        <v>118</v>
      </c>
      <c r="F1" s="8" t="s">
        <v>119</v>
      </c>
      <c r="G1" s="8" t="s">
        <v>42</v>
      </c>
      <c r="H1" s="8" t="s">
        <v>46</v>
      </c>
      <c r="I1" s="8" t="s">
        <v>120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>
      <c r="A2" s="139" t="s">
        <v>121</v>
      </c>
      <c r="B2" s="140">
        <v>866.33</v>
      </c>
      <c r="C2" s="140">
        <v>2530.0</v>
      </c>
      <c r="D2" s="140">
        <v>2530.0</v>
      </c>
      <c r="E2" s="140">
        <v>2530.0</v>
      </c>
      <c r="F2" s="140">
        <v>2530.0</v>
      </c>
      <c r="G2" s="140">
        <v>2530.0</v>
      </c>
      <c r="H2" s="140">
        <v>2530.0</v>
      </c>
      <c r="I2" s="140">
        <f>(30360+800)/12</f>
        <v>2596.666667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>
      <c r="A3" s="141" t="s">
        <v>122</v>
      </c>
      <c r="B3" s="8">
        <v>0.0</v>
      </c>
      <c r="C3" s="8">
        <v>0.0</v>
      </c>
      <c r="D3" s="8">
        <v>0.0</v>
      </c>
      <c r="E3" s="8">
        <v>10.0</v>
      </c>
      <c r="F3" s="8">
        <v>10.0</v>
      </c>
      <c r="G3" s="8">
        <v>10.0</v>
      </c>
      <c r="H3" s="8">
        <v>10.0</v>
      </c>
      <c r="I3" s="8">
        <v>10.0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>
      <c r="A4" s="142" t="s">
        <v>123</v>
      </c>
      <c r="B4" s="27">
        <f t="shared" ref="B4:G4" si="1">B3*11</f>
        <v>0</v>
      </c>
      <c r="C4" s="27">
        <f t="shared" si="1"/>
        <v>0</v>
      </c>
      <c r="D4" s="27">
        <f t="shared" si="1"/>
        <v>0</v>
      </c>
      <c r="E4" s="27">
        <f t="shared" si="1"/>
        <v>110</v>
      </c>
      <c r="F4" s="27">
        <f t="shared" si="1"/>
        <v>110</v>
      </c>
      <c r="G4" s="27">
        <f t="shared" si="1"/>
        <v>110</v>
      </c>
      <c r="H4" s="27">
        <f t="shared" ref="H4:I4" si="2">H3*12</f>
        <v>120</v>
      </c>
      <c r="I4" s="27">
        <f t="shared" si="2"/>
        <v>120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>
      <c r="A5" s="142" t="s">
        <v>124</v>
      </c>
      <c r="B5" s="27">
        <v>0.0</v>
      </c>
      <c r="C5" s="27">
        <v>57.68</v>
      </c>
      <c r="D5" s="27">
        <f>57.34+11.43</f>
        <v>68.77</v>
      </c>
      <c r="E5" s="27">
        <v>57.34</v>
      </c>
      <c r="F5" s="27">
        <f t="shared" ref="F5:G5" si="3">64.44</f>
        <v>64.44</v>
      </c>
      <c r="G5" s="27">
        <f t="shared" si="3"/>
        <v>64.44</v>
      </c>
      <c r="H5" s="27">
        <v>63.6</v>
      </c>
      <c r="I5" s="27">
        <f>64.44</f>
        <v>64.44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>
      <c r="A6" s="142" t="s">
        <v>125</v>
      </c>
      <c r="B6" s="27">
        <v>0.0</v>
      </c>
      <c r="C6" s="27">
        <f t="shared" ref="C6:E6" si="4">6.81-2.66</f>
        <v>4.15</v>
      </c>
      <c r="D6" s="27">
        <f t="shared" si="4"/>
        <v>4.15</v>
      </c>
      <c r="E6" s="27">
        <f t="shared" si="4"/>
        <v>4.15</v>
      </c>
      <c r="F6" s="27">
        <f t="shared" ref="F6:G6" si="5">8.01-3.12</f>
        <v>4.89</v>
      </c>
      <c r="G6" s="27">
        <f t="shared" si="5"/>
        <v>4.89</v>
      </c>
      <c r="H6" s="27">
        <f>7.71-1.23</f>
        <v>6.48</v>
      </c>
      <c r="I6" s="27">
        <f>8.01-3.12</f>
        <v>4.89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>
      <c r="A7" s="142" t="s">
        <v>126</v>
      </c>
      <c r="B7" s="27">
        <v>870.67</v>
      </c>
      <c r="C7" s="27">
        <f t="shared" ref="C7:I7" si="6">C2+C6+C5</f>
        <v>2591.83</v>
      </c>
      <c r="D7" s="27">
        <f t="shared" si="6"/>
        <v>2602.92</v>
      </c>
      <c r="E7" s="27">
        <f t="shared" si="6"/>
        <v>2591.49</v>
      </c>
      <c r="F7" s="27">
        <f t="shared" si="6"/>
        <v>2599.33</v>
      </c>
      <c r="G7" s="27">
        <f t="shared" si="6"/>
        <v>2599.33</v>
      </c>
      <c r="H7" s="27">
        <f t="shared" si="6"/>
        <v>2600.08</v>
      </c>
      <c r="I7" s="27">
        <f t="shared" si="6"/>
        <v>2665.996667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>
      <c r="A8" s="143" t="s">
        <v>127</v>
      </c>
      <c r="B8" s="27">
        <f t="shared" ref="B8:I8" si="7">B7</f>
        <v>870.67</v>
      </c>
      <c r="C8" s="27">
        <f t="shared" si="7"/>
        <v>2591.83</v>
      </c>
      <c r="D8" s="27">
        <f t="shared" si="7"/>
        <v>2602.92</v>
      </c>
      <c r="E8" s="27">
        <f t="shared" si="7"/>
        <v>2591.49</v>
      </c>
      <c r="F8" s="27">
        <f t="shared" si="7"/>
        <v>2599.33</v>
      </c>
      <c r="G8" s="27">
        <f t="shared" si="7"/>
        <v>2599.33</v>
      </c>
      <c r="H8" s="27">
        <f t="shared" si="7"/>
        <v>2600.08</v>
      </c>
      <c r="I8" s="27">
        <f t="shared" si="7"/>
        <v>2665.996667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>
      <c r="A9" s="144" t="s">
        <v>128</v>
      </c>
      <c r="B9" s="145">
        <v>0.0</v>
      </c>
      <c r="C9" s="145">
        <v>0.18</v>
      </c>
      <c r="D9" s="145">
        <v>0.18</v>
      </c>
      <c r="E9" s="145">
        <v>0.18</v>
      </c>
      <c r="F9" s="145">
        <v>0.1501</v>
      </c>
      <c r="G9" s="145">
        <v>0.1495</v>
      </c>
      <c r="H9" s="145">
        <v>0.1472</v>
      </c>
      <c r="I9" s="145">
        <v>0.1539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>
      <c r="A10" s="142" t="s">
        <v>129</v>
      </c>
      <c r="B10" s="27">
        <f>B9*(B2-B4)</f>
        <v>0</v>
      </c>
      <c r="C10" s="27">
        <f t="shared" ref="C10:I10" si="8">C9*(C2+C6-C4)</f>
        <v>456.147</v>
      </c>
      <c r="D10" s="27">
        <f t="shared" si="8"/>
        <v>456.147</v>
      </c>
      <c r="E10" s="27">
        <f t="shared" si="8"/>
        <v>436.347</v>
      </c>
      <c r="F10" s="27">
        <f t="shared" si="8"/>
        <v>363.975989</v>
      </c>
      <c r="G10" s="27">
        <f t="shared" si="8"/>
        <v>362.521055</v>
      </c>
      <c r="H10" s="27">
        <f t="shared" si="8"/>
        <v>355.705856</v>
      </c>
      <c r="I10" s="27">
        <f t="shared" si="8"/>
        <v>381.911571</v>
      </c>
      <c r="J10" s="27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</row>
    <row r="11">
      <c r="A11" s="146" t="s">
        <v>130</v>
      </c>
      <c r="B11" s="147">
        <f t="shared" ref="B11:E11" si="9">B7*($B$16+$B$17)+B8*($B$18+$B$19)</f>
        <v>56.419416</v>
      </c>
      <c r="C11" s="147">
        <f t="shared" si="9"/>
        <v>167.950584</v>
      </c>
      <c r="D11" s="147">
        <f t="shared" si="9"/>
        <v>168.669216</v>
      </c>
      <c r="E11" s="147">
        <f t="shared" si="9"/>
        <v>167.928552</v>
      </c>
      <c r="F11" s="147">
        <f t="shared" ref="F11:I11" si="10">F7*($C$16+$C$17)+F8*($C$18+$C$19)</f>
        <v>168.95645</v>
      </c>
      <c r="G11" s="147">
        <f t="shared" si="10"/>
        <v>168.95645</v>
      </c>
      <c r="H11" s="147">
        <f t="shared" si="10"/>
        <v>169.0052</v>
      </c>
      <c r="I11" s="147">
        <f t="shared" si="10"/>
        <v>173.2897833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</row>
    <row r="12">
      <c r="A12" s="142"/>
      <c r="B12" s="27"/>
      <c r="C12" s="27"/>
      <c r="D12" s="27"/>
      <c r="E12" s="27"/>
      <c r="F12" s="27"/>
      <c r="G12" s="27"/>
      <c r="H12" s="27"/>
      <c r="I12" s="27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>
      <c r="A13" s="148" t="s">
        <v>131</v>
      </c>
      <c r="B13" s="149">
        <f t="shared" ref="B13:I13" si="11">B2-B10-B11-B4</f>
        <v>809.910584</v>
      </c>
      <c r="C13" s="149">
        <f t="shared" si="11"/>
        <v>1905.902416</v>
      </c>
      <c r="D13" s="149">
        <f t="shared" si="11"/>
        <v>1905.183784</v>
      </c>
      <c r="E13" s="149">
        <f t="shared" si="11"/>
        <v>1815.724448</v>
      </c>
      <c r="F13" s="149">
        <f t="shared" si="11"/>
        <v>1887.067561</v>
      </c>
      <c r="G13" s="149">
        <f t="shared" si="11"/>
        <v>1888.522495</v>
      </c>
      <c r="H13" s="149">
        <f t="shared" si="11"/>
        <v>1885.288944</v>
      </c>
      <c r="I13" s="149">
        <f t="shared" si="11"/>
        <v>1921.465312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</row>
    <row r="14">
      <c r="A14" s="150"/>
      <c r="B14" s="151">
        <f t="shared" ref="B14:I14" si="12">(B13+B4)/B2</f>
        <v>0.9348753754</v>
      </c>
      <c r="C14" s="151">
        <f t="shared" si="12"/>
        <v>0.753321113</v>
      </c>
      <c r="D14" s="151">
        <f t="shared" si="12"/>
        <v>0.7530370688</v>
      </c>
      <c r="E14" s="151">
        <f t="shared" si="12"/>
        <v>0.7611559083</v>
      </c>
      <c r="F14" s="151">
        <f t="shared" si="12"/>
        <v>0.7893547672</v>
      </c>
      <c r="G14" s="151">
        <f t="shared" si="12"/>
        <v>0.7899298399</v>
      </c>
      <c r="H14" s="151">
        <f t="shared" si="12"/>
        <v>0.7926043257</v>
      </c>
      <c r="I14" s="151">
        <f t="shared" si="12"/>
        <v>0.7861868982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>
      <c r="A15" s="8" t="s">
        <v>132</v>
      </c>
      <c r="B15" s="8">
        <v>2025.0</v>
      </c>
      <c r="C15" s="8">
        <v>2026.0</v>
      </c>
      <c r="D15" s="75"/>
      <c r="E15" s="75"/>
      <c r="F15" s="27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>
      <c r="A16" s="8" t="s">
        <v>133</v>
      </c>
      <c r="B16" s="152">
        <v>0.047</v>
      </c>
      <c r="C16" s="152">
        <v>0.047</v>
      </c>
      <c r="D16" s="75"/>
      <c r="E16" s="75"/>
      <c r="F16" s="27"/>
      <c r="G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>
      <c r="A17" s="8" t="s">
        <v>134</v>
      </c>
      <c r="B17" s="152">
        <v>0.0013</v>
      </c>
      <c r="C17" s="152">
        <v>0.0015</v>
      </c>
      <c r="D17" s="75"/>
      <c r="E17" s="75"/>
      <c r="F17" s="75"/>
      <c r="G17" s="75"/>
      <c r="H17" s="75"/>
      <c r="I17" s="8" t="s">
        <v>19</v>
      </c>
      <c r="J17" s="27">
        <f>(30360+800+750)*(1-SUM(C16:C19))-1420</f>
        <v>28415.85</v>
      </c>
      <c r="L17" s="27">
        <f>10650</f>
        <v>10650</v>
      </c>
      <c r="M17" s="76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>
      <c r="A18" s="8" t="s">
        <v>135</v>
      </c>
      <c r="B18" s="152">
        <v>0.001</v>
      </c>
      <c r="C18" s="152">
        <v>0.001</v>
      </c>
      <c r="D18" s="75"/>
      <c r="E18" s="75"/>
      <c r="F18" s="75"/>
      <c r="G18" s="75"/>
      <c r="H18" s="153">
        <v>12450.0</v>
      </c>
      <c r="I18" s="154">
        <v>0.18</v>
      </c>
      <c r="J18" s="75">
        <f t="shared" ref="J18:J26" si="13">IF(OR(($J$17)-H18&gt;0,($J$17)-H18=0),H18-H17,IF(($J$17)&lt;H17,0,($J$17)-H17))</f>
        <v>12450</v>
      </c>
      <c r="K18" s="75">
        <f t="shared" ref="K18:K27" si="14">I18*J18</f>
        <v>2241</v>
      </c>
      <c r="L18" s="27">
        <f>I18*L17</f>
        <v>1917</v>
      </c>
      <c r="M18" s="76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>
      <c r="A19" s="8" t="s">
        <v>136</v>
      </c>
      <c r="B19" s="152">
        <v>0.0155</v>
      </c>
      <c r="C19" s="152">
        <v>0.0155</v>
      </c>
      <c r="D19" s="76"/>
      <c r="E19" s="76"/>
      <c r="F19" s="75"/>
      <c r="G19" s="75"/>
      <c r="H19" s="153">
        <v>13362.0</v>
      </c>
      <c r="I19" s="154">
        <v>0.205</v>
      </c>
      <c r="J19" s="75">
        <f t="shared" si="13"/>
        <v>912</v>
      </c>
      <c r="K19" s="75">
        <f t="shared" si="14"/>
        <v>186.96</v>
      </c>
      <c r="L19" s="75"/>
      <c r="M19" s="76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>
      <c r="A20" s="76"/>
      <c r="B20" s="76"/>
      <c r="C20" s="76"/>
      <c r="D20" s="76"/>
      <c r="E20" s="76"/>
      <c r="F20" s="75"/>
      <c r="G20" s="75"/>
      <c r="H20" s="153">
        <v>19004.0</v>
      </c>
      <c r="I20" s="154">
        <v>0.227</v>
      </c>
      <c r="J20" s="75">
        <f t="shared" si="13"/>
        <v>5642</v>
      </c>
      <c r="K20" s="75">
        <f t="shared" si="14"/>
        <v>1280.734</v>
      </c>
      <c r="L20" s="75"/>
      <c r="M20" s="76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>
      <c r="F21" s="75"/>
      <c r="G21" s="75"/>
      <c r="H21" s="153">
        <v>20200.0</v>
      </c>
      <c r="I21" s="154">
        <v>0.248</v>
      </c>
      <c r="J21" s="75">
        <f t="shared" si="13"/>
        <v>1196</v>
      </c>
      <c r="K21" s="75">
        <f t="shared" si="14"/>
        <v>296.608</v>
      </c>
      <c r="L21" s="75"/>
      <c r="M21" s="76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>
      <c r="A22" s="75"/>
      <c r="C22" s="75"/>
      <c r="D22" s="75"/>
      <c r="E22" s="75"/>
      <c r="F22" s="75"/>
      <c r="G22" s="75"/>
      <c r="H22" s="153">
        <v>35200.0</v>
      </c>
      <c r="I22" s="154">
        <v>0.278</v>
      </c>
      <c r="J22" s="75">
        <f t="shared" si="13"/>
        <v>8215.85</v>
      </c>
      <c r="K22" s="75">
        <f t="shared" si="14"/>
        <v>2284.0063</v>
      </c>
      <c r="L22" s="75"/>
      <c r="M22" s="76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>
      <c r="A23" s="75"/>
      <c r="C23" s="75"/>
      <c r="D23" s="75"/>
      <c r="E23" s="75"/>
      <c r="F23" s="75"/>
      <c r="G23" s="75"/>
      <c r="H23" s="153">
        <v>35425.0</v>
      </c>
      <c r="I23" s="154">
        <v>0.313</v>
      </c>
      <c r="J23" s="76">
        <f t="shared" si="13"/>
        <v>0</v>
      </c>
      <c r="K23" s="76">
        <f t="shared" si="14"/>
        <v>0</v>
      </c>
      <c r="L23" s="75"/>
      <c r="M23" s="76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>
      <c r="A24" s="75"/>
      <c r="C24" s="75"/>
      <c r="D24" s="75"/>
      <c r="E24" s="75"/>
      <c r="F24" s="75"/>
      <c r="G24" s="75"/>
      <c r="H24" s="153">
        <v>57320.0</v>
      </c>
      <c r="I24" s="154">
        <v>0.359</v>
      </c>
      <c r="J24" s="76">
        <f t="shared" si="13"/>
        <v>0</v>
      </c>
      <c r="K24" s="76">
        <f t="shared" si="14"/>
        <v>0</v>
      </c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>
      <c r="D25" s="75"/>
      <c r="E25" s="75"/>
      <c r="F25" s="75"/>
      <c r="G25" s="75"/>
      <c r="H25" s="153">
        <v>60000.0</v>
      </c>
      <c r="I25" s="154">
        <v>0.39</v>
      </c>
      <c r="J25" s="76">
        <f t="shared" si="13"/>
        <v>0</v>
      </c>
      <c r="K25" s="76">
        <f t="shared" si="14"/>
        <v>0</v>
      </c>
      <c r="L25" s="155"/>
      <c r="M25" s="15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>
      <c r="A26" s="75"/>
      <c r="B26" s="75"/>
      <c r="C26" s="75"/>
      <c r="D26" s="75"/>
      <c r="E26" s="75"/>
      <c r="F26" s="75"/>
      <c r="G26" s="75"/>
      <c r="H26" s="153">
        <v>300000.0</v>
      </c>
      <c r="I26" s="154">
        <v>0.43</v>
      </c>
      <c r="J26" s="76">
        <f t="shared" si="13"/>
        <v>0</v>
      </c>
      <c r="K26" s="76">
        <f t="shared" si="14"/>
        <v>0</v>
      </c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>
      <c r="A27" s="75"/>
      <c r="B27" s="75"/>
      <c r="C27" s="75"/>
      <c r="D27" s="75"/>
      <c r="E27" s="75"/>
      <c r="F27" s="75"/>
      <c r="G27" s="75"/>
      <c r="H27" s="153" t="s">
        <v>137</v>
      </c>
      <c r="I27" s="154">
        <v>0.45</v>
      </c>
      <c r="J27" s="76">
        <f>IF(($J$17)-H26&gt;0,($J$17)-H26,0)</f>
        <v>0</v>
      </c>
      <c r="K27" s="76">
        <f t="shared" si="14"/>
        <v>0</v>
      </c>
      <c r="L27" s="75"/>
      <c r="M27" s="15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6"/>
      <c r="K28" s="75">
        <f>SUM(K18:K27)</f>
        <v>6289.3083</v>
      </c>
      <c r="L28" s="75">
        <f>K28-L18</f>
        <v>4372.3083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155">
        <f t="shared" ref="K29:L29" si="15">K28/$J$17</f>
        <v>0.2213309931</v>
      </c>
      <c r="L29" s="155">
        <f t="shared" si="15"/>
        <v>0.1538686437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75"/>
      <c r="B1" s="27" t="s">
        <v>3</v>
      </c>
      <c r="C1" s="27" t="s">
        <v>74</v>
      </c>
      <c r="D1" s="8" t="s">
        <v>76</v>
      </c>
      <c r="E1" s="8" t="s">
        <v>118</v>
      </c>
      <c r="F1" s="8" t="s">
        <v>119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139" t="s">
        <v>121</v>
      </c>
      <c r="B2" s="140">
        <v>3644.91</v>
      </c>
      <c r="C2" s="140">
        <v>3644.91</v>
      </c>
      <c r="D2" s="140">
        <v>3644.91</v>
      </c>
      <c r="E2" s="140">
        <v>3644.91</v>
      </c>
      <c r="F2" s="140">
        <f>43738.92/12</f>
        <v>3644.91</v>
      </c>
      <c r="G2" s="75">
        <f>49005.86/12</f>
        <v>4083.821667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141" t="s">
        <v>122</v>
      </c>
      <c r="B3" s="8">
        <v>11.0</v>
      </c>
      <c r="C3" s="8">
        <v>22.0</v>
      </c>
      <c r="D3" s="8">
        <v>17.0</v>
      </c>
      <c r="E3" s="8">
        <v>16.0</v>
      </c>
      <c r="F3" s="8">
        <v>17.0</v>
      </c>
      <c r="G3" s="8">
        <v>22.0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142" t="s">
        <v>138</v>
      </c>
      <c r="B4" s="27">
        <f t="shared" ref="B4:G4" si="1">B3*9</f>
        <v>99</v>
      </c>
      <c r="C4" s="27">
        <f t="shared" si="1"/>
        <v>198</v>
      </c>
      <c r="D4" s="27">
        <f t="shared" si="1"/>
        <v>153</v>
      </c>
      <c r="E4" s="27">
        <f t="shared" si="1"/>
        <v>144</v>
      </c>
      <c r="F4" s="27">
        <f t="shared" si="1"/>
        <v>153</v>
      </c>
      <c r="G4" s="27">
        <f t="shared" si="1"/>
        <v>198</v>
      </c>
      <c r="H4" s="75"/>
      <c r="I4" s="75"/>
      <c r="J4" s="75"/>
      <c r="K4" s="75"/>
      <c r="L4" s="75"/>
      <c r="M4" s="27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142" t="s">
        <v>139</v>
      </c>
      <c r="B5" s="27">
        <v>66.22</v>
      </c>
      <c r="C5" s="27">
        <v>66.22</v>
      </c>
      <c r="D5" s="27">
        <v>66.22</v>
      </c>
      <c r="E5" s="27">
        <v>66.22</v>
      </c>
      <c r="F5" s="27">
        <v>66.22</v>
      </c>
      <c r="G5" s="27">
        <v>66.22</v>
      </c>
      <c r="H5" s="75"/>
      <c r="I5" s="75"/>
      <c r="J5" s="75"/>
      <c r="K5" s="75"/>
      <c r="L5" s="75"/>
      <c r="M5" s="27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142" t="s">
        <v>140</v>
      </c>
      <c r="B6" s="27">
        <v>50.0</v>
      </c>
      <c r="C6" s="27">
        <v>50.0</v>
      </c>
      <c r="D6" s="27">
        <v>50.0</v>
      </c>
      <c r="E6" s="27">
        <v>50.0</v>
      </c>
      <c r="F6" s="27">
        <v>50.0</v>
      </c>
      <c r="G6" s="27">
        <v>50.0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142" t="s">
        <v>126</v>
      </c>
      <c r="B7" s="27">
        <f t="shared" ref="B7:G7" si="2">B2+B4+B5-B6</f>
        <v>3760.13</v>
      </c>
      <c r="C7" s="27">
        <f t="shared" si="2"/>
        <v>3859.13</v>
      </c>
      <c r="D7" s="27">
        <f t="shared" si="2"/>
        <v>3814.13</v>
      </c>
      <c r="E7" s="27">
        <f t="shared" si="2"/>
        <v>3805.13</v>
      </c>
      <c r="F7" s="27">
        <f t="shared" si="2"/>
        <v>3814.13</v>
      </c>
      <c r="G7" s="27">
        <f t="shared" si="2"/>
        <v>4298.041667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143" t="s">
        <v>127</v>
      </c>
      <c r="B8" s="27">
        <f t="shared" ref="B8:G8" si="3">B2+B4+B5</f>
        <v>3810.13</v>
      </c>
      <c r="C8" s="27">
        <f t="shared" si="3"/>
        <v>3909.13</v>
      </c>
      <c r="D8" s="27">
        <f t="shared" si="3"/>
        <v>3864.13</v>
      </c>
      <c r="E8" s="27">
        <f t="shared" si="3"/>
        <v>3855.13</v>
      </c>
      <c r="F8" s="27">
        <f t="shared" si="3"/>
        <v>3864.13</v>
      </c>
      <c r="G8" s="27">
        <f t="shared" si="3"/>
        <v>4348.041667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144" t="s">
        <v>128</v>
      </c>
      <c r="B9" s="145">
        <v>0.1964</v>
      </c>
      <c r="C9" s="145">
        <v>0.1962</v>
      </c>
      <c r="D9" s="145">
        <v>0.1964</v>
      </c>
      <c r="E9" s="145">
        <v>0.1848</v>
      </c>
      <c r="F9" s="145">
        <v>0.196</v>
      </c>
      <c r="G9" s="145">
        <v>0.2196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142" t="s">
        <v>129</v>
      </c>
      <c r="B10" s="27">
        <f t="shared" ref="B10:G10" si="4">B9*B2</f>
        <v>715.860324</v>
      </c>
      <c r="C10" s="27">
        <f t="shared" si="4"/>
        <v>715.131342</v>
      </c>
      <c r="D10" s="27">
        <f t="shared" si="4"/>
        <v>715.860324</v>
      </c>
      <c r="E10" s="27">
        <f t="shared" si="4"/>
        <v>673.579368</v>
      </c>
      <c r="F10" s="27">
        <f t="shared" si="4"/>
        <v>714.40236</v>
      </c>
      <c r="G10" s="27">
        <f t="shared" si="4"/>
        <v>896.807238</v>
      </c>
      <c r="H10" s="27"/>
      <c r="I10" s="75"/>
      <c r="J10" s="27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146" t="s">
        <v>130</v>
      </c>
      <c r="B11" s="147">
        <f t="shared" ref="B11:E11" si="5">B7*($B$16+$B$17)+B8*($B$18+$B$19)</f>
        <v>244.481424</v>
      </c>
      <c r="C11" s="147">
        <f t="shared" si="5"/>
        <v>250.896624</v>
      </c>
      <c r="D11" s="147">
        <f t="shared" si="5"/>
        <v>247.980624</v>
      </c>
      <c r="E11" s="147">
        <f t="shared" si="5"/>
        <v>247.397424</v>
      </c>
      <c r="F11" s="147">
        <f t="shared" ref="F11:G11" si="6">F7*($C$16+$C$17)+F8*($C$18+$C$19)</f>
        <v>248.74345</v>
      </c>
      <c r="G11" s="147">
        <f t="shared" si="6"/>
        <v>280.1977083</v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142"/>
      <c r="B12" s="27"/>
      <c r="C12" s="27"/>
      <c r="D12" s="27"/>
      <c r="E12" s="27"/>
      <c r="F12" s="27"/>
      <c r="G12" s="27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148" t="s">
        <v>131</v>
      </c>
      <c r="B13" s="149">
        <f t="shared" ref="B13:G13" si="7">B2-B10-B11</f>
        <v>2684.568252</v>
      </c>
      <c r="C13" s="149">
        <f t="shared" si="7"/>
        <v>2678.882034</v>
      </c>
      <c r="D13" s="149">
        <f t="shared" si="7"/>
        <v>2681.069052</v>
      </c>
      <c r="E13" s="149">
        <f t="shared" si="7"/>
        <v>2723.933208</v>
      </c>
      <c r="F13" s="149">
        <f t="shared" si="7"/>
        <v>2681.76419</v>
      </c>
      <c r="G13" s="149">
        <f t="shared" si="7"/>
        <v>2906.81672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150"/>
      <c r="B14" s="151">
        <f t="shared" ref="B14:G14" si="8">B13/B2</f>
        <v>0.7365252508</v>
      </c>
      <c r="C14" s="151">
        <f t="shared" si="8"/>
        <v>0.7349652074</v>
      </c>
      <c r="D14" s="151">
        <f t="shared" si="8"/>
        <v>0.7355652271</v>
      </c>
      <c r="E14" s="151">
        <f t="shared" si="8"/>
        <v>0.7473252311</v>
      </c>
      <c r="F14" s="151">
        <f t="shared" si="8"/>
        <v>0.7357559418</v>
      </c>
      <c r="G14" s="151">
        <f t="shared" si="8"/>
        <v>0.7117883585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8" t="s">
        <v>132</v>
      </c>
      <c r="B15" s="8">
        <v>2025.0</v>
      </c>
      <c r="C15" s="8">
        <v>2026.0</v>
      </c>
      <c r="D15" s="75"/>
      <c r="E15" s="75"/>
      <c r="F15" s="27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8" t="s">
        <v>133</v>
      </c>
      <c r="B16" s="152">
        <v>0.047</v>
      </c>
      <c r="C16" s="152">
        <v>0.047</v>
      </c>
      <c r="D16" s="75"/>
      <c r="E16" s="75"/>
      <c r="F16" s="27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8" t="s">
        <v>134</v>
      </c>
      <c r="B17" s="152">
        <v>0.0013</v>
      </c>
      <c r="C17" s="152">
        <v>0.0015</v>
      </c>
      <c r="D17" s="75"/>
      <c r="E17" s="75"/>
      <c r="F17" s="75"/>
      <c r="G17" s="75"/>
      <c r="H17" s="75"/>
      <c r="I17" s="8" t="s">
        <v>19</v>
      </c>
      <c r="J17" s="27">
        <f>49005.86*(1-SUM(B16:B19))</f>
        <v>45830.28027</v>
      </c>
      <c r="K17" s="27"/>
      <c r="L17" s="27">
        <f>10650</f>
        <v>10650</v>
      </c>
      <c r="M17" s="76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8" t="s">
        <v>135</v>
      </c>
      <c r="B18" s="152">
        <v>0.001</v>
      </c>
      <c r="C18" s="152">
        <v>0.001</v>
      </c>
      <c r="D18" s="75"/>
      <c r="E18" s="75"/>
      <c r="F18" s="75"/>
      <c r="G18" s="75"/>
      <c r="H18" s="153">
        <v>12450.0</v>
      </c>
      <c r="I18" s="154">
        <v>0.18</v>
      </c>
      <c r="J18" s="75">
        <f t="shared" ref="J18:J26" si="9">IF(OR($J$17-H18&gt;0,$J$17-H18=0),H18-H17,IF($J$17&lt;H17,0,$J$17-H17))</f>
        <v>12450</v>
      </c>
      <c r="K18" s="75">
        <f t="shared" ref="K18:K27" si="10">I18*J18</f>
        <v>2241</v>
      </c>
      <c r="L18" s="27">
        <f>I18*L17</f>
        <v>1917</v>
      </c>
      <c r="M18" s="76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8" t="s">
        <v>136</v>
      </c>
      <c r="B19" s="152">
        <v>0.0155</v>
      </c>
      <c r="C19" s="152">
        <v>0.0155</v>
      </c>
      <c r="F19" s="75"/>
      <c r="G19" s="75"/>
      <c r="H19" s="153">
        <v>13362.0</v>
      </c>
      <c r="I19" s="154">
        <v>0.205</v>
      </c>
      <c r="J19" s="75">
        <f t="shared" si="9"/>
        <v>912</v>
      </c>
      <c r="K19" s="75">
        <f t="shared" si="10"/>
        <v>186.96</v>
      </c>
      <c r="L19" s="76"/>
      <c r="M19" s="76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F20" s="75"/>
      <c r="G20" s="75"/>
      <c r="H20" s="153">
        <v>19004.0</v>
      </c>
      <c r="I20" s="154">
        <v>0.227</v>
      </c>
      <c r="J20" s="75">
        <f t="shared" si="9"/>
        <v>5642</v>
      </c>
      <c r="K20" s="75">
        <f t="shared" si="10"/>
        <v>1280.734</v>
      </c>
      <c r="L20" s="76"/>
      <c r="M20" s="76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F21" s="75"/>
      <c r="G21" s="75"/>
      <c r="H21" s="153">
        <v>20200.0</v>
      </c>
      <c r="I21" s="154">
        <v>0.248</v>
      </c>
      <c r="J21" s="75">
        <f t="shared" si="9"/>
        <v>1196</v>
      </c>
      <c r="K21" s="75">
        <f t="shared" si="10"/>
        <v>296.608</v>
      </c>
      <c r="L21" s="76"/>
      <c r="M21" s="76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F22" s="75"/>
      <c r="G22" s="75"/>
      <c r="H22" s="153">
        <v>35200.0</v>
      </c>
      <c r="I22" s="154">
        <v>0.278</v>
      </c>
      <c r="J22" s="75">
        <f t="shared" si="9"/>
        <v>15000</v>
      </c>
      <c r="K22" s="75">
        <f t="shared" si="10"/>
        <v>4170</v>
      </c>
      <c r="L22" s="76"/>
      <c r="M22" s="76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F23" s="75"/>
      <c r="G23" s="75"/>
      <c r="H23" s="153">
        <v>35425.0</v>
      </c>
      <c r="I23" s="154">
        <v>0.313</v>
      </c>
      <c r="J23" s="75">
        <f t="shared" si="9"/>
        <v>225</v>
      </c>
      <c r="K23" s="75">
        <f t="shared" si="10"/>
        <v>70.425</v>
      </c>
      <c r="L23" s="76"/>
      <c r="M23" s="76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5"/>
      <c r="C24" s="75"/>
      <c r="D24" s="75"/>
      <c r="E24" s="75"/>
      <c r="F24" s="75"/>
      <c r="G24" s="75"/>
      <c r="H24" s="153">
        <v>57320.0</v>
      </c>
      <c r="I24" s="154">
        <v>0.359</v>
      </c>
      <c r="J24" s="75">
        <f t="shared" si="9"/>
        <v>10405.28027</v>
      </c>
      <c r="K24" s="75">
        <f t="shared" si="10"/>
        <v>3735.495618</v>
      </c>
      <c r="L24" s="76"/>
      <c r="M24" s="76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5"/>
      <c r="C25" s="75"/>
      <c r="D25" s="75"/>
      <c r="E25" s="75"/>
      <c r="F25" s="75"/>
      <c r="G25" s="75"/>
      <c r="H25" s="153">
        <v>60000.0</v>
      </c>
      <c r="I25" s="154">
        <v>0.39</v>
      </c>
      <c r="J25" s="76">
        <f t="shared" si="9"/>
        <v>0</v>
      </c>
      <c r="K25" s="76">
        <f t="shared" si="10"/>
        <v>0</v>
      </c>
      <c r="L25" s="76"/>
      <c r="M25" s="76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5"/>
      <c r="C26" s="75"/>
      <c r="D26" s="75"/>
      <c r="E26" s="75"/>
      <c r="F26" s="75"/>
      <c r="G26" s="75"/>
      <c r="H26" s="153">
        <v>300000.0</v>
      </c>
      <c r="I26" s="154">
        <v>0.43</v>
      </c>
      <c r="J26" s="76">
        <f t="shared" si="9"/>
        <v>0</v>
      </c>
      <c r="K26" s="76">
        <f t="shared" si="10"/>
        <v>0</v>
      </c>
      <c r="L26" s="76"/>
      <c r="M26" s="76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5"/>
      <c r="C27" s="75"/>
      <c r="D27" s="75"/>
      <c r="E27" s="75"/>
      <c r="F27" s="75"/>
      <c r="G27" s="75"/>
      <c r="H27" s="153" t="s">
        <v>137</v>
      </c>
      <c r="I27" s="154">
        <v>0.45</v>
      </c>
      <c r="J27" s="76">
        <f>IF($J$17-H26&gt;0,$J$17-H26,0)</f>
        <v>0</v>
      </c>
      <c r="K27" s="76">
        <f t="shared" si="10"/>
        <v>0</v>
      </c>
      <c r="L27" s="76"/>
      <c r="M27" s="76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5"/>
      <c r="C28" s="75"/>
      <c r="D28" s="75"/>
      <c r="E28" s="75"/>
      <c r="F28" s="75"/>
      <c r="G28" s="75"/>
      <c r="H28" s="75"/>
      <c r="I28" s="75"/>
      <c r="J28" s="76"/>
      <c r="K28" s="75">
        <f>SUM(K18:K27)</f>
        <v>11981.22262</v>
      </c>
      <c r="L28" s="75">
        <f>K28-L18</f>
        <v>10064.22262</v>
      </c>
      <c r="M28" s="76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D29" s="75"/>
      <c r="E29" s="75"/>
      <c r="F29" s="75"/>
      <c r="G29" s="75"/>
      <c r="H29" s="75"/>
      <c r="I29" s="75"/>
      <c r="J29" s="75"/>
      <c r="K29" s="155">
        <f>K28/J17</f>
        <v>0.2614259076</v>
      </c>
      <c r="L29" s="155">
        <f>L28/J17</f>
        <v>0.2195976668</v>
      </c>
      <c r="M29" s="15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5"/>
      <c r="B30" s="75"/>
      <c r="C30" s="75"/>
      <c r="D30" s="75"/>
      <c r="E30" s="75"/>
      <c r="F30" s="75"/>
      <c r="G30" s="75"/>
      <c r="H30" s="75"/>
      <c r="I30" s="8"/>
      <c r="J30" s="27"/>
      <c r="K30" s="75"/>
      <c r="L30" s="27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5"/>
      <c r="B31" s="75"/>
      <c r="C31" s="75"/>
      <c r="D31" s="75"/>
      <c r="E31" s="75"/>
      <c r="F31" s="75"/>
      <c r="G31" s="75"/>
      <c r="H31" s="153"/>
      <c r="I31" s="154"/>
      <c r="J31" s="76"/>
      <c r="K31" s="76"/>
      <c r="L31" s="27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5"/>
      <c r="B32" s="75"/>
      <c r="C32" s="75"/>
      <c r="D32" s="75"/>
      <c r="E32" s="75"/>
      <c r="F32" s="75"/>
      <c r="G32" s="75"/>
      <c r="H32" s="153"/>
      <c r="I32" s="154"/>
      <c r="J32" s="76"/>
      <c r="K32" s="76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5"/>
      <c r="B33" s="75"/>
      <c r="C33" s="75"/>
      <c r="D33" s="75"/>
      <c r="E33" s="75"/>
      <c r="F33" s="75"/>
      <c r="G33" s="75"/>
      <c r="H33" s="153"/>
      <c r="I33" s="154"/>
      <c r="J33" s="76"/>
      <c r="K33" s="76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153"/>
      <c r="I34" s="154"/>
      <c r="J34" s="76"/>
      <c r="K34" s="76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153"/>
      <c r="I35" s="154"/>
      <c r="J35" s="76"/>
      <c r="K35" s="76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153"/>
      <c r="I36" s="154"/>
      <c r="J36" s="76"/>
      <c r="K36" s="76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153"/>
      <c r="I37" s="154"/>
      <c r="J37" s="76"/>
      <c r="K37" s="76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153"/>
      <c r="I38" s="154"/>
      <c r="J38" s="76"/>
      <c r="K38" s="76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153"/>
      <c r="I39" s="154"/>
      <c r="J39" s="76"/>
      <c r="K39" s="76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153"/>
      <c r="I40" s="154"/>
      <c r="J40" s="76"/>
      <c r="K40" s="76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155"/>
      <c r="L42" s="15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8"/>
      <c r="J43" s="27"/>
      <c r="K43" s="75"/>
      <c r="L43" s="27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153"/>
      <c r="I44" s="154"/>
      <c r="J44" s="76"/>
      <c r="K44" s="76"/>
      <c r="L44" s="27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153"/>
      <c r="I45" s="154"/>
      <c r="J45" s="76"/>
      <c r="K45" s="76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153"/>
      <c r="I46" s="154"/>
      <c r="J46" s="76"/>
      <c r="K46" s="76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153"/>
      <c r="I47" s="154"/>
      <c r="J47" s="76"/>
      <c r="K47" s="76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153"/>
      <c r="I48" s="154"/>
      <c r="J48" s="76"/>
      <c r="K48" s="76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153"/>
      <c r="I49" s="154"/>
      <c r="J49" s="76"/>
      <c r="K49" s="76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153"/>
      <c r="I50" s="154"/>
      <c r="J50" s="76"/>
      <c r="K50" s="76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153"/>
      <c r="I51" s="154"/>
      <c r="J51" s="76"/>
      <c r="K51" s="76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153"/>
      <c r="I52" s="154"/>
      <c r="J52" s="76"/>
      <c r="K52" s="76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153"/>
      <c r="I53" s="154"/>
      <c r="J53" s="76"/>
      <c r="K53" s="76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6"/>
      <c r="K54" s="76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155"/>
      <c r="L55" s="15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3" width="13.63"/>
    <col customWidth="1" min="4" max="4" width="10.88"/>
    <col customWidth="1" min="5" max="5" width="21.5"/>
    <col customWidth="1" min="7" max="7" width="9.0"/>
    <col customWidth="1" min="8" max="8" width="8.5"/>
    <col customWidth="1" min="9" max="9" width="10.5"/>
    <col customWidth="1" min="10" max="10" width="2.13"/>
    <col customWidth="1" min="11" max="11" width="16.25"/>
    <col customWidth="1" min="12" max="12" width="9.63"/>
    <col customWidth="1" min="13" max="13" width="11.75"/>
    <col customWidth="1" min="14" max="14" width="10.63"/>
    <col customWidth="1" min="15" max="15" width="4.63"/>
    <col customWidth="1" min="16" max="16" width="13.63"/>
    <col customWidth="1" min="18" max="18" width="14.75"/>
    <col customWidth="1" min="19" max="19" width="14.88"/>
  </cols>
  <sheetData>
    <row r="1">
      <c r="A1" s="4" t="s">
        <v>50</v>
      </c>
      <c r="C1" s="6"/>
      <c r="D1" s="7"/>
      <c r="E1" s="10" t="s">
        <v>4</v>
      </c>
      <c r="F1" s="13"/>
      <c r="G1" s="13"/>
      <c r="H1" s="13"/>
      <c r="I1" s="16"/>
      <c r="J1" s="18"/>
      <c r="K1" s="72" t="s">
        <v>9</v>
      </c>
      <c r="M1" s="72" t="s">
        <v>10</v>
      </c>
      <c r="O1" s="6"/>
      <c r="P1" s="6" t="s">
        <v>11</v>
      </c>
      <c r="Q1" s="6" t="s">
        <v>12</v>
      </c>
      <c r="R1" s="6" t="s">
        <v>13</v>
      </c>
      <c r="S1" s="6" t="s">
        <v>14</v>
      </c>
      <c r="T1" s="18"/>
      <c r="U1" s="6"/>
      <c r="V1" s="18"/>
    </row>
    <row r="2">
      <c r="A2" s="4" t="s">
        <v>0</v>
      </c>
      <c r="B2" s="4" t="s">
        <v>16</v>
      </c>
      <c r="C2" s="4" t="s">
        <v>18</v>
      </c>
      <c r="D2" s="6"/>
      <c r="E2" s="23" t="s">
        <v>20</v>
      </c>
      <c r="F2" s="25" t="s">
        <v>21</v>
      </c>
      <c r="G2" s="27" t="s">
        <v>22</v>
      </c>
      <c r="H2" s="6" t="s">
        <v>23</v>
      </c>
      <c r="I2" s="29" t="s">
        <v>24</v>
      </c>
      <c r="J2" s="18"/>
      <c r="K2" s="25" t="s">
        <v>20</v>
      </c>
      <c r="L2" s="25" t="s">
        <v>26</v>
      </c>
      <c r="M2" s="6" t="s">
        <v>27</v>
      </c>
      <c r="N2" s="6">
        <v>13.99</v>
      </c>
      <c r="O2" s="4"/>
      <c r="P2" s="156">
        <v>28.35</v>
      </c>
      <c r="Q2" s="25">
        <v>60.0</v>
      </c>
      <c r="R2" s="6">
        <v>21.73</v>
      </c>
      <c r="S2" s="6">
        <v>124.82</v>
      </c>
      <c r="T2" s="18"/>
      <c r="U2" s="6"/>
      <c r="V2" s="18"/>
    </row>
    <row r="3">
      <c r="A3" s="4">
        <v>2025.0</v>
      </c>
      <c r="B3" s="6">
        <f>-2047.08-52.7</f>
        <v>-2099.78</v>
      </c>
      <c r="C3" s="6"/>
      <c r="D3" s="6"/>
      <c r="E3" s="23" t="s">
        <v>29</v>
      </c>
      <c r="F3" s="34">
        <f t="shared" ref="F3:F24" si="1">G3+I3+H3</f>
        <v>550.93</v>
      </c>
      <c r="G3" s="27"/>
      <c r="H3" s="6"/>
      <c r="I3" s="29">
        <v>550.93</v>
      </c>
      <c r="J3" s="4"/>
      <c r="K3" s="25" t="s">
        <v>32</v>
      </c>
      <c r="L3" s="6">
        <v>47.36</v>
      </c>
      <c r="M3" s="6" t="s">
        <v>33</v>
      </c>
      <c r="N3" s="18">
        <f>IF($A$1="Sep",49.99,0)</f>
        <v>0</v>
      </c>
      <c r="O3" s="18"/>
      <c r="P3" s="156">
        <v>50.0</v>
      </c>
      <c r="Q3" s="25">
        <v>61.25</v>
      </c>
      <c r="R3" s="6">
        <v>30.0</v>
      </c>
      <c r="S3" s="6">
        <v>246.04</v>
      </c>
      <c r="T3" s="18"/>
      <c r="U3" s="6"/>
      <c r="V3" s="18"/>
    </row>
    <row r="4">
      <c r="A4" s="6" t="s">
        <v>34</v>
      </c>
      <c r="B4" s="6">
        <v>-133.47</v>
      </c>
      <c r="C4" s="18">
        <f>1360.14+50+19.99+202.5</f>
        <v>1632.63</v>
      </c>
      <c r="D4" s="18"/>
      <c r="E4" s="23" t="s">
        <v>36</v>
      </c>
      <c r="F4" s="34">
        <f t="shared" si="1"/>
        <v>242</v>
      </c>
      <c r="G4" s="27"/>
      <c r="H4" s="27"/>
      <c r="I4" s="29">
        <f>IF(OR($A$1="Jul",$A$1="Aug"),0,242)</f>
        <v>242</v>
      </c>
      <c r="J4" s="6"/>
      <c r="K4" s="4" t="s">
        <v>40</v>
      </c>
      <c r="L4" s="6">
        <v>246.04</v>
      </c>
      <c r="M4" s="6" t="s">
        <v>41</v>
      </c>
      <c r="N4" s="6">
        <v>10.99</v>
      </c>
      <c r="O4" s="18"/>
      <c r="P4" s="156">
        <v>35.95</v>
      </c>
      <c r="Q4" s="6">
        <v>112.97</v>
      </c>
      <c r="R4" s="6">
        <v>40.0</v>
      </c>
      <c r="S4" s="6"/>
      <c r="T4" s="18"/>
      <c r="U4" s="6"/>
      <c r="V4" s="18"/>
    </row>
    <row r="5">
      <c r="A5" s="6" t="s">
        <v>42</v>
      </c>
      <c r="B5" s="6">
        <v>280.2</v>
      </c>
      <c r="C5" s="6"/>
      <c r="D5" s="18"/>
      <c r="E5" s="23" t="s">
        <v>43</v>
      </c>
      <c r="F5" s="34">
        <f t="shared" si="1"/>
        <v>150.93</v>
      </c>
      <c r="G5" s="27"/>
      <c r="H5" s="6"/>
      <c r="I5" s="29">
        <v>150.93</v>
      </c>
      <c r="J5" s="4"/>
      <c r="K5" s="72" t="s">
        <v>44</v>
      </c>
      <c r="L5" s="25">
        <v>124.82</v>
      </c>
      <c r="M5" s="6" t="s">
        <v>45</v>
      </c>
      <c r="N5" s="6">
        <v>7.99</v>
      </c>
      <c r="O5" s="18"/>
      <c r="P5" s="156">
        <v>3.95</v>
      </c>
      <c r="Q5" s="6">
        <v>59.9</v>
      </c>
      <c r="R5" s="6">
        <v>29.87</v>
      </c>
      <c r="S5" s="6"/>
      <c r="T5" s="18"/>
      <c r="U5" s="6"/>
      <c r="V5" s="18"/>
    </row>
    <row r="6">
      <c r="A6" s="4" t="s">
        <v>46</v>
      </c>
      <c r="B6" s="6">
        <v>-573.43</v>
      </c>
      <c r="C6" s="6">
        <v>100.0</v>
      </c>
      <c r="D6" s="18"/>
      <c r="E6" s="23" t="s">
        <v>47</v>
      </c>
      <c r="F6" s="34">
        <f t="shared" si="1"/>
        <v>40</v>
      </c>
      <c r="G6" s="27">
        <f>IF(OR($A$1="May",$A$1="Jun",$A$1="Jul",$A$1="Aug"),0,40)</f>
        <v>40</v>
      </c>
      <c r="H6" s="6"/>
      <c r="I6" s="29"/>
      <c r="J6" s="6"/>
      <c r="K6" s="72" t="s">
        <v>48</v>
      </c>
      <c r="L6" s="25">
        <f>238.4</f>
        <v>238.4</v>
      </c>
      <c r="M6" s="6" t="s">
        <v>49</v>
      </c>
      <c r="N6" s="6">
        <v>16.99</v>
      </c>
      <c r="O6" s="18"/>
      <c r="P6" s="27">
        <v>197.77</v>
      </c>
      <c r="Q6" s="6">
        <v>238.4</v>
      </c>
      <c r="R6" s="6"/>
      <c r="S6" s="18"/>
      <c r="T6" s="18"/>
      <c r="U6" s="6"/>
      <c r="V6" s="18"/>
    </row>
    <row r="7">
      <c r="A7" s="6" t="s">
        <v>50</v>
      </c>
      <c r="B7" s="6">
        <v>-779.65</v>
      </c>
      <c r="C7" s="6">
        <f>50</f>
        <v>50</v>
      </c>
      <c r="D7" s="18"/>
      <c r="E7" s="23" t="s">
        <v>51</v>
      </c>
      <c r="F7" s="34">
        <f t="shared" si="1"/>
        <v>30</v>
      </c>
      <c r="G7" s="27">
        <f>IF(OR($A$1="Jul",$A$1="Aug"),0,30)</f>
        <v>30</v>
      </c>
      <c r="H7" s="6"/>
      <c r="I7" s="29"/>
      <c r="J7" s="6"/>
      <c r="K7" s="25" t="s">
        <v>52</v>
      </c>
      <c r="L7" s="25">
        <v>308.96</v>
      </c>
      <c r="M7" s="6" t="s">
        <v>53</v>
      </c>
      <c r="N7" s="6">
        <v>1.79</v>
      </c>
      <c r="O7" s="18"/>
      <c r="P7" s="156">
        <v>82.98</v>
      </c>
      <c r="Q7" s="6">
        <v>368.47</v>
      </c>
      <c r="R7" s="6" t="s">
        <v>54</v>
      </c>
      <c r="S7" s="6" t="s">
        <v>55</v>
      </c>
      <c r="T7" s="18"/>
      <c r="U7" s="6"/>
      <c r="V7" s="18"/>
    </row>
    <row r="8">
      <c r="A8" s="6" t="s">
        <v>56</v>
      </c>
      <c r="B8" s="18"/>
      <c r="C8" s="6"/>
      <c r="D8" s="18"/>
      <c r="E8" s="23" t="s">
        <v>57</v>
      </c>
      <c r="F8" s="34">
        <f t="shared" si="1"/>
        <v>100</v>
      </c>
      <c r="G8" s="27"/>
      <c r="H8" s="18"/>
      <c r="I8" s="29">
        <f>IF(OR($A$1="Jul",$A$1="Aug",$A$1="Sep"),150,IF(OR($A$1="May",$A$1="Jun",$A$1="Oct",$A$1="Nov"),120,100))</f>
        <v>100</v>
      </c>
      <c r="J8" s="50"/>
      <c r="K8" s="4" t="s">
        <v>141</v>
      </c>
      <c r="L8" s="6">
        <f>IF(OR($A$1="Jan",$A$1="Feb",$A$1="Mar",$A$1="Apr",$A$1="May",$A$1="Jun"),112.97,0)</f>
        <v>112.97</v>
      </c>
      <c r="M8" s="18"/>
      <c r="N8" s="18"/>
      <c r="O8" s="18"/>
      <c r="P8" s="156">
        <v>40.0</v>
      </c>
      <c r="Q8" s="6">
        <v>53.64</v>
      </c>
      <c r="R8" s="6"/>
      <c r="S8" s="6">
        <v>55.0</v>
      </c>
      <c r="T8" s="18"/>
      <c r="U8" s="6"/>
      <c r="V8" s="18"/>
    </row>
    <row r="9">
      <c r="A9" s="6" t="s">
        <v>61</v>
      </c>
      <c r="B9" s="18"/>
      <c r="C9" s="18"/>
      <c r="D9" s="18"/>
      <c r="E9" s="23" t="s">
        <v>62</v>
      </c>
      <c r="F9" s="34">
        <f t="shared" si="1"/>
        <v>130</v>
      </c>
      <c r="G9" s="27"/>
      <c r="H9" s="18"/>
      <c r="I9" s="29">
        <f>IF(OR($A$1="Jun",$A$1="Aug",$A$1="Oct"),90,IF(OR($A$1="Apr",$A$1="Dec"),130,IF($A$1="Feb",200,0)))</f>
        <v>130</v>
      </c>
      <c r="J9" s="50"/>
      <c r="K9" s="57" t="s">
        <v>64</v>
      </c>
      <c r="L9" s="61">
        <f>SUM(L3:L8)</f>
        <v>1078.55</v>
      </c>
      <c r="M9" s="157" t="s">
        <v>66</v>
      </c>
      <c r="N9" s="158">
        <f>SUM(N2:N7)</f>
        <v>51.75</v>
      </c>
      <c r="O9" s="18"/>
      <c r="P9" s="156">
        <v>2.35</v>
      </c>
      <c r="Q9" s="6">
        <v>308.96</v>
      </c>
      <c r="R9" s="18"/>
      <c r="S9" s="18"/>
      <c r="T9" s="18"/>
      <c r="U9" s="6"/>
      <c r="V9" s="18"/>
    </row>
    <row r="10">
      <c r="A10" s="6" t="s">
        <v>68</v>
      </c>
      <c r="B10" s="18"/>
      <c r="C10" s="18"/>
      <c r="D10" s="18"/>
      <c r="E10" s="68" t="s">
        <v>70</v>
      </c>
      <c r="F10" s="34">
        <f t="shared" si="1"/>
        <v>89</v>
      </c>
      <c r="G10" s="34"/>
      <c r="H10" s="18"/>
      <c r="I10" s="70">
        <f>79+10</f>
        <v>89</v>
      </c>
      <c r="J10" s="72"/>
      <c r="K10" s="4" t="s">
        <v>29</v>
      </c>
      <c r="L10" s="18">
        <f>F3</f>
        <v>550.93</v>
      </c>
      <c r="M10" s="88"/>
      <c r="N10" s="88"/>
      <c r="O10" s="18"/>
      <c r="P10" s="156">
        <v>16.95</v>
      </c>
      <c r="Q10" s="6">
        <v>79.0</v>
      </c>
      <c r="R10" s="18"/>
      <c r="S10" s="18"/>
      <c r="T10" s="18"/>
      <c r="U10" s="6"/>
      <c r="V10" s="18"/>
    </row>
    <row r="11">
      <c r="A11" s="6" t="s">
        <v>2</v>
      </c>
      <c r="B11" s="18"/>
      <c r="C11" s="18"/>
      <c r="D11" s="6"/>
      <c r="E11" s="23" t="s">
        <v>72</v>
      </c>
      <c r="F11" s="34">
        <f t="shared" si="1"/>
        <v>1078.55</v>
      </c>
      <c r="G11" s="27">
        <f>L3</f>
        <v>47.36</v>
      </c>
      <c r="H11" s="18">
        <f>L4+L5</f>
        <v>370.86</v>
      </c>
      <c r="I11" s="29">
        <f>SUM(L6:L8)</f>
        <v>660.33</v>
      </c>
      <c r="J11" s="25"/>
      <c r="K11" s="57" t="s">
        <v>66</v>
      </c>
      <c r="L11" s="61">
        <f>L9+L10</f>
        <v>1629.48</v>
      </c>
      <c r="M11" s="88"/>
      <c r="N11" s="88"/>
      <c r="O11" s="18"/>
      <c r="P11" s="156">
        <v>5.15</v>
      </c>
      <c r="Q11" s="6">
        <v>16.99</v>
      </c>
      <c r="R11" s="18"/>
      <c r="S11" s="18"/>
      <c r="T11" s="18"/>
      <c r="U11" s="6"/>
      <c r="V11" s="18"/>
    </row>
    <row r="12">
      <c r="A12" s="6" t="s">
        <v>3</v>
      </c>
      <c r="B12" s="18"/>
      <c r="C12" s="18"/>
      <c r="D12" s="18"/>
      <c r="E12" s="68" t="s">
        <v>73</v>
      </c>
      <c r="F12" s="34">
        <f t="shared" si="1"/>
        <v>0</v>
      </c>
      <c r="G12" s="27"/>
      <c r="H12" s="18"/>
      <c r="I12" s="70">
        <f>IF(OR($A$1="Jan",$A$1="Mar",$A$1="May",$A$1="Jul",$A$1="Sep",$A$1="Nov",),50,0)</f>
        <v>0</v>
      </c>
      <c r="J12" s="72"/>
      <c r="K12" s="115"/>
      <c r="L12" s="159"/>
      <c r="M12" s="88"/>
      <c r="N12" s="88"/>
      <c r="O12" s="18"/>
      <c r="P12" s="156">
        <v>28.05</v>
      </c>
      <c r="Q12" s="6">
        <v>13.99</v>
      </c>
      <c r="R12" s="18"/>
      <c r="S12" s="18"/>
      <c r="T12" s="18"/>
      <c r="U12" s="6"/>
      <c r="V12" s="18"/>
    </row>
    <row r="13">
      <c r="A13" s="6" t="s">
        <v>74</v>
      </c>
      <c r="B13" s="6"/>
      <c r="C13" s="18"/>
      <c r="D13" s="18"/>
      <c r="E13" s="68" t="s">
        <v>10</v>
      </c>
      <c r="F13" s="34">
        <f t="shared" si="1"/>
        <v>51.75</v>
      </c>
      <c r="G13" s="27"/>
      <c r="H13" s="6"/>
      <c r="I13" s="70">
        <f>SUM(N2:N7)</f>
        <v>51.75</v>
      </c>
      <c r="J13" s="25"/>
      <c r="K13" s="88"/>
      <c r="L13" s="88"/>
      <c r="M13" s="88"/>
      <c r="N13" s="88"/>
      <c r="O13" s="18"/>
      <c r="P13" s="156">
        <v>6.64</v>
      </c>
      <c r="Q13" s="6">
        <v>87.0</v>
      </c>
      <c r="R13" s="18"/>
      <c r="S13" s="18"/>
      <c r="T13" s="18"/>
      <c r="U13" s="6"/>
      <c r="V13" s="18"/>
    </row>
    <row r="14">
      <c r="A14" s="4" t="s">
        <v>76</v>
      </c>
      <c r="B14" s="18"/>
      <c r="C14" s="18"/>
      <c r="D14" s="6"/>
      <c r="E14" s="82" t="s">
        <v>78</v>
      </c>
      <c r="F14" s="34">
        <f t="shared" si="1"/>
        <v>60</v>
      </c>
      <c r="G14" s="18"/>
      <c r="H14" s="18"/>
      <c r="I14" s="83">
        <v>60.0</v>
      </c>
      <c r="J14" s="25"/>
      <c r="K14" s="4" t="s">
        <v>79</v>
      </c>
      <c r="M14" s="4"/>
      <c r="N14" s="4"/>
      <c r="O14" s="18"/>
      <c r="P14" s="6">
        <v>1.45</v>
      </c>
      <c r="Q14" s="6">
        <v>198.0</v>
      </c>
      <c r="R14" s="18"/>
      <c r="S14" s="18"/>
      <c r="T14" s="18"/>
      <c r="U14" s="18"/>
      <c r="V14" s="18"/>
    </row>
    <row r="15">
      <c r="A15" s="6" t="s">
        <v>80</v>
      </c>
      <c r="B15" s="18"/>
      <c r="C15" s="18"/>
      <c r="D15" s="18"/>
      <c r="E15" s="23" t="s">
        <v>81</v>
      </c>
      <c r="F15" s="34">
        <f t="shared" si="1"/>
        <v>121.82</v>
      </c>
      <c r="G15" s="27"/>
      <c r="H15" s="6"/>
      <c r="I15" s="29">
        <f>L20+L19</f>
        <v>121.82</v>
      </c>
      <c r="J15" s="4"/>
      <c r="K15" s="4" t="s">
        <v>82</v>
      </c>
      <c r="L15" s="18">
        <f>IF(OR($A$1="Feb",$A$1="May",$A$1="Aug",$A$1="Nov"),88.27,0)</f>
        <v>0</v>
      </c>
      <c r="M15" s="4"/>
      <c r="N15" s="4"/>
      <c r="O15" s="18"/>
      <c r="P15" s="6">
        <v>2.05</v>
      </c>
      <c r="Q15" s="6">
        <v>121.82</v>
      </c>
      <c r="R15" s="18"/>
      <c r="S15" s="18"/>
      <c r="T15" s="18"/>
      <c r="U15" s="18"/>
      <c r="V15" s="18"/>
    </row>
    <row r="16">
      <c r="A16" s="6" t="s">
        <v>66</v>
      </c>
      <c r="B16" s="6">
        <f>SUM(B3:B15)+C16</f>
        <v>-1523.5</v>
      </c>
      <c r="C16" s="6">
        <f>SUM(C3:C15)</f>
        <v>1782.63</v>
      </c>
      <c r="D16" s="6"/>
      <c r="E16" s="68" t="s">
        <v>84</v>
      </c>
      <c r="F16" s="34">
        <f t="shared" si="1"/>
        <v>146.9</v>
      </c>
      <c r="G16" s="27"/>
      <c r="H16" s="6"/>
      <c r="I16" s="70">
        <f>IF($A$1="Feb",60.97,59.9) + 87</f>
        <v>146.9</v>
      </c>
      <c r="J16" s="4"/>
      <c r="K16" s="4" t="s">
        <v>67</v>
      </c>
      <c r="L16" s="18">
        <f>IF(OR($A$1="Feb",$A$1="May",$A$1="Aug",$A$1="Nov"),(39.15+82.31),0)</f>
        <v>0</v>
      </c>
      <c r="M16" s="4"/>
      <c r="N16" s="4"/>
      <c r="O16" s="18"/>
      <c r="P16" s="6">
        <v>1.45</v>
      </c>
      <c r="Q16" s="6">
        <v>111.55</v>
      </c>
      <c r="R16" s="18"/>
      <c r="S16" s="18"/>
      <c r="T16" s="18"/>
      <c r="U16" s="18"/>
      <c r="V16" s="18"/>
    </row>
    <row r="17">
      <c r="A17" s="18"/>
      <c r="B17" s="88"/>
      <c r="C17" s="88"/>
      <c r="D17" s="6"/>
      <c r="E17" s="82" t="s">
        <v>82</v>
      </c>
      <c r="F17" s="34">
        <f t="shared" si="1"/>
        <v>0</v>
      </c>
      <c r="G17" s="75"/>
      <c r="H17" s="6"/>
      <c r="I17" s="29">
        <f t="shared" ref="I17:I20" si="2">L15</f>
        <v>0</v>
      </c>
      <c r="J17" s="25"/>
      <c r="K17" s="4" t="s">
        <v>89</v>
      </c>
      <c r="L17" s="6">
        <f>IF($A$1="May",150.93,0)</f>
        <v>0</v>
      </c>
      <c r="M17" s="4"/>
      <c r="N17" s="113"/>
      <c r="O17" s="18"/>
      <c r="P17" s="6">
        <v>53.35</v>
      </c>
      <c r="Q17" s="6">
        <v>7.99</v>
      </c>
      <c r="R17" s="18"/>
      <c r="S17" s="18"/>
      <c r="T17" s="18"/>
      <c r="U17" s="18"/>
      <c r="V17" s="18"/>
    </row>
    <row r="18">
      <c r="A18" s="18"/>
      <c r="B18" s="18"/>
      <c r="C18" s="18"/>
      <c r="D18" s="6"/>
      <c r="E18" s="82" t="s">
        <v>67</v>
      </c>
      <c r="F18" s="34">
        <f t="shared" si="1"/>
        <v>0</v>
      </c>
      <c r="G18" s="6"/>
      <c r="H18" s="27"/>
      <c r="I18" s="29">
        <f t="shared" si="2"/>
        <v>0</v>
      </c>
      <c r="J18" s="4"/>
      <c r="K18" s="4" t="s">
        <v>91</v>
      </c>
      <c r="L18" s="6">
        <f>IF($A$1="Apr",80,0)</f>
        <v>80</v>
      </c>
      <c r="M18" s="4"/>
      <c r="N18" s="113"/>
      <c r="O18" s="18"/>
      <c r="P18" s="156">
        <v>50.0</v>
      </c>
      <c r="Q18" s="6">
        <v>68.64</v>
      </c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82" t="s">
        <v>89</v>
      </c>
      <c r="F19" s="34">
        <f t="shared" si="1"/>
        <v>0</v>
      </c>
      <c r="G19" s="6"/>
      <c r="H19" s="18"/>
      <c r="I19" s="94">
        <f t="shared" si="2"/>
        <v>0</v>
      </c>
      <c r="J19" s="25"/>
      <c r="K19" s="4" t="s">
        <v>92</v>
      </c>
      <c r="L19" s="6">
        <f>IF($A$1="Sep",449.58,0)</f>
        <v>0</v>
      </c>
      <c r="M19" s="4"/>
      <c r="N19" s="4"/>
      <c r="O19" s="18"/>
      <c r="P19" s="156">
        <v>97.23</v>
      </c>
      <c r="Q19" s="6">
        <v>10.99</v>
      </c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82" t="s">
        <v>94</v>
      </c>
      <c r="F20" s="34">
        <f t="shared" si="1"/>
        <v>80</v>
      </c>
      <c r="G20" s="75"/>
      <c r="H20" s="75"/>
      <c r="I20" s="29">
        <f t="shared" si="2"/>
        <v>80</v>
      </c>
      <c r="J20" s="4"/>
      <c r="K20" s="4" t="s">
        <v>95</v>
      </c>
      <c r="L20" s="6">
        <f>IF($A$1="Jan",126.66,IF(OR($A$1="Feb",$A$1="Apr"),121.82,0))</f>
        <v>121.82</v>
      </c>
      <c r="M20" s="88"/>
      <c r="N20" s="88"/>
      <c r="O20" s="18"/>
      <c r="P20" s="156">
        <v>123.22</v>
      </c>
      <c r="Q20" s="6">
        <v>10.0</v>
      </c>
      <c r="R20" s="18"/>
      <c r="S20" s="18"/>
      <c r="T20" s="18"/>
      <c r="U20" s="18"/>
      <c r="V20" s="18"/>
    </row>
    <row r="21">
      <c r="A21" s="4"/>
      <c r="B21" s="18"/>
      <c r="C21" s="6"/>
      <c r="D21" s="18"/>
      <c r="E21" s="82" t="s">
        <v>96</v>
      </c>
      <c r="F21" s="34">
        <f t="shared" si="1"/>
        <v>412.37</v>
      </c>
      <c r="G21" s="27"/>
      <c r="H21" s="27"/>
      <c r="I21" s="83">
        <f>IF($A$1="Apr",108.86+54.29+17.58+41.05+190.59,0)</f>
        <v>412.37</v>
      </c>
      <c r="J21" s="88"/>
      <c r="K21" s="88"/>
      <c r="L21" s="88"/>
      <c r="M21" s="88"/>
      <c r="N21" s="88"/>
      <c r="O21" s="18"/>
      <c r="P21" s="156">
        <v>3.62</v>
      </c>
      <c r="Q21" s="6">
        <v>550.93</v>
      </c>
      <c r="R21" s="18"/>
      <c r="S21" s="18"/>
      <c r="T21" s="18"/>
      <c r="U21" s="18"/>
      <c r="V21" s="18"/>
    </row>
    <row r="22">
      <c r="A22" s="18"/>
      <c r="B22" s="6"/>
      <c r="C22" s="6"/>
      <c r="D22" s="18"/>
      <c r="E22" s="82" t="s">
        <v>99</v>
      </c>
      <c r="F22" s="34">
        <f t="shared" si="1"/>
        <v>21.73</v>
      </c>
      <c r="G22" s="6">
        <v>21.73</v>
      </c>
      <c r="H22" s="6"/>
      <c r="I22" s="83">
        <f>IF($A$1="Jun",330,0)</f>
        <v>0</v>
      </c>
      <c r="J22" s="50"/>
      <c r="K22" s="88"/>
      <c r="L22" s="88"/>
      <c r="M22" s="88"/>
      <c r="N22" s="88"/>
      <c r="O22" s="18"/>
      <c r="P22" s="6">
        <v>44.0</v>
      </c>
      <c r="Q22" s="6"/>
      <c r="R22" s="18"/>
      <c r="S22" s="18"/>
      <c r="T22" s="18"/>
      <c r="U22" s="18"/>
      <c r="V22" s="18"/>
    </row>
    <row r="23">
      <c r="A23" s="18"/>
      <c r="B23" s="6"/>
      <c r="C23" s="6"/>
      <c r="D23" s="18"/>
      <c r="E23" s="82" t="s">
        <v>100</v>
      </c>
      <c r="F23" s="34">
        <f t="shared" si="1"/>
        <v>0</v>
      </c>
      <c r="G23" s="6"/>
      <c r="H23" s="6"/>
      <c r="I23" s="83">
        <f>IF(OR($A$1="May",$A$1="Jul"),600,0)</f>
        <v>0</v>
      </c>
      <c r="J23" s="50"/>
      <c r="K23" s="88"/>
      <c r="L23" s="88"/>
      <c r="M23" s="88"/>
      <c r="N23" s="88"/>
      <c r="O23" s="18"/>
      <c r="P23" s="6">
        <v>50.76</v>
      </c>
      <c r="Q23" s="6"/>
      <c r="R23" s="18"/>
      <c r="S23" s="18"/>
      <c r="T23" s="18"/>
      <c r="U23" s="18"/>
      <c r="V23" s="18"/>
    </row>
    <row r="24">
      <c r="A24" s="18"/>
      <c r="B24" s="6"/>
      <c r="C24" s="18"/>
      <c r="D24" s="18"/>
      <c r="E24" s="102" t="s">
        <v>101</v>
      </c>
      <c r="F24" s="103">
        <f t="shared" si="1"/>
        <v>0</v>
      </c>
      <c r="G24" s="104"/>
      <c r="H24" s="104"/>
      <c r="I24" s="106">
        <f>IF(OR($A$1="Jan",$A$1="Jun",$A$1="Aug",$A$1="Oct",$A$1="Dic"),100,IF($A$1="Mar",300,IF(OR($A$1="Feb",$A$1="Apr"),0,200)))</f>
        <v>0</v>
      </c>
      <c r="J24" s="4"/>
      <c r="K24" s="88"/>
      <c r="L24" s="88"/>
      <c r="M24" s="88"/>
      <c r="N24" s="88"/>
      <c r="O24" s="88"/>
      <c r="P24" s="6">
        <v>13.0</v>
      </c>
      <c r="Q24" s="6"/>
      <c r="R24" s="18"/>
      <c r="S24" s="18"/>
      <c r="T24" s="18"/>
      <c r="U24" s="18"/>
      <c r="V24" s="18"/>
    </row>
    <row r="25">
      <c r="A25" s="107"/>
      <c r="B25" s="6"/>
      <c r="C25" s="18"/>
      <c r="D25" s="18"/>
      <c r="E25" s="108" t="s">
        <v>142</v>
      </c>
      <c r="F25" s="111">
        <f t="shared" ref="F25:I25" si="3">SUM(F3:F24)</f>
        <v>3305.98</v>
      </c>
      <c r="G25" s="111">
        <f t="shared" si="3"/>
        <v>139.09</v>
      </c>
      <c r="H25" s="111">
        <f t="shared" si="3"/>
        <v>370.86</v>
      </c>
      <c r="I25" s="114">
        <f t="shared" si="3"/>
        <v>2796.03</v>
      </c>
      <c r="J25" s="4"/>
      <c r="K25" s="115"/>
      <c r="L25" s="116"/>
      <c r="M25" s="115"/>
      <c r="N25" s="117"/>
      <c r="O25" s="88"/>
      <c r="P25" s="6">
        <v>60.0</v>
      </c>
      <c r="Q25" s="18"/>
      <c r="R25" s="18"/>
      <c r="S25" s="18"/>
      <c r="T25" s="18"/>
      <c r="U25" s="18"/>
      <c r="V25" s="18"/>
    </row>
    <row r="26">
      <c r="A26" s="107"/>
      <c r="B26" s="18"/>
      <c r="C26" s="18"/>
      <c r="D26" s="18"/>
      <c r="E26" s="126" t="s">
        <v>143</v>
      </c>
      <c r="F26" s="127">
        <f>G26+I26+H26</f>
        <v>1174</v>
      </c>
      <c r="G26" s="121">
        <v>0.91</v>
      </c>
      <c r="H26" s="121">
        <v>0.31</v>
      </c>
      <c r="I26" s="122">
        <v>1172.78</v>
      </c>
      <c r="J26" s="18"/>
      <c r="K26" s="18"/>
      <c r="L26" s="18"/>
      <c r="M26" s="88"/>
      <c r="N26" s="88"/>
      <c r="O26" s="88"/>
      <c r="P26" s="27">
        <v>2.6</v>
      </c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32" t="s">
        <v>144</v>
      </c>
      <c r="F27" s="133">
        <f t="shared" ref="F27:I27" si="4">SUM(F25:F26)</f>
        <v>4479.98</v>
      </c>
      <c r="G27" s="133">
        <f t="shared" si="4"/>
        <v>140</v>
      </c>
      <c r="H27" s="133">
        <f t="shared" si="4"/>
        <v>371.17</v>
      </c>
      <c r="I27" s="134">
        <f t="shared" si="4"/>
        <v>3968.81</v>
      </c>
      <c r="J27" s="88"/>
      <c r="K27" s="88"/>
      <c r="L27" s="18"/>
      <c r="M27" s="88"/>
      <c r="N27" s="88"/>
      <c r="O27" s="88"/>
      <c r="P27" s="6">
        <v>43.23</v>
      </c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08" t="s">
        <v>106</v>
      </c>
      <c r="F28" s="111">
        <f t="shared" ref="F28:F29" si="6">G28+H28+I28</f>
        <v>3032.95</v>
      </c>
      <c r="G28" s="111">
        <f t="shared" ref="G28:H28" si="5">SUM(R2:R6)</f>
        <v>121.6</v>
      </c>
      <c r="H28" s="111">
        <f t="shared" si="5"/>
        <v>370.86</v>
      </c>
      <c r="I28" s="114">
        <f>SUM(Q2:Q31)</f>
        <v>2540.49</v>
      </c>
      <c r="J28" s="88"/>
      <c r="K28" s="4"/>
      <c r="L28" s="18"/>
      <c r="M28" s="4"/>
      <c r="N28" s="4"/>
      <c r="O28" s="4"/>
      <c r="P28" s="6">
        <v>16.0</v>
      </c>
      <c r="Q28" s="18"/>
      <c r="R28" s="18"/>
      <c r="S28" s="18"/>
      <c r="T28" s="18"/>
      <c r="U28" s="18"/>
      <c r="V28" s="18"/>
    </row>
    <row r="29">
      <c r="A29" s="88"/>
      <c r="B29" s="18"/>
      <c r="C29" s="18"/>
      <c r="D29" s="18"/>
      <c r="E29" s="126" t="s">
        <v>107</v>
      </c>
      <c r="F29" s="127">
        <f t="shared" si="6"/>
        <v>2226.68</v>
      </c>
      <c r="G29" s="129">
        <f t="shared" ref="G29:H29" si="7">SUM(R8:R20)</f>
        <v>0</v>
      </c>
      <c r="H29" s="129">
        <f t="shared" si="7"/>
        <v>55</v>
      </c>
      <c r="I29" s="130">
        <f>SUM(P2:P51)</f>
        <v>2171.68</v>
      </c>
      <c r="J29" s="88"/>
      <c r="K29" s="4"/>
      <c r="L29" s="18"/>
      <c r="M29" s="4"/>
      <c r="N29" s="4"/>
      <c r="O29" s="4"/>
      <c r="P29" s="6">
        <v>234.31</v>
      </c>
      <c r="Q29" s="18"/>
      <c r="R29" s="18"/>
      <c r="S29" s="18"/>
      <c r="T29" s="18"/>
      <c r="U29" s="18"/>
      <c r="V29" s="18"/>
    </row>
    <row r="30">
      <c r="A30" s="88"/>
      <c r="B30" s="6"/>
      <c r="C30" s="18"/>
      <c r="D30" s="18"/>
      <c r="E30" s="132" t="s">
        <v>108</v>
      </c>
      <c r="F30" s="133">
        <f t="shared" ref="F30:I30" si="8">SUM(F28:F29)</f>
        <v>5259.63</v>
      </c>
      <c r="G30" s="133">
        <f t="shared" si="8"/>
        <v>121.6</v>
      </c>
      <c r="H30" s="133">
        <f t="shared" si="8"/>
        <v>425.86</v>
      </c>
      <c r="I30" s="134">
        <f t="shared" si="8"/>
        <v>4712.17</v>
      </c>
      <c r="J30" s="88"/>
      <c r="K30" s="4"/>
      <c r="L30" s="6"/>
      <c r="M30" s="4"/>
      <c r="N30" s="4"/>
      <c r="O30" s="4"/>
      <c r="P30" s="6">
        <v>40.5</v>
      </c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6"/>
      <c r="E31" s="108" t="s">
        <v>109</v>
      </c>
      <c r="F31" s="111">
        <f t="shared" ref="F31:F32" si="10">G31+H31+I31</f>
        <v>273.03</v>
      </c>
      <c r="G31" s="111">
        <f t="shared" ref="G31:I31" si="9">G25-G28</f>
        <v>17.49</v>
      </c>
      <c r="H31" s="111">
        <f t="shared" si="9"/>
        <v>0</v>
      </c>
      <c r="I31" s="114">
        <f t="shared" si="9"/>
        <v>255.54</v>
      </c>
      <c r="J31" s="88"/>
      <c r="K31" s="4"/>
      <c r="L31" s="6"/>
      <c r="M31" s="4"/>
      <c r="N31" s="113"/>
      <c r="O31" s="113"/>
      <c r="P31" s="6">
        <v>5.34</v>
      </c>
      <c r="Q31" s="18"/>
      <c r="R31" s="18"/>
      <c r="S31" s="18"/>
      <c r="T31" s="18"/>
      <c r="U31" s="18"/>
      <c r="V31" s="18"/>
    </row>
    <row r="32">
      <c r="A32" s="18"/>
      <c r="B32" s="135"/>
      <c r="C32" s="135"/>
      <c r="D32" s="88"/>
      <c r="E32" s="126" t="s">
        <v>110</v>
      </c>
      <c r="F32" s="127">
        <f t="shared" si="10"/>
        <v>-1052.68</v>
      </c>
      <c r="G32" s="129">
        <f t="shared" ref="G32:I32" si="11">G26-G29</f>
        <v>0.91</v>
      </c>
      <c r="H32" s="129">
        <f t="shared" si="11"/>
        <v>-54.69</v>
      </c>
      <c r="I32" s="130">
        <f t="shared" si="11"/>
        <v>-998.9</v>
      </c>
      <c r="J32" s="88"/>
      <c r="K32" s="4"/>
      <c r="L32" s="6"/>
      <c r="M32" s="4"/>
      <c r="N32" s="113"/>
      <c r="O32" s="113"/>
      <c r="P32" s="6">
        <v>41.12</v>
      </c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88"/>
      <c r="E33" s="132" t="s">
        <v>66</v>
      </c>
      <c r="F33" s="133">
        <f t="shared" ref="F33:I33" si="12">SUM(F31:F32)</f>
        <v>-779.65</v>
      </c>
      <c r="G33" s="133">
        <f t="shared" si="12"/>
        <v>18.4</v>
      </c>
      <c r="H33" s="133">
        <f t="shared" si="12"/>
        <v>-54.69</v>
      </c>
      <c r="I33" s="134">
        <f t="shared" si="12"/>
        <v>-743.36</v>
      </c>
      <c r="J33" s="88"/>
      <c r="K33" s="4"/>
      <c r="L33" s="6"/>
      <c r="M33" s="4"/>
      <c r="N33" s="4"/>
      <c r="O33" s="4"/>
      <c r="P33" s="6">
        <v>39.99</v>
      </c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4" t="s">
        <v>111</v>
      </c>
      <c r="F34" s="18">
        <f>G34+I34+H34</f>
        <v>3736.13</v>
      </c>
      <c r="G34" s="6">
        <v>129.54</v>
      </c>
      <c r="H34" s="6">
        <v>187.96</v>
      </c>
      <c r="I34" s="6">
        <v>3418.63</v>
      </c>
      <c r="J34" s="88"/>
      <c r="K34" s="88"/>
      <c r="L34" s="18"/>
      <c r="M34" s="88"/>
      <c r="N34" s="88"/>
      <c r="O34" s="18"/>
      <c r="P34" s="6">
        <v>129.99</v>
      </c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4" t="s">
        <v>112</v>
      </c>
      <c r="F35" s="18">
        <f t="shared" ref="F35:I35" si="13">F34-F27</f>
        <v>-743.85</v>
      </c>
      <c r="G35" s="6">
        <f t="shared" si="13"/>
        <v>-10.46</v>
      </c>
      <c r="H35" s="6">
        <f t="shared" si="13"/>
        <v>-183.21</v>
      </c>
      <c r="I35" s="6">
        <f t="shared" si="13"/>
        <v>-550.18</v>
      </c>
      <c r="J35" s="88"/>
      <c r="K35" s="88"/>
      <c r="L35" s="18"/>
      <c r="M35" s="6"/>
      <c r="N35" s="18"/>
      <c r="O35" s="18"/>
      <c r="P35" s="6">
        <v>28.0</v>
      </c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4" t="s">
        <v>113</v>
      </c>
      <c r="F36" s="18">
        <f t="shared" ref="F36:I36" si="14">F34-F30</f>
        <v>-1523.5</v>
      </c>
      <c r="G36" s="18">
        <f t="shared" si="14"/>
        <v>7.94</v>
      </c>
      <c r="H36" s="18">
        <f t="shared" si="14"/>
        <v>-237.9</v>
      </c>
      <c r="I36" s="18">
        <f t="shared" si="14"/>
        <v>-1293.54</v>
      </c>
      <c r="J36" s="88"/>
      <c r="K36" s="88"/>
      <c r="L36" s="18"/>
      <c r="M36" s="18"/>
      <c r="N36" s="18"/>
      <c r="O36" s="18"/>
      <c r="P36" s="6">
        <v>43.96</v>
      </c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88"/>
      <c r="F37" s="88"/>
      <c r="G37" s="88"/>
      <c r="H37" s="50"/>
      <c r="I37" s="88"/>
      <c r="J37" s="88"/>
      <c r="K37" s="88"/>
      <c r="L37" s="18"/>
      <c r="M37" s="18"/>
      <c r="N37" s="18"/>
      <c r="O37" s="18"/>
      <c r="P37" s="6">
        <v>3.3</v>
      </c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88"/>
      <c r="F38" s="88"/>
      <c r="G38" s="88"/>
      <c r="H38" s="6"/>
      <c r="I38" s="88"/>
      <c r="J38" s="18"/>
      <c r="K38" s="18"/>
      <c r="L38" s="18"/>
      <c r="M38" s="18"/>
      <c r="N38" s="18"/>
      <c r="O38" s="18"/>
      <c r="P38" s="6">
        <v>97.39</v>
      </c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88"/>
      <c r="F39" s="88"/>
      <c r="G39" s="88"/>
      <c r="H39" s="18"/>
      <c r="I39" s="88"/>
      <c r="J39" s="18"/>
      <c r="K39" s="18"/>
      <c r="L39" s="18"/>
      <c r="M39" s="18"/>
      <c r="N39" s="18"/>
      <c r="O39" s="18"/>
      <c r="P39" s="6">
        <v>3.25</v>
      </c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88"/>
      <c r="F40" s="88"/>
      <c r="G40" s="88"/>
      <c r="H40" s="18"/>
      <c r="I40" s="88"/>
      <c r="J40" s="18"/>
      <c r="K40" s="18"/>
      <c r="L40" s="18"/>
      <c r="M40" s="18"/>
      <c r="N40" s="18"/>
      <c r="O40" s="18"/>
      <c r="P40" s="6">
        <v>182.38</v>
      </c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88"/>
      <c r="F41" s="88"/>
      <c r="G41" s="88"/>
      <c r="H41" s="18"/>
      <c r="I41" s="88"/>
      <c r="J41" s="18"/>
      <c r="K41" s="18"/>
      <c r="L41" s="18"/>
      <c r="M41" s="18"/>
      <c r="N41" s="18"/>
      <c r="O41" s="18"/>
      <c r="P41" s="6">
        <v>4.8</v>
      </c>
      <c r="Q41" s="88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37"/>
      <c r="F42" s="137"/>
      <c r="G42" s="18"/>
      <c r="H42" s="18"/>
      <c r="I42" s="18"/>
      <c r="J42" s="18"/>
      <c r="K42" s="18"/>
      <c r="L42" s="18"/>
      <c r="M42" s="18"/>
      <c r="N42" s="18"/>
      <c r="O42" s="18"/>
      <c r="P42" s="6">
        <v>56.99</v>
      </c>
      <c r="Q42" s="88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37"/>
      <c r="F43" s="137"/>
      <c r="G43" s="18"/>
      <c r="H43" s="18"/>
      <c r="I43" s="18"/>
      <c r="J43" s="18"/>
      <c r="K43" s="18"/>
      <c r="L43" s="18"/>
      <c r="M43" s="18"/>
      <c r="N43" s="18"/>
      <c r="O43" s="18"/>
      <c r="P43" s="6">
        <v>106.94</v>
      </c>
      <c r="Q43" s="88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37"/>
      <c r="F44" s="137"/>
      <c r="G44" s="18"/>
      <c r="H44" s="18"/>
      <c r="I44" s="18"/>
      <c r="J44" s="18"/>
      <c r="K44" s="18"/>
      <c r="L44" s="18"/>
      <c r="M44" s="18"/>
      <c r="N44" s="18"/>
      <c r="O44" s="18"/>
      <c r="P44" s="6">
        <v>33.98</v>
      </c>
      <c r="Q44" s="88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37"/>
      <c r="F45" s="137"/>
      <c r="G45" s="18"/>
      <c r="H45" s="18"/>
      <c r="I45" s="18"/>
      <c r="J45" s="18"/>
      <c r="K45" s="18"/>
      <c r="L45" s="18"/>
      <c r="M45" s="18"/>
      <c r="N45" s="18"/>
      <c r="O45" s="18"/>
      <c r="P45" s="6">
        <v>18.99</v>
      </c>
      <c r="Q45" s="88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37"/>
      <c r="F46" s="137"/>
      <c r="G46" s="18"/>
      <c r="H46" s="18"/>
      <c r="I46" s="18"/>
      <c r="J46" s="18"/>
      <c r="K46" s="18"/>
      <c r="L46" s="18"/>
      <c r="M46" s="18"/>
      <c r="N46" s="18"/>
      <c r="O46" s="18"/>
      <c r="P46" s="6">
        <v>40.35</v>
      </c>
      <c r="Q46" s="88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37"/>
      <c r="F47" s="13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88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37"/>
      <c r="F48" s="13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88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37"/>
      <c r="F49" s="13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88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37"/>
      <c r="F50" s="13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37"/>
      <c r="F51" s="13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37"/>
      <c r="F52" s="13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37"/>
      <c r="F53" s="13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37"/>
      <c r="F54" s="13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37"/>
      <c r="F55" s="13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37"/>
      <c r="F56" s="13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37"/>
      <c r="F57" s="13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37"/>
      <c r="F58" s="13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37"/>
      <c r="F59" s="13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37"/>
      <c r="F60" s="13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37"/>
      <c r="F61" s="13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37"/>
      <c r="F62" s="13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37"/>
      <c r="F63" s="13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37"/>
      <c r="F64" s="13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37"/>
      <c r="F65" s="13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37"/>
      <c r="F66" s="13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37"/>
      <c r="F67" s="13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37"/>
      <c r="F68" s="13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37"/>
      <c r="F69" s="13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37"/>
      <c r="F70" s="13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37"/>
      <c r="F71" s="13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37"/>
      <c r="F72" s="13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37"/>
      <c r="F73" s="13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37"/>
      <c r="F74" s="13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37"/>
      <c r="F75" s="13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37"/>
      <c r="F76" s="13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37"/>
      <c r="F77" s="13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37"/>
      <c r="F78" s="13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37"/>
      <c r="F79" s="13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37"/>
      <c r="F80" s="13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37"/>
      <c r="F81" s="13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37"/>
      <c r="F82" s="13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37"/>
      <c r="F83" s="13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37"/>
      <c r="F84" s="13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37"/>
      <c r="F85" s="13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37"/>
      <c r="F86" s="13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37"/>
      <c r="F87" s="13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37"/>
      <c r="F88" s="13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37"/>
      <c r="F89" s="13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37"/>
      <c r="F90" s="13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37"/>
      <c r="F91" s="13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37"/>
      <c r="F92" s="13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37"/>
      <c r="F93" s="13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37"/>
      <c r="F94" s="13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37"/>
      <c r="F95" s="13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37"/>
      <c r="F96" s="13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37"/>
      <c r="F97" s="13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37"/>
      <c r="F98" s="13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37"/>
      <c r="F99" s="13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37"/>
      <c r="F100" s="13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37"/>
      <c r="F101" s="13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37"/>
      <c r="F102" s="13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37"/>
      <c r="F103" s="13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37"/>
      <c r="F104" s="13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37"/>
      <c r="F105" s="13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37"/>
      <c r="F106" s="13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37"/>
      <c r="F107" s="13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37"/>
      <c r="F108" s="13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37"/>
      <c r="F109" s="13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37"/>
      <c r="F110" s="13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37"/>
      <c r="F111" s="13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37"/>
      <c r="F112" s="13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37"/>
      <c r="F113" s="13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37"/>
      <c r="F114" s="13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37"/>
      <c r="F115" s="13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37"/>
      <c r="F116" s="13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37"/>
      <c r="F117" s="13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37"/>
      <c r="F118" s="13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37"/>
      <c r="F119" s="13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37"/>
      <c r="F120" s="13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37"/>
      <c r="F121" s="13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37"/>
      <c r="F122" s="13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37"/>
      <c r="F123" s="13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37"/>
      <c r="F124" s="13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37"/>
      <c r="F125" s="13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37"/>
      <c r="F126" s="13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37"/>
      <c r="F127" s="13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37"/>
      <c r="F128" s="13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37"/>
      <c r="F129" s="13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37"/>
      <c r="F130" s="13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37"/>
      <c r="F131" s="13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37"/>
      <c r="F132" s="13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37"/>
      <c r="F133" s="13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37"/>
      <c r="F134" s="13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37"/>
      <c r="F135" s="13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37"/>
      <c r="F136" s="13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37"/>
      <c r="F137" s="13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37"/>
      <c r="F138" s="13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37"/>
      <c r="F139" s="13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37"/>
      <c r="F140" s="13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37"/>
      <c r="F141" s="13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37"/>
      <c r="F142" s="13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37"/>
      <c r="F143" s="13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37"/>
      <c r="F144" s="13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37"/>
      <c r="F145" s="13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37"/>
      <c r="F146" s="13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37"/>
      <c r="F147" s="13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37"/>
      <c r="F148" s="13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37"/>
      <c r="F149" s="13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37"/>
      <c r="F150" s="13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37"/>
      <c r="F151" s="13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37"/>
      <c r="F152" s="13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37"/>
      <c r="F153" s="13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37"/>
      <c r="F154" s="13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37"/>
      <c r="F155" s="13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37"/>
      <c r="F156" s="13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37"/>
      <c r="F157" s="13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37"/>
      <c r="F158" s="13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37"/>
      <c r="F159" s="13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37"/>
      <c r="F160" s="13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37"/>
      <c r="F161" s="13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37"/>
      <c r="F162" s="13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37"/>
      <c r="F163" s="13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37"/>
      <c r="F164" s="13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37"/>
      <c r="F165" s="13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37"/>
      <c r="F166" s="13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37"/>
      <c r="F167" s="13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37"/>
      <c r="F168" s="13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37"/>
      <c r="F169" s="13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37"/>
      <c r="F170" s="13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37"/>
      <c r="F171" s="13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37"/>
      <c r="F172" s="13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37"/>
      <c r="F173" s="13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37"/>
      <c r="F174" s="13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37"/>
      <c r="F175" s="13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37"/>
      <c r="F176" s="13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37"/>
      <c r="F177" s="13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37"/>
      <c r="F178" s="13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37"/>
      <c r="F179" s="13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37"/>
      <c r="F180" s="13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37"/>
      <c r="F181" s="13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37"/>
      <c r="F182" s="13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37"/>
      <c r="F183" s="13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37"/>
      <c r="F184" s="13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37"/>
      <c r="F185" s="13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37"/>
      <c r="F186" s="13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37"/>
      <c r="F187" s="13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37"/>
      <c r="F188" s="13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37"/>
      <c r="F189" s="13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37"/>
      <c r="F190" s="13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37"/>
      <c r="F191" s="13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37"/>
      <c r="F192" s="13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37"/>
      <c r="F193" s="13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37"/>
      <c r="F194" s="13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37"/>
      <c r="F195" s="13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37"/>
      <c r="F196" s="13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37"/>
      <c r="F197" s="13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37"/>
      <c r="F198" s="13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37"/>
      <c r="F199" s="13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37"/>
      <c r="F200" s="13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37"/>
      <c r="F201" s="13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37"/>
      <c r="F202" s="13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37"/>
      <c r="F203" s="13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37"/>
      <c r="F204" s="13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37"/>
      <c r="F205" s="13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37"/>
      <c r="F206" s="13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37"/>
      <c r="F207" s="13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37"/>
      <c r="F208" s="13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37"/>
      <c r="F209" s="13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37"/>
      <c r="F210" s="13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37"/>
      <c r="F211" s="13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37"/>
      <c r="F212" s="13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37"/>
      <c r="F213" s="13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37"/>
      <c r="F214" s="13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37"/>
      <c r="F215" s="13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37"/>
      <c r="F216" s="13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37"/>
      <c r="F217" s="13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37"/>
      <c r="F218" s="13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37"/>
      <c r="F219" s="13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37"/>
      <c r="F220" s="13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37"/>
      <c r="F221" s="13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37"/>
      <c r="F222" s="13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37"/>
      <c r="F223" s="13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37"/>
      <c r="F224" s="13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37"/>
      <c r="F225" s="13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37"/>
      <c r="F226" s="13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37"/>
      <c r="F227" s="13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37"/>
      <c r="F228" s="13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37"/>
      <c r="F229" s="13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37"/>
      <c r="F230" s="13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37"/>
      <c r="F231" s="13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37"/>
      <c r="F232" s="13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37"/>
      <c r="F233" s="13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37"/>
      <c r="F234" s="13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37"/>
      <c r="F235" s="13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37"/>
      <c r="F236" s="13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37"/>
      <c r="F237" s="13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37"/>
      <c r="F238" s="13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37"/>
      <c r="F239" s="13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37"/>
      <c r="F240" s="13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37"/>
      <c r="F241" s="13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37"/>
      <c r="F242" s="13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37"/>
      <c r="F243" s="13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37"/>
      <c r="F244" s="13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37"/>
      <c r="F245" s="13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37"/>
      <c r="F246" s="13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37"/>
      <c r="F247" s="13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37"/>
      <c r="F248" s="13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37"/>
      <c r="F249" s="13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37"/>
      <c r="F250" s="13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37"/>
      <c r="F251" s="13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37"/>
      <c r="F252" s="13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37"/>
      <c r="F253" s="13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37"/>
      <c r="F254" s="13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37"/>
      <c r="F255" s="13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37"/>
      <c r="F256" s="13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37"/>
      <c r="F257" s="13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37"/>
      <c r="F258" s="13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37"/>
      <c r="F259" s="13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37"/>
      <c r="F260" s="13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37"/>
      <c r="F261" s="13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37"/>
      <c r="F262" s="13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37"/>
      <c r="F263" s="13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37"/>
      <c r="F264" s="13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37"/>
      <c r="F265" s="13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37"/>
      <c r="F266" s="13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37"/>
      <c r="F267" s="13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37"/>
      <c r="F268" s="13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37"/>
      <c r="F269" s="13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37"/>
      <c r="F270" s="13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37"/>
      <c r="F271" s="13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37"/>
      <c r="F272" s="13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37"/>
      <c r="F273" s="13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37"/>
      <c r="F274" s="13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37"/>
      <c r="F275" s="13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37"/>
      <c r="F276" s="13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37"/>
      <c r="F277" s="13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37"/>
      <c r="F278" s="13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37"/>
      <c r="F279" s="13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37"/>
      <c r="F280" s="13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37"/>
      <c r="F281" s="13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37"/>
      <c r="F282" s="13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37"/>
      <c r="F283" s="13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37"/>
      <c r="F284" s="13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37"/>
      <c r="F285" s="13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37"/>
      <c r="F286" s="13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37"/>
      <c r="F287" s="13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37"/>
      <c r="F288" s="13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37"/>
      <c r="F289" s="13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37"/>
      <c r="F290" s="13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37"/>
      <c r="F291" s="13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37"/>
      <c r="F292" s="13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37"/>
      <c r="F293" s="13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37"/>
      <c r="F294" s="13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37"/>
      <c r="F295" s="13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37"/>
      <c r="F296" s="13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37"/>
      <c r="F297" s="13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37"/>
      <c r="F298" s="13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37"/>
      <c r="F299" s="13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37"/>
      <c r="F300" s="13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37"/>
      <c r="F301" s="13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37"/>
      <c r="F302" s="13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37"/>
      <c r="F303" s="13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37"/>
      <c r="F304" s="13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37"/>
      <c r="F305" s="13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37"/>
      <c r="F306" s="13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37"/>
      <c r="F307" s="13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37"/>
      <c r="F308" s="13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37"/>
      <c r="F309" s="13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37"/>
      <c r="F310" s="13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37"/>
      <c r="F311" s="13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37"/>
      <c r="F312" s="13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37"/>
      <c r="F313" s="13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37"/>
      <c r="F314" s="13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37"/>
      <c r="F315" s="13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37"/>
      <c r="F316" s="13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37"/>
      <c r="F317" s="13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37"/>
      <c r="F318" s="13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37"/>
      <c r="F319" s="13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37"/>
      <c r="F320" s="13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37"/>
      <c r="F321" s="13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37"/>
      <c r="F322" s="13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37"/>
      <c r="F323" s="13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37"/>
      <c r="F324" s="13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37"/>
      <c r="F325" s="13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37"/>
      <c r="F326" s="13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37"/>
      <c r="F327" s="13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37"/>
      <c r="F328" s="13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37"/>
      <c r="F329" s="13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37"/>
      <c r="F330" s="13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37"/>
      <c r="F331" s="13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37"/>
      <c r="F332" s="13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37"/>
      <c r="F333" s="13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37"/>
      <c r="F334" s="13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37"/>
      <c r="F335" s="13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37"/>
      <c r="F336" s="13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37"/>
      <c r="F337" s="13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37"/>
      <c r="F338" s="13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37"/>
      <c r="F339" s="13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37"/>
      <c r="F340" s="13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37"/>
      <c r="F341" s="13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37"/>
      <c r="F342" s="13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37"/>
      <c r="F343" s="13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37"/>
      <c r="F344" s="13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37"/>
      <c r="F345" s="13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37"/>
      <c r="F346" s="13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37"/>
      <c r="F347" s="13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37"/>
      <c r="F348" s="13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37"/>
      <c r="F349" s="13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37"/>
      <c r="F350" s="13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37"/>
      <c r="F351" s="13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37"/>
      <c r="F352" s="13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37"/>
      <c r="F353" s="13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37"/>
      <c r="F354" s="13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37"/>
      <c r="F355" s="13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37"/>
      <c r="F356" s="13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37"/>
      <c r="F357" s="13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37"/>
      <c r="F358" s="13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37"/>
      <c r="F359" s="13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37"/>
      <c r="F360" s="13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37"/>
      <c r="F361" s="13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37"/>
      <c r="F362" s="13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37"/>
      <c r="F363" s="13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37"/>
      <c r="F364" s="13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37"/>
      <c r="F365" s="13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37"/>
      <c r="F366" s="13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37"/>
      <c r="F367" s="13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37"/>
      <c r="F368" s="13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37"/>
      <c r="F369" s="13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37"/>
      <c r="F370" s="13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37"/>
      <c r="F371" s="13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37"/>
      <c r="F372" s="13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37"/>
      <c r="F373" s="13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37"/>
      <c r="F374" s="13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37"/>
      <c r="F375" s="13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37"/>
      <c r="F376" s="13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37"/>
      <c r="F377" s="13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37"/>
      <c r="F378" s="13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37"/>
      <c r="F379" s="13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37"/>
      <c r="F380" s="13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37"/>
      <c r="F381" s="13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37"/>
      <c r="F382" s="13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37"/>
      <c r="F383" s="13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37"/>
      <c r="F384" s="13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37"/>
      <c r="F385" s="13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37"/>
      <c r="F386" s="13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37"/>
      <c r="F387" s="13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37"/>
      <c r="F388" s="13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37"/>
      <c r="F389" s="13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37"/>
      <c r="F390" s="13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37"/>
      <c r="F391" s="13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37"/>
      <c r="F392" s="13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37"/>
      <c r="F393" s="13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37"/>
      <c r="F394" s="13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37"/>
      <c r="F395" s="13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37"/>
      <c r="F396" s="13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37"/>
      <c r="F397" s="13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37"/>
      <c r="F398" s="13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37"/>
      <c r="F399" s="13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37"/>
      <c r="F400" s="13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37"/>
      <c r="F401" s="13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37"/>
      <c r="F402" s="13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37"/>
      <c r="F403" s="13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37"/>
      <c r="F404" s="13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37"/>
      <c r="F405" s="13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37"/>
      <c r="F406" s="13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37"/>
      <c r="F407" s="13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37"/>
      <c r="F408" s="13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37"/>
      <c r="F409" s="13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37"/>
      <c r="F410" s="13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37"/>
      <c r="F411" s="13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37"/>
      <c r="F412" s="13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37"/>
      <c r="F413" s="13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37"/>
      <c r="F414" s="13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37"/>
      <c r="F415" s="13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37"/>
      <c r="F416" s="13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37"/>
      <c r="F417" s="13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37"/>
      <c r="F418" s="13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37"/>
      <c r="F419" s="13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37"/>
      <c r="F420" s="13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37"/>
      <c r="F421" s="13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37"/>
      <c r="F422" s="13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37"/>
      <c r="F423" s="13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37"/>
      <c r="F424" s="13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37"/>
      <c r="F425" s="13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37"/>
      <c r="F426" s="13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37"/>
      <c r="F427" s="13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37"/>
      <c r="F428" s="13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37"/>
      <c r="F429" s="13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37"/>
      <c r="F430" s="13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37"/>
      <c r="F431" s="13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37"/>
      <c r="F432" s="13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37"/>
      <c r="F433" s="13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37"/>
      <c r="F434" s="13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37"/>
      <c r="F435" s="13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37"/>
      <c r="F436" s="13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37"/>
      <c r="F437" s="13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37"/>
      <c r="F438" s="13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37"/>
      <c r="F439" s="13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37"/>
      <c r="F440" s="13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37"/>
      <c r="F441" s="13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37"/>
      <c r="F442" s="13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37"/>
      <c r="F443" s="13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37"/>
      <c r="F444" s="13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37"/>
      <c r="F445" s="13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37"/>
      <c r="F446" s="13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37"/>
      <c r="F447" s="13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37"/>
      <c r="F448" s="13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37"/>
      <c r="F449" s="13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37"/>
      <c r="F450" s="13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37"/>
      <c r="F451" s="13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37"/>
      <c r="F452" s="13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37"/>
      <c r="F453" s="13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37"/>
      <c r="F454" s="13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37"/>
      <c r="F455" s="13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37"/>
      <c r="F456" s="13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37"/>
      <c r="F457" s="13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37"/>
      <c r="F458" s="13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37"/>
      <c r="F459" s="13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37"/>
      <c r="F460" s="13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37"/>
      <c r="F461" s="13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37"/>
      <c r="F462" s="13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37"/>
      <c r="F463" s="13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37"/>
      <c r="F464" s="13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37"/>
      <c r="F465" s="13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37"/>
      <c r="F466" s="13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37"/>
      <c r="F467" s="13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37"/>
      <c r="F468" s="13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37"/>
      <c r="F469" s="13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37"/>
      <c r="F470" s="13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37"/>
      <c r="F471" s="13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37"/>
      <c r="F472" s="13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37"/>
      <c r="F473" s="13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37"/>
      <c r="F474" s="13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37"/>
      <c r="F475" s="13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37"/>
      <c r="F476" s="13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37"/>
      <c r="F477" s="13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37"/>
      <c r="F478" s="13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37"/>
      <c r="F479" s="13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37"/>
      <c r="F480" s="13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37"/>
      <c r="F481" s="13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37"/>
      <c r="F482" s="13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37"/>
      <c r="F483" s="13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37"/>
      <c r="F484" s="13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37"/>
      <c r="F485" s="13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37"/>
      <c r="F486" s="13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37"/>
      <c r="F487" s="13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37"/>
      <c r="F488" s="13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37"/>
      <c r="F489" s="13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37"/>
      <c r="F490" s="13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37"/>
      <c r="F491" s="13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37"/>
      <c r="F492" s="13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37"/>
      <c r="F493" s="13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37"/>
      <c r="F494" s="13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37"/>
      <c r="F495" s="13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37"/>
      <c r="F496" s="13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37"/>
      <c r="F497" s="13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37"/>
      <c r="F498" s="13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37"/>
      <c r="F499" s="13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37"/>
      <c r="F500" s="13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37"/>
      <c r="F501" s="13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37"/>
      <c r="F502" s="13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37"/>
      <c r="F503" s="13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37"/>
      <c r="F504" s="13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37"/>
      <c r="F505" s="13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37"/>
      <c r="F506" s="13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37"/>
      <c r="F507" s="13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37"/>
      <c r="F508" s="13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37"/>
      <c r="F509" s="13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37"/>
      <c r="F510" s="13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37"/>
      <c r="F511" s="13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37"/>
      <c r="F512" s="13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37"/>
      <c r="F513" s="13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37"/>
      <c r="F514" s="13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37"/>
      <c r="F515" s="13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37"/>
      <c r="F516" s="13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37"/>
      <c r="F517" s="13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37"/>
      <c r="F518" s="13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37"/>
      <c r="F519" s="13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37"/>
      <c r="F520" s="13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37"/>
      <c r="F521" s="13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37"/>
      <c r="F522" s="13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37"/>
      <c r="F523" s="13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37"/>
      <c r="F524" s="13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37"/>
      <c r="F525" s="13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37"/>
      <c r="F526" s="13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37"/>
      <c r="F527" s="13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37"/>
      <c r="F528" s="13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37"/>
      <c r="F529" s="13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37"/>
      <c r="F530" s="13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37"/>
      <c r="F531" s="13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37"/>
      <c r="F532" s="13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37"/>
      <c r="F533" s="13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37"/>
      <c r="F534" s="13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37"/>
      <c r="F535" s="13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37"/>
      <c r="F536" s="13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37"/>
      <c r="F537" s="13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37"/>
      <c r="F538" s="13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37"/>
      <c r="F539" s="13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37"/>
      <c r="F540" s="13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37"/>
      <c r="F541" s="13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37"/>
      <c r="F542" s="13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37"/>
      <c r="F543" s="13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37"/>
      <c r="F544" s="13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37"/>
      <c r="F545" s="13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37"/>
      <c r="F546" s="13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37"/>
      <c r="F547" s="13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37"/>
      <c r="F548" s="13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37"/>
      <c r="F549" s="13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37"/>
      <c r="F550" s="13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37"/>
      <c r="F551" s="13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37"/>
      <c r="F552" s="13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37"/>
      <c r="F553" s="13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37"/>
      <c r="F554" s="13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37"/>
      <c r="F555" s="13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37"/>
      <c r="F556" s="13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37"/>
      <c r="F557" s="13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37"/>
      <c r="F558" s="13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37"/>
      <c r="F559" s="13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37"/>
      <c r="F560" s="13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37"/>
      <c r="F561" s="13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37"/>
      <c r="F562" s="13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37"/>
      <c r="F563" s="13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37"/>
      <c r="F564" s="13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37"/>
      <c r="F565" s="13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37"/>
      <c r="F566" s="13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37"/>
      <c r="F567" s="13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37"/>
      <c r="F568" s="13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37"/>
      <c r="F569" s="13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37"/>
      <c r="F570" s="13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37"/>
      <c r="F571" s="13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37"/>
      <c r="F572" s="13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37"/>
      <c r="F573" s="13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37"/>
      <c r="F574" s="13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37"/>
      <c r="F575" s="13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37"/>
      <c r="F576" s="13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37"/>
      <c r="F577" s="13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37"/>
      <c r="F578" s="13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37"/>
      <c r="F579" s="13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37"/>
      <c r="F580" s="13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37"/>
      <c r="F581" s="13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37"/>
      <c r="F582" s="13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37"/>
      <c r="F583" s="13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37"/>
      <c r="F584" s="13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37"/>
      <c r="F585" s="13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37"/>
      <c r="F586" s="13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37"/>
      <c r="F587" s="13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37"/>
      <c r="F588" s="13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37"/>
      <c r="F589" s="13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37"/>
      <c r="F590" s="13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37"/>
      <c r="F591" s="13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37"/>
      <c r="F592" s="13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37"/>
      <c r="F593" s="13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37"/>
      <c r="F594" s="13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37"/>
      <c r="F595" s="13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37"/>
      <c r="F596" s="13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37"/>
      <c r="F597" s="13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37"/>
      <c r="F598" s="13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37"/>
      <c r="F599" s="13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37"/>
      <c r="F600" s="13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37"/>
      <c r="F601" s="13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37"/>
      <c r="F602" s="13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37"/>
      <c r="F603" s="13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37"/>
      <c r="F604" s="13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37"/>
      <c r="F605" s="13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37"/>
      <c r="F606" s="13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37"/>
      <c r="F607" s="13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37"/>
      <c r="F608" s="13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37"/>
      <c r="F609" s="13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37"/>
      <c r="F610" s="13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37"/>
      <c r="F611" s="13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37"/>
      <c r="F612" s="13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37"/>
      <c r="F613" s="13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37"/>
      <c r="F614" s="13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37"/>
      <c r="F615" s="13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37"/>
      <c r="F616" s="13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37"/>
      <c r="F617" s="13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37"/>
      <c r="F618" s="13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37"/>
      <c r="F619" s="13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37"/>
      <c r="F620" s="13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37"/>
      <c r="F621" s="13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37"/>
      <c r="F622" s="13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37"/>
      <c r="F623" s="13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37"/>
      <c r="F624" s="13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37"/>
      <c r="F625" s="13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37"/>
      <c r="F626" s="13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37"/>
      <c r="F627" s="13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37"/>
      <c r="F628" s="13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37"/>
      <c r="F629" s="13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37"/>
      <c r="F630" s="13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37"/>
      <c r="F631" s="13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37"/>
      <c r="F632" s="13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37"/>
      <c r="F633" s="13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37"/>
      <c r="F634" s="13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37"/>
      <c r="F635" s="13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37"/>
      <c r="F636" s="13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37"/>
      <c r="F637" s="13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37"/>
      <c r="F638" s="13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37"/>
      <c r="F639" s="13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37"/>
      <c r="F640" s="13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37"/>
      <c r="F641" s="13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37"/>
      <c r="F642" s="13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37"/>
      <c r="F643" s="13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37"/>
      <c r="F644" s="13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37"/>
      <c r="F645" s="13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37"/>
      <c r="F646" s="13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37"/>
      <c r="F647" s="13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37"/>
      <c r="F648" s="13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37"/>
      <c r="F649" s="13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37"/>
      <c r="F650" s="13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37"/>
      <c r="F651" s="13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37"/>
      <c r="F652" s="13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37"/>
      <c r="F653" s="13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37"/>
      <c r="F654" s="13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37"/>
      <c r="F655" s="13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37"/>
      <c r="F656" s="13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37"/>
      <c r="F657" s="13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37"/>
      <c r="F658" s="13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37"/>
      <c r="F659" s="13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37"/>
      <c r="F660" s="13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37"/>
      <c r="F661" s="13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37"/>
      <c r="F662" s="13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37"/>
      <c r="F663" s="13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37"/>
      <c r="F664" s="13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37"/>
      <c r="F665" s="13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37"/>
      <c r="F666" s="13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37"/>
      <c r="F667" s="13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37"/>
      <c r="F668" s="13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37"/>
      <c r="F669" s="13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37"/>
      <c r="F670" s="13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37"/>
      <c r="F671" s="13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37"/>
      <c r="F672" s="13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37"/>
      <c r="F673" s="13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37"/>
      <c r="F674" s="13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37"/>
      <c r="F675" s="13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37"/>
      <c r="F676" s="13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37"/>
      <c r="F677" s="13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37"/>
      <c r="F678" s="13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37"/>
      <c r="F679" s="13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37"/>
      <c r="F680" s="13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37"/>
      <c r="F681" s="13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37"/>
      <c r="F682" s="13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37"/>
      <c r="F683" s="13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37"/>
      <c r="F684" s="13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37"/>
      <c r="F685" s="13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37"/>
      <c r="F686" s="13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37"/>
      <c r="F687" s="13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37"/>
      <c r="F688" s="13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37"/>
      <c r="F689" s="13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37"/>
      <c r="F690" s="13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37"/>
      <c r="F691" s="13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37"/>
      <c r="F692" s="13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37"/>
      <c r="F693" s="13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37"/>
      <c r="F694" s="13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37"/>
      <c r="F695" s="13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37"/>
      <c r="F696" s="13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37"/>
      <c r="F697" s="13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37"/>
      <c r="F698" s="13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37"/>
      <c r="F699" s="13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37"/>
      <c r="F700" s="13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37"/>
      <c r="F701" s="13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37"/>
      <c r="F702" s="13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37"/>
      <c r="F703" s="13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37"/>
      <c r="F704" s="13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37"/>
      <c r="F705" s="13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37"/>
      <c r="F706" s="13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37"/>
      <c r="F707" s="13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37"/>
      <c r="F708" s="13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37"/>
      <c r="F709" s="13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37"/>
      <c r="F710" s="13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37"/>
      <c r="F711" s="13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37"/>
      <c r="F712" s="13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37"/>
      <c r="F713" s="13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37"/>
      <c r="F714" s="13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37"/>
      <c r="F715" s="13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37"/>
      <c r="F716" s="13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37"/>
      <c r="F717" s="13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37"/>
      <c r="F718" s="13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37"/>
      <c r="F719" s="13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37"/>
      <c r="F720" s="13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37"/>
      <c r="F721" s="13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37"/>
      <c r="F722" s="13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37"/>
      <c r="F723" s="13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37"/>
      <c r="F724" s="13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37"/>
      <c r="F725" s="13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37"/>
      <c r="F726" s="13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37"/>
      <c r="F727" s="13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37"/>
      <c r="F728" s="13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37"/>
      <c r="F729" s="13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37"/>
      <c r="F730" s="13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37"/>
      <c r="F731" s="13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37"/>
      <c r="F732" s="13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37"/>
      <c r="F733" s="13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37"/>
      <c r="F734" s="13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37"/>
      <c r="F735" s="13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37"/>
      <c r="F736" s="13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37"/>
      <c r="F737" s="13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37"/>
      <c r="F738" s="13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37"/>
      <c r="F739" s="13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37"/>
      <c r="F740" s="13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37"/>
      <c r="F741" s="13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37"/>
      <c r="F742" s="13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37"/>
      <c r="F743" s="13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37"/>
      <c r="F744" s="13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37"/>
      <c r="F745" s="13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37"/>
      <c r="F746" s="13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37"/>
      <c r="F747" s="13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37"/>
      <c r="F748" s="13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37"/>
      <c r="F749" s="13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37"/>
      <c r="F750" s="13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37"/>
      <c r="F751" s="13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37"/>
      <c r="F752" s="13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37"/>
      <c r="F753" s="13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37"/>
      <c r="F754" s="13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37"/>
      <c r="F755" s="13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37"/>
      <c r="F756" s="13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37"/>
      <c r="F757" s="13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37"/>
      <c r="F758" s="13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37"/>
      <c r="F759" s="13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37"/>
      <c r="F760" s="13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37"/>
      <c r="F761" s="13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37"/>
      <c r="F762" s="13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37"/>
      <c r="F763" s="13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37"/>
      <c r="F764" s="13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37"/>
      <c r="F765" s="13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37"/>
      <c r="F766" s="13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37"/>
      <c r="F767" s="13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37"/>
      <c r="F768" s="13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37"/>
      <c r="F769" s="13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37"/>
      <c r="F770" s="13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37"/>
      <c r="F771" s="13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37"/>
      <c r="F772" s="13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37"/>
      <c r="F773" s="13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37"/>
      <c r="F774" s="13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37"/>
      <c r="F775" s="13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37"/>
      <c r="F776" s="13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37"/>
      <c r="F777" s="13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37"/>
      <c r="F778" s="13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37"/>
      <c r="F779" s="13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37"/>
      <c r="F780" s="13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37"/>
      <c r="F781" s="13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37"/>
      <c r="F782" s="13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37"/>
      <c r="F783" s="13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37"/>
      <c r="F784" s="13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37"/>
      <c r="F785" s="13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37"/>
      <c r="F786" s="13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37"/>
      <c r="F787" s="13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37"/>
      <c r="F788" s="13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37"/>
      <c r="F789" s="13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37"/>
      <c r="F790" s="13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37"/>
      <c r="F791" s="13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37"/>
      <c r="F792" s="13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37"/>
      <c r="F793" s="13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37"/>
      <c r="F794" s="13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37"/>
      <c r="F795" s="13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37"/>
      <c r="F796" s="13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37"/>
      <c r="F797" s="13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37"/>
      <c r="F798" s="13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37"/>
      <c r="F799" s="13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37"/>
      <c r="F800" s="13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37"/>
      <c r="F801" s="13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37"/>
      <c r="F802" s="13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37"/>
      <c r="F803" s="13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37"/>
      <c r="F804" s="13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37"/>
      <c r="F805" s="13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37"/>
      <c r="F806" s="13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37"/>
      <c r="F807" s="13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37"/>
      <c r="F808" s="13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37"/>
      <c r="F809" s="13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37"/>
      <c r="F810" s="13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37"/>
      <c r="F811" s="13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37"/>
      <c r="F812" s="13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37"/>
      <c r="F813" s="13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37"/>
      <c r="F814" s="13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37"/>
      <c r="F815" s="13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37"/>
      <c r="F816" s="13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37"/>
      <c r="F817" s="13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37"/>
      <c r="F818" s="13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37"/>
      <c r="F819" s="13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37"/>
      <c r="F820" s="13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37"/>
      <c r="F821" s="13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37"/>
      <c r="F822" s="13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37"/>
      <c r="F823" s="13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37"/>
      <c r="F824" s="13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37"/>
      <c r="F825" s="13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37"/>
      <c r="F826" s="13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37"/>
      <c r="F827" s="13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37"/>
      <c r="F828" s="13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37"/>
      <c r="F829" s="13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37"/>
      <c r="F830" s="13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37"/>
      <c r="F831" s="13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37"/>
      <c r="F832" s="13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37"/>
      <c r="F833" s="13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37"/>
      <c r="F834" s="13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37"/>
      <c r="F835" s="13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37"/>
      <c r="F836" s="13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37"/>
      <c r="F837" s="13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37"/>
      <c r="F838" s="13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37"/>
      <c r="F839" s="13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37"/>
      <c r="F840" s="13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37"/>
      <c r="F841" s="13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37"/>
      <c r="F842" s="13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37"/>
      <c r="F843" s="13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37"/>
      <c r="F844" s="13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37"/>
      <c r="F845" s="13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37"/>
      <c r="F846" s="13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37"/>
      <c r="F847" s="13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37"/>
      <c r="F848" s="13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37"/>
      <c r="F849" s="13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37"/>
      <c r="F850" s="13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37"/>
      <c r="F851" s="13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37"/>
      <c r="F852" s="13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37"/>
      <c r="F853" s="13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37"/>
      <c r="F854" s="13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37"/>
      <c r="F855" s="13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37"/>
      <c r="F856" s="13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37"/>
      <c r="F857" s="13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37"/>
      <c r="F858" s="13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37"/>
      <c r="F859" s="13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37"/>
      <c r="F860" s="13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37"/>
      <c r="F861" s="13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37"/>
      <c r="F862" s="13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37"/>
      <c r="F863" s="13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37"/>
      <c r="F864" s="13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37"/>
      <c r="F865" s="13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37"/>
      <c r="F866" s="13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37"/>
      <c r="F867" s="13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37"/>
      <c r="F868" s="13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37"/>
      <c r="F869" s="13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37"/>
      <c r="F870" s="13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37"/>
      <c r="F871" s="13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37"/>
      <c r="F872" s="13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37"/>
      <c r="F873" s="13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37"/>
      <c r="F874" s="13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37"/>
      <c r="F875" s="13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37"/>
      <c r="F876" s="13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37"/>
      <c r="F877" s="13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37"/>
      <c r="F878" s="13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37"/>
      <c r="F879" s="13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37"/>
      <c r="F880" s="13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37"/>
      <c r="F881" s="13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37"/>
      <c r="F882" s="13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37"/>
      <c r="F883" s="13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37"/>
      <c r="F884" s="13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37"/>
      <c r="F885" s="13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37"/>
      <c r="F886" s="13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37"/>
      <c r="F887" s="13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37"/>
      <c r="F888" s="13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37"/>
      <c r="F889" s="13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37"/>
      <c r="F890" s="13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37"/>
      <c r="F891" s="13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37"/>
      <c r="F892" s="13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37"/>
      <c r="F893" s="13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37"/>
      <c r="F894" s="13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37"/>
      <c r="F895" s="13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37"/>
      <c r="F896" s="13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37"/>
      <c r="F897" s="13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37"/>
      <c r="F898" s="13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37"/>
      <c r="F899" s="13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37"/>
      <c r="F900" s="13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37"/>
      <c r="F901" s="13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37"/>
      <c r="F902" s="13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37"/>
      <c r="F903" s="13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37"/>
      <c r="F904" s="13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37"/>
      <c r="F905" s="13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37"/>
      <c r="F906" s="13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37"/>
      <c r="F907" s="13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37"/>
      <c r="F908" s="13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37"/>
      <c r="F909" s="13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37"/>
      <c r="F910" s="13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37"/>
      <c r="F911" s="13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37"/>
      <c r="F912" s="13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37"/>
      <c r="F913" s="13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37"/>
      <c r="F914" s="13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37"/>
      <c r="F915" s="13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37"/>
      <c r="F916" s="13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37"/>
      <c r="F917" s="13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37"/>
      <c r="F918" s="13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37"/>
      <c r="F919" s="13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37"/>
      <c r="F920" s="13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37"/>
      <c r="F921" s="13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37"/>
      <c r="F922" s="13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37"/>
      <c r="F923" s="13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37"/>
      <c r="F924" s="13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37"/>
      <c r="F925" s="13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37"/>
      <c r="F926" s="13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37"/>
      <c r="F927" s="13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37"/>
      <c r="F928" s="13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37"/>
      <c r="F929" s="13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37"/>
      <c r="F930" s="13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37"/>
      <c r="F931" s="13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37"/>
      <c r="F932" s="13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37"/>
      <c r="F933" s="13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37"/>
      <c r="F934" s="13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37"/>
      <c r="F935" s="13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37"/>
      <c r="F936" s="13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37"/>
      <c r="F937" s="13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37"/>
      <c r="F938" s="13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37"/>
      <c r="F939" s="13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37"/>
      <c r="F940" s="13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37"/>
      <c r="F941" s="13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37"/>
      <c r="F942" s="13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37"/>
      <c r="F943" s="13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37"/>
      <c r="F944" s="13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37"/>
      <c r="F945" s="13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37"/>
      <c r="F946" s="13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37"/>
      <c r="F947" s="13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37"/>
      <c r="F948" s="13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37"/>
      <c r="F949" s="13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37"/>
      <c r="F950" s="13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37"/>
      <c r="F951" s="13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37"/>
      <c r="F952" s="13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37"/>
      <c r="F953" s="13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37"/>
      <c r="F954" s="13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37"/>
      <c r="F955" s="13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37"/>
      <c r="F956" s="13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37"/>
      <c r="F957" s="13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37"/>
      <c r="F958" s="13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37"/>
      <c r="F959" s="13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37"/>
      <c r="F960" s="13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37"/>
      <c r="F961" s="13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37"/>
      <c r="F962" s="13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37"/>
      <c r="F963" s="13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37"/>
      <c r="F964" s="13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37"/>
      <c r="F965" s="13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37"/>
      <c r="F966" s="13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37"/>
      <c r="F967" s="13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37"/>
      <c r="F968" s="13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37"/>
      <c r="F969" s="13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37"/>
      <c r="F970" s="13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37"/>
      <c r="F971" s="13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37"/>
      <c r="F972" s="13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37"/>
      <c r="F973" s="13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37"/>
      <c r="F974" s="13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37"/>
      <c r="F975" s="13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37"/>
      <c r="F976" s="13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37"/>
      <c r="F977" s="13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37"/>
      <c r="F978" s="13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37"/>
      <c r="F979" s="13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37"/>
      <c r="F980" s="13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37"/>
      <c r="F981" s="13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37"/>
      <c r="F982" s="13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37"/>
      <c r="F983" s="13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37"/>
      <c r="F984" s="13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37"/>
      <c r="F985" s="13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37"/>
      <c r="F986" s="13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37"/>
      <c r="F987" s="13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37"/>
      <c r="F988" s="13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37"/>
      <c r="F989" s="13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37"/>
      <c r="F990" s="13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37"/>
      <c r="F991" s="13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37"/>
      <c r="F992" s="13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37"/>
      <c r="F993" s="13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37"/>
      <c r="F994" s="13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37"/>
      <c r="F995" s="13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37"/>
      <c r="F996" s="13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37"/>
      <c r="F997" s="13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37"/>
      <c r="F998" s="13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37"/>
      <c r="F999" s="13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37"/>
      <c r="F1000" s="13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37"/>
      <c r="F1001" s="13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>
      <c r="A1002" s="18"/>
      <c r="B1002" s="18"/>
      <c r="C1002" s="18"/>
      <c r="D1002" s="18"/>
      <c r="E1002" s="137"/>
      <c r="F1002" s="13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  <row r="1003">
      <c r="A1003" s="18"/>
      <c r="B1003" s="18"/>
      <c r="C1003" s="18"/>
      <c r="D1003" s="18"/>
      <c r="E1003" s="137"/>
      <c r="F1003" s="13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</row>
  </sheetData>
  <mergeCells count="5">
    <mergeCell ref="A1:B1"/>
    <mergeCell ref="E1:I1"/>
    <mergeCell ref="K1:L1"/>
    <mergeCell ref="M1:N1"/>
    <mergeCell ref="K14:L14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3" width="13.63"/>
    <col customWidth="1" min="4" max="4" width="10.88"/>
    <col customWidth="1" min="5" max="5" width="21.5"/>
    <col customWidth="1" min="7" max="7" width="9.0"/>
    <col customWidth="1" min="8" max="8" width="8.5"/>
    <col customWidth="1" min="9" max="9" width="10.5"/>
    <col customWidth="1" min="10" max="10" width="2.13"/>
    <col customWidth="1" min="11" max="11" width="16.25"/>
    <col customWidth="1" min="12" max="12" width="9.63"/>
    <col customWidth="1" min="13" max="13" width="11.75"/>
    <col customWidth="1" min="14" max="14" width="10.63"/>
    <col customWidth="1" min="15" max="15" width="4.63"/>
    <col customWidth="1" min="16" max="16" width="13.63"/>
    <col customWidth="1" min="18" max="18" width="14.75"/>
    <col customWidth="1" min="19" max="19" width="14.88"/>
  </cols>
  <sheetData>
    <row r="1">
      <c r="A1" s="4" t="s">
        <v>56</v>
      </c>
      <c r="C1" s="6"/>
      <c r="D1" s="7"/>
      <c r="E1" s="10" t="s">
        <v>4</v>
      </c>
      <c r="F1" s="13"/>
      <c r="G1" s="13"/>
      <c r="H1" s="13"/>
      <c r="I1" s="16"/>
      <c r="J1" s="18"/>
      <c r="K1" s="20" t="s">
        <v>9</v>
      </c>
      <c r="M1" s="20" t="s">
        <v>10</v>
      </c>
      <c r="O1" s="6"/>
      <c r="P1" s="6" t="s">
        <v>11</v>
      </c>
      <c r="Q1" s="6" t="s">
        <v>12</v>
      </c>
      <c r="R1" s="6" t="s">
        <v>13</v>
      </c>
      <c r="S1" s="6" t="s">
        <v>14</v>
      </c>
      <c r="T1" s="18"/>
      <c r="U1" s="6"/>
      <c r="V1" s="18"/>
    </row>
    <row r="2">
      <c r="A2" s="4" t="s">
        <v>0</v>
      </c>
      <c r="B2" s="4" t="s">
        <v>16</v>
      </c>
      <c r="C2" s="4" t="s">
        <v>18</v>
      </c>
      <c r="D2" s="6"/>
      <c r="E2" s="23" t="s">
        <v>20</v>
      </c>
      <c r="F2" s="25" t="s">
        <v>21</v>
      </c>
      <c r="G2" s="27" t="s">
        <v>22</v>
      </c>
      <c r="H2" s="6" t="s">
        <v>23</v>
      </c>
      <c r="I2" s="29" t="s">
        <v>24</v>
      </c>
      <c r="J2" s="18"/>
      <c r="K2" s="25" t="s">
        <v>20</v>
      </c>
      <c r="L2" s="25" t="s">
        <v>26</v>
      </c>
      <c r="M2" s="6" t="s">
        <v>27</v>
      </c>
      <c r="N2" s="6">
        <v>13.99</v>
      </c>
      <c r="O2" s="4"/>
      <c r="P2" s="156">
        <v>9.2</v>
      </c>
      <c r="Q2" s="25">
        <v>59.9</v>
      </c>
      <c r="R2" s="6">
        <v>21.73</v>
      </c>
      <c r="S2" s="6">
        <v>124.82</v>
      </c>
      <c r="T2" s="18"/>
      <c r="U2" s="6"/>
      <c r="V2" s="18"/>
    </row>
    <row r="3">
      <c r="A3" s="4">
        <v>2025.0</v>
      </c>
      <c r="B3" s="6">
        <f>-2047.08-52.7</f>
        <v>-2099.78</v>
      </c>
      <c r="C3" s="6"/>
      <c r="D3" s="6"/>
      <c r="E3" s="23" t="s">
        <v>29</v>
      </c>
      <c r="F3" s="34">
        <f t="shared" ref="F3:F24" si="1">G3+I3+H3</f>
        <v>550.93</v>
      </c>
      <c r="G3" s="27"/>
      <c r="H3" s="6"/>
      <c r="I3" s="29">
        <v>550.93</v>
      </c>
      <c r="J3" s="4"/>
      <c r="K3" s="25" t="s">
        <v>32</v>
      </c>
      <c r="L3" s="27">
        <v>29.87</v>
      </c>
      <c r="M3" s="6" t="s">
        <v>33</v>
      </c>
      <c r="N3" s="18">
        <f>IF($A$1="Sep",49.99,0)</f>
        <v>0</v>
      </c>
      <c r="O3" s="18"/>
      <c r="P3" s="156">
        <v>5.0</v>
      </c>
      <c r="Q3" s="25">
        <v>79.0</v>
      </c>
      <c r="R3" s="6">
        <v>30.0</v>
      </c>
      <c r="S3" s="6">
        <v>246.04</v>
      </c>
      <c r="T3" s="18"/>
      <c r="U3" s="6"/>
      <c r="V3" s="18"/>
    </row>
    <row r="4">
      <c r="A4" s="6" t="s">
        <v>34</v>
      </c>
      <c r="B4" s="6">
        <v>-133.47</v>
      </c>
      <c r="C4" s="18">
        <f>1360.14+50+19.99+202.5</f>
        <v>1632.63</v>
      </c>
      <c r="D4" s="18"/>
      <c r="E4" s="23" t="s">
        <v>36</v>
      </c>
      <c r="F4" s="34">
        <f t="shared" si="1"/>
        <v>242</v>
      </c>
      <c r="G4" s="27"/>
      <c r="H4" s="27"/>
      <c r="I4" s="29">
        <f>IF(OR($A$1="Jul",$A$1="Aug",$A$1="Sep"),0,IF($A$1="Oct",484,242))</f>
        <v>242</v>
      </c>
      <c r="J4" s="6"/>
      <c r="K4" s="8" t="s">
        <v>40</v>
      </c>
      <c r="L4" s="27">
        <v>246.04</v>
      </c>
      <c r="M4" s="6" t="s">
        <v>41</v>
      </c>
      <c r="N4" s="6">
        <v>10.99</v>
      </c>
      <c r="O4" s="18"/>
      <c r="P4" s="156">
        <v>47.51</v>
      </c>
      <c r="Q4" s="6">
        <v>1.79</v>
      </c>
      <c r="R4" s="6">
        <v>29.87</v>
      </c>
      <c r="S4" s="6"/>
      <c r="T4" s="18"/>
      <c r="U4" s="6"/>
      <c r="V4" s="18"/>
    </row>
    <row r="5">
      <c r="A5" s="6" t="s">
        <v>42</v>
      </c>
      <c r="B5" s="6">
        <v>280.2</v>
      </c>
      <c r="C5" s="6"/>
      <c r="D5" s="18"/>
      <c r="E5" s="23" t="s">
        <v>43</v>
      </c>
      <c r="F5" s="34">
        <f t="shared" si="1"/>
        <v>150.93</v>
      </c>
      <c r="G5" s="27"/>
      <c r="H5" s="6"/>
      <c r="I5" s="29">
        <f>IF(OR($A$1="Jun",$A$1="Jul",$A$1="Aug"),0,150.93)</f>
        <v>150.93</v>
      </c>
      <c r="J5" s="4"/>
      <c r="K5" s="20" t="s">
        <v>44</v>
      </c>
      <c r="L5" s="34">
        <v>124.82</v>
      </c>
      <c r="M5" s="6" t="s">
        <v>45</v>
      </c>
      <c r="N5" s="6">
        <v>7.99</v>
      </c>
      <c r="O5" s="18"/>
      <c r="P5" s="156">
        <v>7.54</v>
      </c>
      <c r="Q5" s="6">
        <v>238.4</v>
      </c>
      <c r="R5" s="6"/>
      <c r="S5" s="6"/>
      <c r="T5" s="18"/>
      <c r="U5" s="6"/>
      <c r="V5" s="18"/>
    </row>
    <row r="6">
      <c r="A6" s="4" t="s">
        <v>46</v>
      </c>
      <c r="B6" s="6">
        <v>-573.43</v>
      </c>
      <c r="C6" s="6">
        <v>100.0</v>
      </c>
      <c r="D6" s="18"/>
      <c r="E6" s="23" t="s">
        <v>47</v>
      </c>
      <c r="F6" s="34">
        <f t="shared" si="1"/>
        <v>0</v>
      </c>
      <c r="G6" s="27">
        <f>IF(OR($A$1="May",$A$1="Jun",$A$1="Jul",$A$1="Aug"),0,40)</f>
        <v>0</v>
      </c>
      <c r="H6" s="6"/>
      <c r="I6" s="29"/>
      <c r="J6" s="6"/>
      <c r="K6" s="20" t="s">
        <v>48</v>
      </c>
      <c r="L6" s="34">
        <f>238.4</f>
        <v>238.4</v>
      </c>
      <c r="M6" s="6" t="s">
        <v>49</v>
      </c>
      <c r="N6" s="6">
        <v>16.99</v>
      </c>
      <c r="O6" s="18"/>
      <c r="P6" s="27">
        <v>11.99</v>
      </c>
      <c r="Q6" s="6">
        <v>150.93</v>
      </c>
      <c r="R6" s="6"/>
      <c r="S6" s="18"/>
      <c r="T6" s="18"/>
      <c r="U6" s="6"/>
      <c r="V6" s="18"/>
    </row>
    <row r="7">
      <c r="A7" s="6" t="s">
        <v>50</v>
      </c>
      <c r="B7" s="6">
        <v>-779.65</v>
      </c>
      <c r="C7" s="6">
        <f>50+724.6</f>
        <v>774.6</v>
      </c>
      <c r="D7" s="18"/>
      <c r="E7" s="23" t="s">
        <v>51</v>
      </c>
      <c r="F7" s="34">
        <f t="shared" si="1"/>
        <v>30</v>
      </c>
      <c r="G7" s="27">
        <f>IF(OR($A$1="Jul",$A$1="Aug"),0,30)</f>
        <v>30</v>
      </c>
      <c r="H7" s="6"/>
      <c r="I7" s="29"/>
      <c r="J7" s="6"/>
      <c r="K7" s="25" t="s">
        <v>52</v>
      </c>
      <c r="L7" s="25">
        <v>308.96</v>
      </c>
      <c r="M7" s="6" t="s">
        <v>53</v>
      </c>
      <c r="N7" s="6">
        <v>1.79</v>
      </c>
      <c r="O7" s="18"/>
      <c r="P7" s="156">
        <v>173.14</v>
      </c>
      <c r="Q7" s="6">
        <v>112.97</v>
      </c>
      <c r="R7" s="6" t="s">
        <v>54</v>
      </c>
      <c r="S7" s="6" t="s">
        <v>55</v>
      </c>
      <c r="T7" s="18"/>
      <c r="U7" s="6"/>
      <c r="V7" s="18"/>
    </row>
    <row r="8">
      <c r="A8" s="6" t="s">
        <v>56</v>
      </c>
      <c r="B8" s="6">
        <v>-125.92</v>
      </c>
      <c r="C8" s="6"/>
      <c r="D8" s="18"/>
      <c r="E8" s="23" t="s">
        <v>57</v>
      </c>
      <c r="F8" s="34">
        <f t="shared" si="1"/>
        <v>120</v>
      </c>
      <c r="G8" s="27"/>
      <c r="H8" s="18"/>
      <c r="I8" s="29">
        <f>IF(OR($A$1="Jul",$A$1="Aug",$A$1="Sep"),150,IF(OR($A$1="May",$A$1="Jun",$A$1="Oct",$A$1="Nov"),120,100))</f>
        <v>120</v>
      </c>
      <c r="J8" s="50"/>
      <c r="K8" s="8" t="s">
        <v>141</v>
      </c>
      <c r="L8" s="27">
        <f>IF(OR($A$1="Jan",$A$1="Feb",$A$1="Mar",$A$1="Apr",$A$1="May",$A$1="Jun"),112.97,0)</f>
        <v>112.97</v>
      </c>
      <c r="M8" s="18"/>
      <c r="N8" s="18"/>
      <c r="O8" s="18"/>
      <c r="P8" s="156">
        <v>30.95</v>
      </c>
      <c r="Q8" s="6">
        <v>308.96</v>
      </c>
      <c r="R8" s="6"/>
      <c r="S8" s="6"/>
      <c r="T8" s="18"/>
      <c r="U8" s="6"/>
      <c r="V8" s="18"/>
    </row>
    <row r="9">
      <c r="A9" s="6" t="s">
        <v>61</v>
      </c>
      <c r="B9" s="18"/>
      <c r="C9" s="18"/>
      <c r="D9" s="18"/>
      <c r="E9" s="23" t="s">
        <v>62</v>
      </c>
      <c r="F9" s="34">
        <f t="shared" si="1"/>
        <v>0</v>
      </c>
      <c r="G9" s="27"/>
      <c r="H9" s="18"/>
      <c r="I9" s="29">
        <f>IF(OR($A$1="Jun",$A$1="Aug",$A$1="Oct"),90,IF(OR($A$1="Apr",$A$1="Dec"),130,IF($A$1="Feb",200,0)))</f>
        <v>0</v>
      </c>
      <c r="J9" s="50"/>
      <c r="K9" s="57" t="s">
        <v>64</v>
      </c>
      <c r="L9" s="61">
        <f>SUM(L3:L8)</f>
        <v>1061.06</v>
      </c>
      <c r="M9" s="63" t="s">
        <v>66</v>
      </c>
      <c r="N9" s="65">
        <f>SUM(N2:N7)</f>
        <v>51.75</v>
      </c>
      <c r="O9" s="18"/>
      <c r="P9" s="156">
        <v>35.41</v>
      </c>
      <c r="Q9" s="6">
        <v>16.99</v>
      </c>
      <c r="R9" s="18"/>
      <c r="S9" s="18"/>
      <c r="T9" s="18"/>
      <c r="U9" s="6"/>
      <c r="V9" s="18"/>
    </row>
    <row r="10">
      <c r="A10" s="6" t="s">
        <v>68</v>
      </c>
      <c r="B10" s="18"/>
      <c r="C10" s="18"/>
      <c r="D10" s="18"/>
      <c r="E10" s="68" t="s">
        <v>70</v>
      </c>
      <c r="F10" s="34">
        <f t="shared" si="1"/>
        <v>89</v>
      </c>
      <c r="G10" s="34"/>
      <c r="H10" s="18"/>
      <c r="I10" s="70">
        <f>79+10</f>
        <v>89</v>
      </c>
      <c r="J10" s="72"/>
      <c r="K10" s="8" t="s">
        <v>29</v>
      </c>
      <c r="L10" s="75">
        <f>F3</f>
        <v>550.93</v>
      </c>
      <c r="O10" s="18"/>
      <c r="P10" s="156">
        <v>1.67</v>
      </c>
      <c r="Q10" s="6">
        <v>13.99</v>
      </c>
      <c r="R10" s="18"/>
      <c r="S10" s="18"/>
      <c r="T10" s="18"/>
      <c r="U10" s="6"/>
      <c r="V10" s="18"/>
    </row>
    <row r="11">
      <c r="A11" s="6" t="s">
        <v>2</v>
      </c>
      <c r="B11" s="18"/>
      <c r="C11" s="18"/>
      <c r="D11" s="6"/>
      <c r="E11" s="23" t="s">
        <v>72</v>
      </c>
      <c r="F11" s="34">
        <f t="shared" si="1"/>
        <v>1061.06</v>
      </c>
      <c r="G11" s="27">
        <f>L3</f>
        <v>29.87</v>
      </c>
      <c r="H11" s="18">
        <f>L4+L5</f>
        <v>370.86</v>
      </c>
      <c r="I11" s="29">
        <f>SUM(L6:L8)</f>
        <v>660.33</v>
      </c>
      <c r="J11" s="25"/>
      <c r="K11" s="57" t="s">
        <v>66</v>
      </c>
      <c r="L11" s="61">
        <f>L9+L10</f>
        <v>1611.99</v>
      </c>
      <c r="O11" s="18"/>
      <c r="P11" s="156">
        <v>3.8</v>
      </c>
      <c r="Q11" s="6">
        <v>60.0</v>
      </c>
      <c r="R11" s="18"/>
      <c r="S11" s="18"/>
      <c r="T11" s="18"/>
      <c r="U11" s="6"/>
      <c r="V11" s="18"/>
    </row>
    <row r="12">
      <c r="A12" s="6" t="s">
        <v>3</v>
      </c>
      <c r="B12" s="18"/>
      <c r="C12" s="18"/>
      <c r="D12" s="18"/>
      <c r="E12" s="68" t="s">
        <v>73</v>
      </c>
      <c r="F12" s="34">
        <f t="shared" si="1"/>
        <v>50</v>
      </c>
      <c r="G12" s="27"/>
      <c r="H12" s="18"/>
      <c r="I12" s="70">
        <f>IF(OR($A$1="Jan",$A$1="Mar",$A$1="May",$A$1="Jul",$A$1="Sep",$A$1="Nov",),50,0)</f>
        <v>50</v>
      </c>
      <c r="J12" s="72"/>
      <c r="K12" s="79"/>
      <c r="L12" s="80"/>
      <c r="O12" s="18"/>
      <c r="P12" s="156">
        <v>2.4</v>
      </c>
      <c r="Q12" s="6">
        <v>42.64</v>
      </c>
      <c r="R12" s="18"/>
      <c r="S12" s="18"/>
      <c r="T12" s="18"/>
      <c r="U12" s="6"/>
      <c r="V12" s="18"/>
    </row>
    <row r="13">
      <c r="A13" s="6" t="s">
        <v>74</v>
      </c>
      <c r="B13" s="6"/>
      <c r="C13" s="18"/>
      <c r="D13" s="18"/>
      <c r="E13" s="68" t="s">
        <v>10</v>
      </c>
      <c r="F13" s="34">
        <f t="shared" si="1"/>
        <v>51.75</v>
      </c>
      <c r="G13" s="27"/>
      <c r="H13" s="6"/>
      <c r="I13" s="70">
        <f>SUM(N2:N7)</f>
        <v>51.75</v>
      </c>
      <c r="J13" s="25"/>
      <c r="O13" s="18"/>
      <c r="P13" s="156">
        <v>231.74</v>
      </c>
      <c r="Q13" s="6">
        <v>87.0</v>
      </c>
      <c r="R13" s="18"/>
      <c r="S13" s="18"/>
      <c r="T13" s="18"/>
      <c r="U13" s="6"/>
      <c r="V13" s="18"/>
    </row>
    <row r="14">
      <c r="A14" s="4" t="s">
        <v>76</v>
      </c>
      <c r="B14" s="18"/>
      <c r="C14" s="18"/>
      <c r="D14" s="6"/>
      <c r="E14" s="82" t="s">
        <v>78</v>
      </c>
      <c r="F14" s="34">
        <f t="shared" si="1"/>
        <v>60</v>
      </c>
      <c r="G14" s="18"/>
      <c r="H14" s="18"/>
      <c r="I14" s="83">
        <v>60.0</v>
      </c>
      <c r="J14" s="25"/>
      <c r="K14" s="8" t="s">
        <v>79</v>
      </c>
      <c r="M14" s="8"/>
      <c r="N14" s="8"/>
      <c r="O14" s="18"/>
      <c r="P14" s="6">
        <v>47.2</v>
      </c>
      <c r="Q14" s="6">
        <v>600.0</v>
      </c>
      <c r="R14" s="18"/>
      <c r="S14" s="18"/>
      <c r="T14" s="18"/>
      <c r="U14" s="18"/>
      <c r="V14" s="18"/>
    </row>
    <row r="15">
      <c r="A15" s="6" t="s">
        <v>80</v>
      </c>
      <c r="B15" s="18"/>
      <c r="C15" s="18"/>
      <c r="D15" s="18"/>
      <c r="E15" s="23" t="s">
        <v>81</v>
      </c>
      <c r="F15" s="34">
        <f t="shared" si="1"/>
        <v>0</v>
      </c>
      <c r="G15" s="27"/>
      <c r="H15" s="6"/>
      <c r="I15" s="29">
        <f>L20+L19</f>
        <v>0</v>
      </c>
      <c r="J15" s="4"/>
      <c r="K15" s="8" t="s">
        <v>82</v>
      </c>
      <c r="L15" s="18">
        <f>IF(OR($A$1="Feb",$A$1="May",$A$1="Aug",$A$1="Nov"),98.1,0)</f>
        <v>98.1</v>
      </c>
      <c r="M15" s="8"/>
      <c r="N15" s="8"/>
      <c r="O15" s="18"/>
      <c r="P15" s="6">
        <v>20.49</v>
      </c>
      <c r="Q15" s="6">
        <v>220.0</v>
      </c>
      <c r="R15" s="18"/>
      <c r="S15" s="18"/>
      <c r="T15" s="18"/>
      <c r="U15" s="18"/>
      <c r="V15" s="18"/>
    </row>
    <row r="16">
      <c r="A16" s="6" t="s">
        <v>66</v>
      </c>
      <c r="B16" s="6">
        <f>SUM(B3:B15)+C16</f>
        <v>-924.82</v>
      </c>
      <c r="C16" s="6">
        <f>SUM(C3:C15)</f>
        <v>2507.23</v>
      </c>
      <c r="D16" s="6"/>
      <c r="E16" s="68" t="s">
        <v>84</v>
      </c>
      <c r="F16" s="34">
        <f t="shared" si="1"/>
        <v>146.9</v>
      </c>
      <c r="G16" s="27"/>
      <c r="H16" s="6"/>
      <c r="I16" s="70">
        <f>IF($A$1="Feb",60.97,59.9) + 87</f>
        <v>146.9</v>
      </c>
      <c r="J16" s="4"/>
      <c r="K16" s="8" t="s">
        <v>67</v>
      </c>
      <c r="L16" s="18">
        <f>IF(OR($A$1="Feb",$A$1="May",$A$1="Aug",$A$1="Nov"),(39.15+82.31),0)</f>
        <v>121.46</v>
      </c>
      <c r="M16" s="8"/>
      <c r="N16" s="8"/>
      <c r="O16" s="18"/>
      <c r="P16" s="6">
        <v>17.99</v>
      </c>
      <c r="Q16" s="6">
        <v>98.11</v>
      </c>
      <c r="R16" s="18"/>
      <c r="S16" s="18"/>
      <c r="T16" s="18"/>
      <c r="U16" s="18"/>
      <c r="V16" s="18"/>
    </row>
    <row r="17">
      <c r="A17" s="18"/>
      <c r="B17" s="88"/>
      <c r="C17" s="88"/>
      <c r="D17" s="6"/>
      <c r="E17" s="82" t="s">
        <v>82</v>
      </c>
      <c r="F17" s="34">
        <f t="shared" si="1"/>
        <v>98.1</v>
      </c>
      <c r="G17" s="75"/>
      <c r="H17" s="6"/>
      <c r="I17" s="29">
        <f t="shared" ref="I17:I20" si="2">L15</f>
        <v>98.1</v>
      </c>
      <c r="J17" s="25"/>
      <c r="K17" s="8" t="s">
        <v>89</v>
      </c>
      <c r="L17" s="6">
        <f>IF($A$1="May",155.05,0)</f>
        <v>155.05</v>
      </c>
      <c r="M17" s="8"/>
      <c r="N17" s="93"/>
      <c r="O17" s="18"/>
      <c r="P17" s="6">
        <v>51.29</v>
      </c>
      <c r="Q17" s="6">
        <v>7.99</v>
      </c>
      <c r="R17" s="18"/>
      <c r="S17" s="18"/>
      <c r="T17" s="18"/>
      <c r="U17" s="18"/>
      <c r="V17" s="18"/>
    </row>
    <row r="18">
      <c r="A18" s="18"/>
      <c r="B18" s="18"/>
      <c r="C18" s="18"/>
      <c r="D18" s="6"/>
      <c r="E18" s="82" t="s">
        <v>67</v>
      </c>
      <c r="F18" s="34">
        <f t="shared" si="1"/>
        <v>121.46</v>
      </c>
      <c r="G18" s="6"/>
      <c r="H18" s="27"/>
      <c r="I18" s="29">
        <f t="shared" si="2"/>
        <v>121.46</v>
      </c>
      <c r="J18" s="4"/>
      <c r="K18" s="8" t="s">
        <v>91</v>
      </c>
      <c r="L18" s="6">
        <f>IF($A$1="May",80,0)</f>
        <v>80</v>
      </c>
      <c r="M18" s="8"/>
      <c r="N18" s="93"/>
      <c r="O18" s="18"/>
      <c r="P18" s="156">
        <v>12.13</v>
      </c>
      <c r="Q18" s="6">
        <v>155.05</v>
      </c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82" t="s">
        <v>89</v>
      </c>
      <c r="F19" s="34">
        <f t="shared" si="1"/>
        <v>155.05</v>
      </c>
      <c r="G19" s="6"/>
      <c r="H19" s="18"/>
      <c r="I19" s="94">
        <f t="shared" si="2"/>
        <v>155.05</v>
      </c>
      <c r="J19" s="25"/>
      <c r="K19" s="8" t="s">
        <v>92</v>
      </c>
      <c r="L19" s="6">
        <f>IF($A$1="Sep",449.58,0)</f>
        <v>0</v>
      </c>
      <c r="M19" s="8"/>
      <c r="N19" s="8"/>
      <c r="O19" s="18"/>
      <c r="P19" s="156">
        <v>20.0</v>
      </c>
      <c r="Q19" s="6">
        <v>82.56</v>
      </c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82" t="s">
        <v>94</v>
      </c>
      <c r="F20" s="34">
        <f t="shared" si="1"/>
        <v>80</v>
      </c>
      <c r="G20" s="75"/>
      <c r="H20" s="75"/>
      <c r="I20" s="29">
        <f t="shared" si="2"/>
        <v>80</v>
      </c>
      <c r="J20" s="4"/>
      <c r="K20" s="8" t="s">
        <v>95</v>
      </c>
      <c r="L20" s="6">
        <f>IF($A$1="Jan",126.66,IF(OR($A$1="Feb",$A$1="Apr"),121.82,0))</f>
        <v>0</v>
      </c>
      <c r="O20" s="18"/>
      <c r="P20" s="156">
        <v>7.1</v>
      </c>
      <c r="Q20" s="6">
        <v>39.35</v>
      </c>
      <c r="R20" s="18"/>
      <c r="S20" s="18"/>
      <c r="T20" s="18"/>
      <c r="U20" s="18"/>
      <c r="V20" s="18"/>
    </row>
    <row r="21">
      <c r="A21" s="4"/>
      <c r="B21" s="18"/>
      <c r="C21" s="6"/>
      <c r="D21" s="18"/>
      <c r="E21" s="82" t="s">
        <v>96</v>
      </c>
      <c r="F21" s="34">
        <f t="shared" si="1"/>
        <v>0</v>
      </c>
      <c r="G21" s="27"/>
      <c r="H21" s="27"/>
      <c r="I21" s="83">
        <f>IF($A$1="May",0,0)</f>
        <v>0</v>
      </c>
      <c r="J21" s="88"/>
      <c r="K21" s="88"/>
      <c r="L21" s="88"/>
      <c r="M21" s="88"/>
      <c r="N21" s="88"/>
      <c r="O21" s="18"/>
      <c r="P21" s="156">
        <v>35.0</v>
      </c>
      <c r="Q21" s="6">
        <v>21.2</v>
      </c>
      <c r="R21" s="18"/>
      <c r="S21" s="18"/>
      <c r="T21" s="18"/>
      <c r="U21" s="18"/>
      <c r="V21" s="18"/>
    </row>
    <row r="22">
      <c r="A22" s="18"/>
      <c r="B22" s="6"/>
      <c r="C22" s="6"/>
      <c r="D22" s="18"/>
      <c r="E22" s="82" t="s">
        <v>99</v>
      </c>
      <c r="F22" s="34">
        <f t="shared" si="1"/>
        <v>21.73</v>
      </c>
      <c r="G22" s="6">
        <v>21.73</v>
      </c>
      <c r="H22" s="6"/>
      <c r="I22" s="83">
        <f>IF($A$1="Jun",330,0)</f>
        <v>0</v>
      </c>
      <c r="J22" s="50"/>
      <c r="K22" s="88"/>
      <c r="L22" s="88"/>
      <c r="M22" s="88"/>
      <c r="N22" s="88"/>
      <c r="O22" s="18"/>
      <c r="P22" s="6">
        <v>22.38</v>
      </c>
      <c r="Q22" s="6">
        <v>36.12</v>
      </c>
      <c r="R22" s="18"/>
      <c r="S22" s="18"/>
      <c r="T22" s="18"/>
      <c r="U22" s="18"/>
      <c r="V22" s="18"/>
    </row>
    <row r="23">
      <c r="A23" s="18"/>
      <c r="B23" s="6"/>
      <c r="C23" s="6"/>
      <c r="D23" s="18"/>
      <c r="E23" s="82" t="s">
        <v>100</v>
      </c>
      <c r="F23" s="34">
        <f t="shared" si="1"/>
        <v>600</v>
      </c>
      <c r="G23" s="6"/>
      <c r="H23" s="6"/>
      <c r="I23" s="83">
        <f>IF(OR($A$1="May",$A$1="Jul"),600,0)</f>
        <v>600</v>
      </c>
      <c r="J23" s="50"/>
      <c r="K23" s="88"/>
      <c r="L23" s="88"/>
      <c r="M23" s="88"/>
      <c r="N23" s="88"/>
      <c r="O23" s="18"/>
      <c r="P23" s="6">
        <v>77.95</v>
      </c>
      <c r="Q23" s="6">
        <v>98.12</v>
      </c>
      <c r="R23" s="18"/>
      <c r="S23" s="18"/>
      <c r="T23" s="18"/>
      <c r="U23" s="18"/>
      <c r="V23" s="18"/>
    </row>
    <row r="24">
      <c r="A24" s="18"/>
      <c r="B24" s="6"/>
      <c r="C24" s="18"/>
      <c r="D24" s="18"/>
      <c r="E24" s="102" t="s">
        <v>101</v>
      </c>
      <c r="F24" s="103">
        <f t="shared" si="1"/>
        <v>100</v>
      </c>
      <c r="G24" s="104"/>
      <c r="H24" s="104"/>
      <c r="I24" s="106">
        <f>IF(OR($A$1="Jan",$A$1="Mar",$A$1="May",$A$1="Jul",$A$1="Sep",$A$1="Nov"),100,IF(OR($A$1="Apr",$A$1="Jun",$A$1="Aug",$A$1="Oct",$A$1="Dec"),200,IF(OR($A$1="Feb"),300,0)))</f>
        <v>100</v>
      </c>
      <c r="J24" s="4"/>
      <c r="K24" s="8" t="s">
        <v>103</v>
      </c>
      <c r="L24" s="88"/>
      <c r="M24" s="88"/>
      <c r="N24" s="88"/>
      <c r="O24" s="88"/>
      <c r="P24" s="6">
        <v>140.45</v>
      </c>
      <c r="Q24" s="6">
        <v>10.01</v>
      </c>
      <c r="R24" s="18"/>
      <c r="S24" s="18"/>
      <c r="T24" s="18"/>
      <c r="U24" s="18"/>
      <c r="V24" s="18"/>
    </row>
    <row r="25">
      <c r="A25" s="107"/>
      <c r="B25" s="6"/>
      <c r="C25" s="18"/>
      <c r="D25" s="18"/>
      <c r="E25" s="108" t="s">
        <v>104</v>
      </c>
      <c r="F25" s="111">
        <f t="shared" ref="F25:I25" si="3">SUM(F3:F24)</f>
        <v>3728.91</v>
      </c>
      <c r="G25" s="111">
        <f t="shared" si="3"/>
        <v>81.6</v>
      </c>
      <c r="H25" s="111">
        <f t="shared" si="3"/>
        <v>370.86</v>
      </c>
      <c r="I25" s="114">
        <f t="shared" si="3"/>
        <v>3276.45</v>
      </c>
      <c r="J25" s="4"/>
      <c r="K25" s="115"/>
      <c r="L25" s="116"/>
      <c r="M25" s="115"/>
      <c r="N25" s="117"/>
      <c r="O25" s="88"/>
      <c r="P25" s="6">
        <v>13.9</v>
      </c>
      <c r="Q25" s="6">
        <v>550.93</v>
      </c>
      <c r="R25" s="18"/>
      <c r="S25" s="18"/>
      <c r="T25" s="18"/>
      <c r="U25" s="18"/>
      <c r="V25" s="18"/>
    </row>
    <row r="26">
      <c r="A26" s="107"/>
      <c r="B26" s="18"/>
      <c r="C26" s="18"/>
      <c r="D26" s="18"/>
      <c r="E26" s="119" t="s">
        <v>11</v>
      </c>
      <c r="F26" s="120">
        <f>G26+I26+H26</f>
        <v>1334.57</v>
      </c>
      <c r="G26" s="121">
        <v>0.4</v>
      </c>
      <c r="H26" s="121">
        <v>0.64</v>
      </c>
      <c r="I26" s="122">
        <f>1479.57-141.92-4.12</f>
        <v>1333.53</v>
      </c>
      <c r="J26" s="18"/>
      <c r="K26" s="18"/>
      <c r="L26" s="18"/>
      <c r="M26" s="88"/>
      <c r="N26" s="88"/>
      <c r="O26" s="88"/>
      <c r="P26" s="27">
        <v>13.5</v>
      </c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23" t="s">
        <v>66</v>
      </c>
      <c r="F27" s="124">
        <f t="shared" ref="F27:I27" si="4">SUM(F25:F26)</f>
        <v>5063.48</v>
      </c>
      <c r="G27" s="124">
        <f t="shared" si="4"/>
        <v>82</v>
      </c>
      <c r="H27" s="124">
        <f t="shared" si="4"/>
        <v>371.5</v>
      </c>
      <c r="I27" s="125">
        <f t="shared" si="4"/>
        <v>4609.98</v>
      </c>
      <c r="J27" s="88"/>
      <c r="K27" s="88"/>
      <c r="L27" s="18"/>
      <c r="M27" s="88"/>
      <c r="N27" s="88"/>
      <c r="O27" s="88"/>
      <c r="P27" s="6">
        <v>8.0</v>
      </c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08" t="s">
        <v>106</v>
      </c>
      <c r="F28" s="111">
        <f t="shared" ref="F28:F29" si="6">G28+H28+I28</f>
        <v>3544.47</v>
      </c>
      <c r="G28" s="111">
        <f t="shared" ref="G28:H28" si="5">SUM(R2:R6)</f>
        <v>81.6</v>
      </c>
      <c r="H28" s="111">
        <f t="shared" si="5"/>
        <v>370.86</v>
      </c>
      <c r="I28" s="114">
        <f>SUM(Q2:Q31)</f>
        <v>3092.01</v>
      </c>
      <c r="J28" s="88"/>
      <c r="K28" s="4"/>
      <c r="L28" s="18"/>
      <c r="M28" s="4"/>
      <c r="N28" s="4"/>
      <c r="O28" s="4"/>
      <c r="P28" s="6">
        <v>2.0</v>
      </c>
      <c r="Q28" s="18"/>
      <c r="R28" s="18"/>
      <c r="S28" s="18"/>
      <c r="T28" s="18"/>
      <c r="U28" s="18"/>
      <c r="V28" s="18"/>
    </row>
    <row r="29">
      <c r="A29" s="88"/>
      <c r="B29" s="18"/>
      <c r="C29" s="18"/>
      <c r="D29" s="18"/>
      <c r="E29" s="126" t="s">
        <v>107</v>
      </c>
      <c r="F29" s="127">
        <f t="shared" si="6"/>
        <v>1644.93</v>
      </c>
      <c r="G29" s="129">
        <f t="shared" ref="G29:H29" si="7">SUM(R8:R20)</f>
        <v>0</v>
      </c>
      <c r="H29" s="129">
        <f t="shared" si="7"/>
        <v>0</v>
      </c>
      <c r="I29" s="130">
        <f>SUM(P2:P51)</f>
        <v>1644.93</v>
      </c>
      <c r="J29" s="88"/>
      <c r="K29" s="4"/>
      <c r="L29" s="18"/>
      <c r="M29" s="4"/>
      <c r="N29" s="4"/>
      <c r="O29" s="4"/>
      <c r="P29" s="6">
        <v>9.53</v>
      </c>
      <c r="Q29" s="18"/>
      <c r="R29" s="18"/>
      <c r="S29" s="18"/>
      <c r="T29" s="18"/>
      <c r="U29" s="18"/>
      <c r="V29" s="18"/>
    </row>
    <row r="30">
      <c r="A30" s="88"/>
      <c r="B30" s="6"/>
      <c r="C30" s="18"/>
      <c r="D30" s="18"/>
      <c r="E30" s="132" t="s">
        <v>108</v>
      </c>
      <c r="F30" s="133">
        <f t="shared" ref="F30:I30" si="8">SUM(F28:F29)</f>
        <v>5189.4</v>
      </c>
      <c r="G30" s="133">
        <f t="shared" si="8"/>
        <v>81.6</v>
      </c>
      <c r="H30" s="133">
        <f t="shared" si="8"/>
        <v>370.86</v>
      </c>
      <c r="I30" s="134">
        <f t="shared" si="8"/>
        <v>4736.94</v>
      </c>
      <c r="J30" s="88"/>
      <c r="K30" s="4"/>
      <c r="L30" s="6"/>
      <c r="M30" s="4"/>
      <c r="N30" s="4"/>
      <c r="O30" s="4"/>
      <c r="P30" s="6">
        <v>2.0</v>
      </c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6"/>
      <c r="E31" s="108" t="s">
        <v>109</v>
      </c>
      <c r="F31" s="111">
        <f t="shared" ref="F31:F32" si="10">G31+H31+I31</f>
        <v>184.44</v>
      </c>
      <c r="G31" s="111">
        <f t="shared" ref="G31:I31" si="9">G25-G28</f>
        <v>0</v>
      </c>
      <c r="H31" s="111">
        <f t="shared" si="9"/>
        <v>0</v>
      </c>
      <c r="I31" s="114">
        <f t="shared" si="9"/>
        <v>184.44</v>
      </c>
      <c r="J31" s="88"/>
      <c r="K31" s="4"/>
      <c r="L31" s="6"/>
      <c r="M31" s="4"/>
      <c r="N31" s="113"/>
      <c r="O31" s="113"/>
      <c r="P31" s="6">
        <v>40.0</v>
      </c>
      <c r="Q31" s="18"/>
      <c r="R31" s="18"/>
      <c r="S31" s="18"/>
      <c r="T31" s="18"/>
      <c r="U31" s="18"/>
      <c r="V31" s="18"/>
    </row>
    <row r="32">
      <c r="A32" s="18"/>
      <c r="B32" s="135"/>
      <c r="C32" s="135"/>
      <c r="D32" s="88"/>
      <c r="E32" s="126" t="s">
        <v>110</v>
      </c>
      <c r="F32" s="127">
        <f t="shared" si="10"/>
        <v>-310.36</v>
      </c>
      <c r="G32" s="129">
        <f t="shared" ref="G32:I32" si="11">G26-G29</f>
        <v>0.4</v>
      </c>
      <c r="H32" s="129">
        <f t="shared" si="11"/>
        <v>0.64</v>
      </c>
      <c r="I32" s="130">
        <f t="shared" si="11"/>
        <v>-311.4</v>
      </c>
      <c r="J32" s="88"/>
      <c r="K32" s="4"/>
      <c r="L32" s="6"/>
      <c r="M32" s="4"/>
      <c r="N32" s="113"/>
      <c r="O32" s="113"/>
      <c r="P32" s="6">
        <v>9.5</v>
      </c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88"/>
      <c r="E33" s="132" t="s">
        <v>66</v>
      </c>
      <c r="F33" s="133">
        <f t="shared" ref="F33:I33" si="12">SUM(F31:F32)</f>
        <v>-125.92</v>
      </c>
      <c r="G33" s="133">
        <f t="shared" si="12"/>
        <v>0.4</v>
      </c>
      <c r="H33" s="133">
        <f t="shared" si="12"/>
        <v>0.64</v>
      </c>
      <c r="I33" s="134">
        <f t="shared" si="12"/>
        <v>-126.96</v>
      </c>
      <c r="J33" s="88"/>
      <c r="K33" s="4"/>
      <c r="L33" s="6"/>
      <c r="M33" s="4"/>
      <c r="N33" s="4"/>
      <c r="O33" s="4"/>
      <c r="P33" s="6">
        <v>34.03</v>
      </c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4" t="s">
        <v>111</v>
      </c>
      <c r="F34" s="18">
        <f>G34+I34+H34</f>
        <v>4264.58</v>
      </c>
      <c r="G34" s="6">
        <v>82.13</v>
      </c>
      <c r="H34" s="6">
        <v>133.6</v>
      </c>
      <c r="I34" s="6">
        <v>4048.85</v>
      </c>
      <c r="J34" s="88"/>
      <c r="K34" s="88"/>
      <c r="L34" s="18"/>
      <c r="M34" s="88"/>
      <c r="N34" s="88"/>
      <c r="O34" s="18"/>
      <c r="P34" s="6">
        <v>47.28</v>
      </c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4" t="s">
        <v>112</v>
      </c>
      <c r="F35" s="18">
        <f t="shared" ref="F35:I35" si="13">F34-F27</f>
        <v>-798.9</v>
      </c>
      <c r="G35" s="6">
        <f t="shared" si="13"/>
        <v>0.13</v>
      </c>
      <c r="H35" s="6">
        <f t="shared" si="13"/>
        <v>-237.9</v>
      </c>
      <c r="I35" s="6">
        <f t="shared" si="13"/>
        <v>-561.13</v>
      </c>
      <c r="J35" s="88"/>
      <c r="K35" s="88"/>
      <c r="L35" s="18"/>
      <c r="M35" s="6"/>
      <c r="N35" s="18"/>
      <c r="O35" s="18"/>
      <c r="P35" s="6">
        <v>53.54</v>
      </c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4" t="s">
        <v>113</v>
      </c>
      <c r="F36" s="18">
        <f t="shared" ref="F36:I36" si="14">F34-F30</f>
        <v>-924.82</v>
      </c>
      <c r="G36" s="18">
        <f t="shared" si="14"/>
        <v>0.53</v>
      </c>
      <c r="H36" s="18">
        <f t="shared" si="14"/>
        <v>-237.26</v>
      </c>
      <c r="I36" s="18">
        <f t="shared" si="14"/>
        <v>-688.09</v>
      </c>
      <c r="J36" s="88"/>
      <c r="K36" s="88"/>
      <c r="L36" s="18"/>
      <c r="M36" s="18"/>
      <c r="N36" s="18"/>
      <c r="O36" s="18"/>
      <c r="P36" s="6">
        <v>2.65</v>
      </c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88"/>
      <c r="F37" s="88"/>
      <c r="G37" s="88"/>
      <c r="H37" s="50"/>
      <c r="I37" s="88"/>
      <c r="J37" s="88"/>
      <c r="K37" s="88"/>
      <c r="L37" s="18"/>
      <c r="M37" s="18"/>
      <c r="N37" s="18"/>
      <c r="O37" s="18"/>
      <c r="P37" s="6">
        <v>45.73</v>
      </c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88"/>
      <c r="F38" s="88"/>
      <c r="G38" s="88"/>
      <c r="H38" s="6"/>
      <c r="I38" s="88"/>
      <c r="J38" s="18"/>
      <c r="K38" s="18"/>
      <c r="L38" s="18"/>
      <c r="M38" s="18"/>
      <c r="N38" s="18"/>
      <c r="O38" s="18"/>
      <c r="P38" s="6">
        <v>6.93</v>
      </c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88"/>
      <c r="F39" s="88"/>
      <c r="G39" s="88"/>
      <c r="H39" s="18"/>
      <c r="I39" s="88"/>
      <c r="J39" s="18"/>
      <c r="K39" s="18"/>
      <c r="L39" s="18"/>
      <c r="M39" s="18"/>
      <c r="N39" s="18"/>
      <c r="O39" s="18"/>
      <c r="P39" s="6">
        <v>36.33</v>
      </c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88"/>
      <c r="F40" s="88"/>
      <c r="G40" s="88"/>
      <c r="H40" s="18"/>
      <c r="I40" s="88"/>
      <c r="J40" s="18"/>
      <c r="K40" s="18"/>
      <c r="L40" s="18"/>
      <c r="M40" s="18"/>
      <c r="N40" s="18"/>
      <c r="O40" s="18"/>
      <c r="P40" s="6">
        <v>2.0</v>
      </c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88"/>
      <c r="F41" s="88"/>
      <c r="G41" s="88"/>
      <c r="H41" s="18"/>
      <c r="I41" s="88"/>
      <c r="J41" s="18"/>
      <c r="K41" s="18"/>
      <c r="L41" s="18"/>
      <c r="M41" s="18"/>
      <c r="N41" s="18"/>
      <c r="O41" s="18"/>
      <c r="P41" s="6">
        <v>10.99</v>
      </c>
      <c r="Q41" s="88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37"/>
      <c r="F42" s="137"/>
      <c r="G42" s="18"/>
      <c r="H42" s="18"/>
      <c r="I42" s="18"/>
      <c r="J42" s="18"/>
      <c r="K42" s="18"/>
      <c r="L42" s="18"/>
      <c r="M42" s="18"/>
      <c r="N42" s="18"/>
      <c r="O42" s="18"/>
      <c r="P42" s="6">
        <v>129.96</v>
      </c>
      <c r="Q42" s="88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37"/>
      <c r="F43" s="137"/>
      <c r="G43" s="18"/>
      <c r="H43" s="18"/>
      <c r="I43" s="18"/>
      <c r="J43" s="18"/>
      <c r="K43" s="18"/>
      <c r="L43" s="18"/>
      <c r="M43" s="18"/>
      <c r="N43" s="18"/>
      <c r="O43" s="18"/>
      <c r="P43" s="6">
        <v>50.0</v>
      </c>
      <c r="Q43" s="88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37"/>
      <c r="F44" s="137"/>
      <c r="G44" s="18"/>
      <c r="H44" s="18"/>
      <c r="I44" s="18"/>
      <c r="J44" s="18"/>
      <c r="K44" s="18"/>
      <c r="L44" s="18"/>
      <c r="M44" s="18"/>
      <c r="N44" s="18"/>
      <c r="O44" s="18"/>
      <c r="P44" s="6">
        <v>0.45</v>
      </c>
      <c r="Q44" s="88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37"/>
      <c r="F45" s="137"/>
      <c r="G45" s="18"/>
      <c r="H45" s="18"/>
      <c r="I45" s="18"/>
      <c r="J45" s="18"/>
      <c r="K45" s="18"/>
      <c r="L45" s="18"/>
      <c r="M45" s="18"/>
      <c r="N45" s="18"/>
      <c r="O45" s="18"/>
      <c r="P45" s="6">
        <v>12.0</v>
      </c>
      <c r="Q45" s="88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37"/>
      <c r="F46" s="137"/>
      <c r="G46" s="18"/>
      <c r="H46" s="18"/>
      <c r="I46" s="18"/>
      <c r="J46" s="18"/>
      <c r="K46" s="18"/>
      <c r="L46" s="18"/>
      <c r="M46" s="18"/>
      <c r="N46" s="18"/>
      <c r="O46" s="18"/>
      <c r="P46" s="6">
        <v>37.29</v>
      </c>
      <c r="Q46" s="88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37"/>
      <c r="F47" s="137"/>
      <c r="G47" s="18"/>
      <c r="H47" s="18"/>
      <c r="I47" s="18"/>
      <c r="J47" s="18"/>
      <c r="K47" s="18"/>
      <c r="L47" s="18"/>
      <c r="M47" s="18"/>
      <c r="N47" s="18"/>
      <c r="O47" s="18"/>
      <c r="P47" s="6">
        <v>16.84</v>
      </c>
      <c r="Q47" s="88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37"/>
      <c r="F48" s="137"/>
      <c r="G48" s="18"/>
      <c r="H48" s="18"/>
      <c r="I48" s="18"/>
      <c r="J48" s="18"/>
      <c r="K48" s="18"/>
      <c r="L48" s="18"/>
      <c r="M48" s="18"/>
      <c r="N48" s="18"/>
      <c r="O48" s="18"/>
      <c r="P48" s="6">
        <v>12.0</v>
      </c>
      <c r="Q48" s="88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37"/>
      <c r="F49" s="137"/>
      <c r="G49" s="18"/>
      <c r="H49" s="18"/>
      <c r="I49" s="18"/>
      <c r="J49" s="18"/>
      <c r="K49" s="18"/>
      <c r="L49" s="18"/>
      <c r="M49" s="18"/>
      <c r="N49" s="18"/>
      <c r="O49" s="18"/>
      <c r="P49" s="6">
        <v>36.15</v>
      </c>
      <c r="Q49" s="88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37"/>
      <c r="F50" s="13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37"/>
      <c r="F51" s="13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37"/>
      <c r="F52" s="13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37"/>
      <c r="F53" s="13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37"/>
      <c r="F54" s="13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37"/>
      <c r="F55" s="13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37"/>
      <c r="F56" s="13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37"/>
      <c r="F57" s="13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37"/>
      <c r="F58" s="13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37"/>
      <c r="F59" s="13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37"/>
      <c r="F60" s="13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37"/>
      <c r="F61" s="13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37"/>
      <c r="F62" s="13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37"/>
      <c r="F63" s="13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37"/>
      <c r="F64" s="13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37"/>
      <c r="F65" s="13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37"/>
      <c r="F66" s="13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37"/>
      <c r="F67" s="13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37"/>
      <c r="F68" s="13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37"/>
      <c r="F69" s="13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37"/>
      <c r="F70" s="13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37"/>
      <c r="F71" s="13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37"/>
      <c r="F72" s="13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37"/>
      <c r="F73" s="13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37"/>
      <c r="F74" s="13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37"/>
      <c r="F75" s="13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37"/>
      <c r="F76" s="13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37"/>
      <c r="F77" s="13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37"/>
      <c r="F78" s="13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37"/>
      <c r="F79" s="13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37"/>
      <c r="F80" s="13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37"/>
      <c r="F81" s="13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37"/>
      <c r="F82" s="13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37"/>
      <c r="F83" s="13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37"/>
      <c r="F84" s="13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37"/>
      <c r="F85" s="13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37"/>
      <c r="F86" s="13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37"/>
      <c r="F87" s="13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37"/>
      <c r="F88" s="13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37"/>
      <c r="F89" s="13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37"/>
      <c r="F90" s="13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37"/>
      <c r="F91" s="13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37"/>
      <c r="F92" s="13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37"/>
      <c r="F93" s="13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37"/>
      <c r="F94" s="13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37"/>
      <c r="F95" s="13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37"/>
      <c r="F96" s="13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37"/>
      <c r="F97" s="13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37"/>
      <c r="F98" s="13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37"/>
      <c r="F99" s="13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37"/>
      <c r="F100" s="13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37"/>
      <c r="F101" s="13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37"/>
      <c r="F102" s="13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37"/>
      <c r="F103" s="13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37"/>
      <c r="F104" s="13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37"/>
      <c r="F105" s="13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37"/>
      <c r="F106" s="13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37"/>
      <c r="F107" s="13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37"/>
      <c r="F108" s="13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37"/>
      <c r="F109" s="13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37"/>
      <c r="F110" s="13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37"/>
      <c r="F111" s="13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37"/>
      <c r="F112" s="13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37"/>
      <c r="F113" s="13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37"/>
      <c r="F114" s="13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37"/>
      <c r="F115" s="13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37"/>
      <c r="F116" s="13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37"/>
      <c r="F117" s="13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37"/>
      <c r="F118" s="13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37"/>
      <c r="F119" s="13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37"/>
      <c r="F120" s="13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37"/>
      <c r="F121" s="13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37"/>
      <c r="F122" s="13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37"/>
      <c r="F123" s="13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37"/>
      <c r="F124" s="13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37"/>
      <c r="F125" s="13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37"/>
      <c r="F126" s="13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37"/>
      <c r="F127" s="13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37"/>
      <c r="F128" s="13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37"/>
      <c r="F129" s="13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37"/>
      <c r="F130" s="13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37"/>
      <c r="F131" s="13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37"/>
      <c r="F132" s="13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37"/>
      <c r="F133" s="13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37"/>
      <c r="F134" s="13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37"/>
      <c r="F135" s="13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37"/>
      <c r="F136" s="13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37"/>
      <c r="F137" s="13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37"/>
      <c r="F138" s="13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37"/>
      <c r="F139" s="13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37"/>
      <c r="F140" s="13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37"/>
      <c r="F141" s="13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37"/>
      <c r="F142" s="13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37"/>
      <c r="F143" s="13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37"/>
      <c r="F144" s="13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37"/>
      <c r="F145" s="13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37"/>
      <c r="F146" s="13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37"/>
      <c r="F147" s="13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37"/>
      <c r="F148" s="13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37"/>
      <c r="F149" s="13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37"/>
      <c r="F150" s="13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37"/>
      <c r="F151" s="13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37"/>
      <c r="F152" s="13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37"/>
      <c r="F153" s="13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37"/>
      <c r="F154" s="13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37"/>
      <c r="F155" s="13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37"/>
      <c r="F156" s="13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37"/>
      <c r="F157" s="13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37"/>
      <c r="F158" s="13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37"/>
      <c r="F159" s="13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37"/>
      <c r="F160" s="13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37"/>
      <c r="F161" s="13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37"/>
      <c r="F162" s="13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37"/>
      <c r="F163" s="13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37"/>
      <c r="F164" s="13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37"/>
      <c r="F165" s="13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37"/>
      <c r="F166" s="13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37"/>
      <c r="F167" s="13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37"/>
      <c r="F168" s="13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37"/>
      <c r="F169" s="13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37"/>
      <c r="F170" s="13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37"/>
      <c r="F171" s="13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37"/>
      <c r="F172" s="13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37"/>
      <c r="F173" s="13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37"/>
      <c r="F174" s="13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37"/>
      <c r="F175" s="13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37"/>
      <c r="F176" s="13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37"/>
      <c r="F177" s="13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37"/>
      <c r="F178" s="13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37"/>
      <c r="F179" s="13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37"/>
      <c r="F180" s="13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37"/>
      <c r="F181" s="13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37"/>
      <c r="F182" s="13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37"/>
      <c r="F183" s="13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37"/>
      <c r="F184" s="13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37"/>
      <c r="F185" s="13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37"/>
      <c r="F186" s="13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37"/>
      <c r="F187" s="13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37"/>
      <c r="F188" s="13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37"/>
      <c r="F189" s="13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37"/>
      <c r="F190" s="13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37"/>
      <c r="F191" s="13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37"/>
      <c r="F192" s="13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37"/>
      <c r="F193" s="13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37"/>
      <c r="F194" s="13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37"/>
      <c r="F195" s="13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37"/>
      <c r="F196" s="13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37"/>
      <c r="F197" s="13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37"/>
      <c r="F198" s="13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37"/>
      <c r="F199" s="13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37"/>
      <c r="F200" s="13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37"/>
      <c r="F201" s="13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37"/>
      <c r="F202" s="13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37"/>
      <c r="F203" s="13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37"/>
      <c r="F204" s="13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37"/>
      <c r="F205" s="13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37"/>
      <c r="F206" s="13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37"/>
      <c r="F207" s="13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37"/>
      <c r="F208" s="13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37"/>
      <c r="F209" s="13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37"/>
      <c r="F210" s="13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37"/>
      <c r="F211" s="13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37"/>
      <c r="F212" s="13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37"/>
      <c r="F213" s="13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37"/>
      <c r="F214" s="13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37"/>
      <c r="F215" s="13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37"/>
      <c r="F216" s="13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37"/>
      <c r="F217" s="13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37"/>
      <c r="F218" s="13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37"/>
      <c r="F219" s="13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37"/>
      <c r="F220" s="13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37"/>
      <c r="F221" s="13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37"/>
      <c r="F222" s="13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37"/>
      <c r="F223" s="13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37"/>
      <c r="F224" s="13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37"/>
      <c r="F225" s="13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37"/>
      <c r="F226" s="13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37"/>
      <c r="F227" s="13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37"/>
      <c r="F228" s="13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37"/>
      <c r="F229" s="13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37"/>
      <c r="F230" s="13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37"/>
      <c r="F231" s="13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37"/>
      <c r="F232" s="13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37"/>
      <c r="F233" s="13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37"/>
      <c r="F234" s="13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37"/>
      <c r="F235" s="13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37"/>
      <c r="F236" s="13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37"/>
      <c r="F237" s="13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37"/>
      <c r="F238" s="13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37"/>
      <c r="F239" s="13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37"/>
      <c r="F240" s="13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37"/>
      <c r="F241" s="13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37"/>
      <c r="F242" s="13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37"/>
      <c r="F243" s="13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37"/>
      <c r="F244" s="13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37"/>
      <c r="F245" s="13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37"/>
      <c r="F246" s="13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37"/>
      <c r="F247" s="13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37"/>
      <c r="F248" s="13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37"/>
      <c r="F249" s="13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37"/>
      <c r="F250" s="13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37"/>
      <c r="F251" s="13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37"/>
      <c r="F252" s="13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37"/>
      <c r="F253" s="13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37"/>
      <c r="F254" s="13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37"/>
      <c r="F255" s="13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37"/>
      <c r="F256" s="13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37"/>
      <c r="F257" s="13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37"/>
      <c r="F258" s="13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37"/>
      <c r="F259" s="13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37"/>
      <c r="F260" s="13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37"/>
      <c r="F261" s="13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37"/>
      <c r="F262" s="13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37"/>
      <c r="F263" s="13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37"/>
      <c r="F264" s="13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37"/>
      <c r="F265" s="13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37"/>
      <c r="F266" s="13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37"/>
      <c r="F267" s="13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37"/>
      <c r="F268" s="13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37"/>
      <c r="F269" s="13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37"/>
      <c r="F270" s="13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37"/>
      <c r="F271" s="13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37"/>
      <c r="F272" s="13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37"/>
      <c r="F273" s="13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37"/>
      <c r="F274" s="13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37"/>
      <c r="F275" s="13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37"/>
      <c r="F276" s="13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37"/>
      <c r="F277" s="13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37"/>
      <c r="F278" s="13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37"/>
      <c r="F279" s="13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37"/>
      <c r="F280" s="13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37"/>
      <c r="F281" s="13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37"/>
      <c r="F282" s="13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37"/>
      <c r="F283" s="13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37"/>
      <c r="F284" s="13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37"/>
      <c r="F285" s="13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37"/>
      <c r="F286" s="13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37"/>
      <c r="F287" s="13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37"/>
      <c r="F288" s="13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37"/>
      <c r="F289" s="13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37"/>
      <c r="F290" s="13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37"/>
      <c r="F291" s="13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37"/>
      <c r="F292" s="13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37"/>
      <c r="F293" s="13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37"/>
      <c r="F294" s="13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37"/>
      <c r="F295" s="13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37"/>
      <c r="F296" s="13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37"/>
      <c r="F297" s="13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37"/>
      <c r="F298" s="13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37"/>
      <c r="F299" s="13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37"/>
      <c r="F300" s="13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37"/>
      <c r="F301" s="13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37"/>
      <c r="F302" s="13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37"/>
      <c r="F303" s="13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37"/>
      <c r="F304" s="13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37"/>
      <c r="F305" s="13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37"/>
      <c r="F306" s="13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37"/>
      <c r="F307" s="13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37"/>
      <c r="F308" s="13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37"/>
      <c r="F309" s="13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37"/>
      <c r="F310" s="13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37"/>
      <c r="F311" s="13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37"/>
      <c r="F312" s="13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37"/>
      <c r="F313" s="13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37"/>
      <c r="F314" s="13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37"/>
      <c r="F315" s="13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37"/>
      <c r="F316" s="13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37"/>
      <c r="F317" s="13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37"/>
      <c r="F318" s="13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37"/>
      <c r="F319" s="13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37"/>
      <c r="F320" s="13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37"/>
      <c r="F321" s="13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37"/>
      <c r="F322" s="13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37"/>
      <c r="F323" s="13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37"/>
      <c r="F324" s="13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37"/>
      <c r="F325" s="13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37"/>
      <c r="F326" s="13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37"/>
      <c r="F327" s="13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37"/>
      <c r="F328" s="13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37"/>
      <c r="F329" s="13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37"/>
      <c r="F330" s="13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37"/>
      <c r="F331" s="13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37"/>
      <c r="F332" s="13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37"/>
      <c r="F333" s="13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37"/>
      <c r="F334" s="13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37"/>
      <c r="F335" s="13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37"/>
      <c r="F336" s="13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37"/>
      <c r="F337" s="13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37"/>
      <c r="F338" s="13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37"/>
      <c r="F339" s="13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37"/>
      <c r="F340" s="13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37"/>
      <c r="F341" s="13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37"/>
      <c r="F342" s="13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37"/>
      <c r="F343" s="13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37"/>
      <c r="F344" s="13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37"/>
      <c r="F345" s="13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37"/>
      <c r="F346" s="13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37"/>
      <c r="F347" s="13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37"/>
      <c r="F348" s="13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37"/>
      <c r="F349" s="13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37"/>
      <c r="F350" s="13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37"/>
      <c r="F351" s="13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37"/>
      <c r="F352" s="13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37"/>
      <c r="F353" s="13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37"/>
      <c r="F354" s="13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37"/>
      <c r="F355" s="13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37"/>
      <c r="F356" s="13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37"/>
      <c r="F357" s="13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37"/>
      <c r="F358" s="13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37"/>
      <c r="F359" s="13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37"/>
      <c r="F360" s="13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37"/>
      <c r="F361" s="13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37"/>
      <c r="F362" s="13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37"/>
      <c r="F363" s="13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37"/>
      <c r="F364" s="13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37"/>
      <c r="F365" s="13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37"/>
      <c r="F366" s="13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37"/>
      <c r="F367" s="13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37"/>
      <c r="F368" s="13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37"/>
      <c r="F369" s="13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37"/>
      <c r="F370" s="13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37"/>
      <c r="F371" s="13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37"/>
      <c r="F372" s="13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37"/>
      <c r="F373" s="13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37"/>
      <c r="F374" s="13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37"/>
      <c r="F375" s="13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37"/>
      <c r="F376" s="13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37"/>
      <c r="F377" s="13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37"/>
      <c r="F378" s="13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37"/>
      <c r="F379" s="13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37"/>
      <c r="F380" s="13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37"/>
      <c r="F381" s="13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37"/>
      <c r="F382" s="13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37"/>
      <c r="F383" s="13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37"/>
      <c r="F384" s="13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37"/>
      <c r="F385" s="13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37"/>
      <c r="F386" s="13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37"/>
      <c r="F387" s="13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37"/>
      <c r="F388" s="13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37"/>
      <c r="F389" s="13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37"/>
      <c r="F390" s="13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37"/>
      <c r="F391" s="13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37"/>
      <c r="F392" s="13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37"/>
      <c r="F393" s="13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37"/>
      <c r="F394" s="13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37"/>
      <c r="F395" s="13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37"/>
      <c r="F396" s="13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37"/>
      <c r="F397" s="13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37"/>
      <c r="F398" s="13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37"/>
      <c r="F399" s="13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37"/>
      <c r="F400" s="13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37"/>
      <c r="F401" s="13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37"/>
      <c r="F402" s="13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37"/>
      <c r="F403" s="13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37"/>
      <c r="F404" s="13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37"/>
      <c r="F405" s="13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37"/>
      <c r="F406" s="13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37"/>
      <c r="F407" s="13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37"/>
      <c r="F408" s="13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37"/>
      <c r="F409" s="13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37"/>
      <c r="F410" s="13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37"/>
      <c r="F411" s="13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37"/>
      <c r="F412" s="13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37"/>
      <c r="F413" s="13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37"/>
      <c r="F414" s="13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37"/>
      <c r="F415" s="13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37"/>
      <c r="F416" s="13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37"/>
      <c r="F417" s="13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37"/>
      <c r="F418" s="13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37"/>
      <c r="F419" s="13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37"/>
      <c r="F420" s="13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37"/>
      <c r="F421" s="13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37"/>
      <c r="F422" s="13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37"/>
      <c r="F423" s="13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37"/>
      <c r="F424" s="13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37"/>
      <c r="F425" s="13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37"/>
      <c r="F426" s="13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37"/>
      <c r="F427" s="13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37"/>
      <c r="F428" s="13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37"/>
      <c r="F429" s="13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37"/>
      <c r="F430" s="13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37"/>
      <c r="F431" s="13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37"/>
      <c r="F432" s="13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37"/>
      <c r="F433" s="13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37"/>
      <c r="F434" s="13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37"/>
      <c r="F435" s="13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37"/>
      <c r="F436" s="13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37"/>
      <c r="F437" s="13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37"/>
      <c r="F438" s="13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37"/>
      <c r="F439" s="13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37"/>
      <c r="F440" s="13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37"/>
      <c r="F441" s="13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37"/>
      <c r="F442" s="13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37"/>
      <c r="F443" s="13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37"/>
      <c r="F444" s="13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37"/>
      <c r="F445" s="13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37"/>
      <c r="F446" s="13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37"/>
      <c r="F447" s="13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37"/>
      <c r="F448" s="13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37"/>
      <c r="F449" s="13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37"/>
      <c r="F450" s="13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37"/>
      <c r="F451" s="13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37"/>
      <c r="F452" s="13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37"/>
      <c r="F453" s="13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37"/>
      <c r="F454" s="13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37"/>
      <c r="F455" s="13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37"/>
      <c r="F456" s="13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37"/>
      <c r="F457" s="13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37"/>
      <c r="F458" s="13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37"/>
      <c r="F459" s="13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37"/>
      <c r="F460" s="13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37"/>
      <c r="F461" s="13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37"/>
      <c r="F462" s="13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37"/>
      <c r="F463" s="13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37"/>
      <c r="F464" s="13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37"/>
      <c r="F465" s="13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37"/>
      <c r="F466" s="13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37"/>
      <c r="F467" s="13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37"/>
      <c r="F468" s="13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37"/>
      <c r="F469" s="13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37"/>
      <c r="F470" s="13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37"/>
      <c r="F471" s="13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37"/>
      <c r="F472" s="13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37"/>
      <c r="F473" s="13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37"/>
      <c r="F474" s="13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37"/>
      <c r="F475" s="13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37"/>
      <c r="F476" s="13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37"/>
      <c r="F477" s="13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37"/>
      <c r="F478" s="13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37"/>
      <c r="F479" s="13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37"/>
      <c r="F480" s="13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37"/>
      <c r="F481" s="13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37"/>
      <c r="F482" s="13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37"/>
      <c r="F483" s="13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37"/>
      <c r="F484" s="13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37"/>
      <c r="F485" s="13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37"/>
      <c r="F486" s="13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37"/>
      <c r="F487" s="13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37"/>
      <c r="F488" s="13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37"/>
      <c r="F489" s="13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37"/>
      <c r="F490" s="13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37"/>
      <c r="F491" s="13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37"/>
      <c r="F492" s="13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37"/>
      <c r="F493" s="13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37"/>
      <c r="F494" s="13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37"/>
      <c r="F495" s="13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37"/>
      <c r="F496" s="13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37"/>
      <c r="F497" s="13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37"/>
      <c r="F498" s="13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37"/>
      <c r="F499" s="13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37"/>
      <c r="F500" s="13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37"/>
      <c r="F501" s="13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37"/>
      <c r="F502" s="13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37"/>
      <c r="F503" s="13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37"/>
      <c r="F504" s="13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37"/>
      <c r="F505" s="13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37"/>
      <c r="F506" s="13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37"/>
      <c r="F507" s="13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37"/>
      <c r="F508" s="13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37"/>
      <c r="F509" s="13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37"/>
      <c r="F510" s="13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37"/>
      <c r="F511" s="13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37"/>
      <c r="F512" s="13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37"/>
      <c r="F513" s="13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37"/>
      <c r="F514" s="13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37"/>
      <c r="F515" s="13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37"/>
      <c r="F516" s="13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37"/>
      <c r="F517" s="13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37"/>
      <c r="F518" s="13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37"/>
      <c r="F519" s="13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37"/>
      <c r="F520" s="13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37"/>
      <c r="F521" s="13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37"/>
      <c r="F522" s="13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37"/>
      <c r="F523" s="13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37"/>
      <c r="F524" s="13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37"/>
      <c r="F525" s="13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37"/>
      <c r="F526" s="13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37"/>
      <c r="F527" s="13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37"/>
      <c r="F528" s="13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37"/>
      <c r="F529" s="13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37"/>
      <c r="F530" s="13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37"/>
      <c r="F531" s="13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37"/>
      <c r="F532" s="13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37"/>
      <c r="F533" s="13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37"/>
      <c r="F534" s="13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37"/>
      <c r="F535" s="13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37"/>
      <c r="F536" s="13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37"/>
      <c r="F537" s="13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37"/>
      <c r="F538" s="13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37"/>
      <c r="F539" s="13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37"/>
      <c r="F540" s="13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37"/>
      <c r="F541" s="13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37"/>
      <c r="F542" s="13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37"/>
      <c r="F543" s="13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37"/>
      <c r="F544" s="13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37"/>
      <c r="F545" s="13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37"/>
      <c r="F546" s="13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37"/>
      <c r="F547" s="13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37"/>
      <c r="F548" s="13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37"/>
      <c r="F549" s="13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37"/>
      <c r="F550" s="13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37"/>
      <c r="F551" s="13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37"/>
      <c r="F552" s="13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37"/>
      <c r="F553" s="13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37"/>
      <c r="F554" s="13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37"/>
      <c r="F555" s="13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37"/>
      <c r="F556" s="13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37"/>
      <c r="F557" s="13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37"/>
      <c r="F558" s="13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37"/>
      <c r="F559" s="13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37"/>
      <c r="F560" s="13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37"/>
      <c r="F561" s="13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37"/>
      <c r="F562" s="13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37"/>
      <c r="F563" s="13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37"/>
      <c r="F564" s="13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37"/>
      <c r="F565" s="13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37"/>
      <c r="F566" s="13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37"/>
      <c r="F567" s="13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37"/>
      <c r="F568" s="13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37"/>
      <c r="F569" s="13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37"/>
      <c r="F570" s="13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37"/>
      <c r="F571" s="13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37"/>
      <c r="F572" s="13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37"/>
      <c r="F573" s="13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37"/>
      <c r="F574" s="13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37"/>
      <c r="F575" s="13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37"/>
      <c r="F576" s="13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37"/>
      <c r="F577" s="13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37"/>
      <c r="F578" s="13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37"/>
      <c r="F579" s="13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37"/>
      <c r="F580" s="13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37"/>
      <c r="F581" s="13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37"/>
      <c r="F582" s="13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37"/>
      <c r="F583" s="13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37"/>
      <c r="F584" s="13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37"/>
      <c r="F585" s="13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37"/>
      <c r="F586" s="13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37"/>
      <c r="F587" s="13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37"/>
      <c r="F588" s="13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37"/>
      <c r="F589" s="13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37"/>
      <c r="F590" s="13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37"/>
      <c r="F591" s="13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37"/>
      <c r="F592" s="13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37"/>
      <c r="F593" s="13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37"/>
      <c r="F594" s="13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37"/>
      <c r="F595" s="13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37"/>
      <c r="F596" s="13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37"/>
      <c r="F597" s="13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37"/>
      <c r="F598" s="13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37"/>
      <c r="F599" s="13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37"/>
      <c r="F600" s="13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37"/>
      <c r="F601" s="13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37"/>
      <c r="F602" s="13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37"/>
      <c r="F603" s="13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37"/>
      <c r="F604" s="13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37"/>
      <c r="F605" s="13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37"/>
      <c r="F606" s="13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37"/>
      <c r="F607" s="13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37"/>
      <c r="F608" s="13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37"/>
      <c r="F609" s="13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37"/>
      <c r="F610" s="13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37"/>
      <c r="F611" s="13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37"/>
      <c r="F612" s="13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37"/>
      <c r="F613" s="13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37"/>
      <c r="F614" s="13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37"/>
      <c r="F615" s="13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37"/>
      <c r="F616" s="13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37"/>
      <c r="F617" s="13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37"/>
      <c r="F618" s="13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37"/>
      <c r="F619" s="13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37"/>
      <c r="F620" s="13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37"/>
      <c r="F621" s="13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37"/>
      <c r="F622" s="13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37"/>
      <c r="F623" s="13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37"/>
      <c r="F624" s="13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37"/>
      <c r="F625" s="13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37"/>
      <c r="F626" s="13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37"/>
      <c r="F627" s="13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37"/>
      <c r="F628" s="13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37"/>
      <c r="F629" s="13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37"/>
      <c r="F630" s="13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37"/>
      <c r="F631" s="13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37"/>
      <c r="F632" s="13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37"/>
      <c r="F633" s="13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37"/>
      <c r="F634" s="13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37"/>
      <c r="F635" s="13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37"/>
      <c r="F636" s="13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37"/>
      <c r="F637" s="13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37"/>
      <c r="F638" s="13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37"/>
      <c r="F639" s="13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37"/>
      <c r="F640" s="13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37"/>
      <c r="F641" s="13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37"/>
      <c r="F642" s="13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37"/>
      <c r="F643" s="13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37"/>
      <c r="F644" s="13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37"/>
      <c r="F645" s="13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37"/>
      <c r="F646" s="13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37"/>
      <c r="F647" s="13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37"/>
      <c r="F648" s="13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37"/>
      <c r="F649" s="13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37"/>
      <c r="F650" s="13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37"/>
      <c r="F651" s="13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37"/>
      <c r="F652" s="13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37"/>
      <c r="F653" s="13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37"/>
      <c r="F654" s="13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37"/>
      <c r="F655" s="13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37"/>
      <c r="F656" s="13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37"/>
      <c r="F657" s="13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37"/>
      <c r="F658" s="13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37"/>
      <c r="F659" s="13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37"/>
      <c r="F660" s="13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37"/>
      <c r="F661" s="13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37"/>
      <c r="F662" s="13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37"/>
      <c r="F663" s="13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37"/>
      <c r="F664" s="13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37"/>
      <c r="F665" s="13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37"/>
      <c r="F666" s="13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37"/>
      <c r="F667" s="13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37"/>
      <c r="F668" s="13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37"/>
      <c r="F669" s="13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37"/>
      <c r="F670" s="13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37"/>
      <c r="F671" s="13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37"/>
      <c r="F672" s="13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37"/>
      <c r="F673" s="13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37"/>
      <c r="F674" s="13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37"/>
      <c r="F675" s="13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37"/>
      <c r="F676" s="13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37"/>
      <c r="F677" s="13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37"/>
      <c r="F678" s="13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37"/>
      <c r="F679" s="13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37"/>
      <c r="F680" s="13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37"/>
      <c r="F681" s="13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37"/>
      <c r="F682" s="13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37"/>
      <c r="F683" s="13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37"/>
      <c r="F684" s="13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37"/>
      <c r="F685" s="13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37"/>
      <c r="F686" s="13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37"/>
      <c r="F687" s="13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37"/>
      <c r="F688" s="13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37"/>
      <c r="F689" s="13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37"/>
      <c r="F690" s="13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37"/>
      <c r="F691" s="13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37"/>
      <c r="F692" s="13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37"/>
      <c r="F693" s="13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37"/>
      <c r="F694" s="13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37"/>
      <c r="F695" s="13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37"/>
      <c r="F696" s="13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37"/>
      <c r="F697" s="13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37"/>
      <c r="F698" s="13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37"/>
      <c r="F699" s="13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37"/>
      <c r="F700" s="13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37"/>
      <c r="F701" s="13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37"/>
      <c r="F702" s="13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37"/>
      <c r="F703" s="13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37"/>
      <c r="F704" s="13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37"/>
      <c r="F705" s="13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37"/>
      <c r="F706" s="13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37"/>
      <c r="F707" s="13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37"/>
      <c r="F708" s="13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37"/>
      <c r="F709" s="13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37"/>
      <c r="F710" s="13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37"/>
      <c r="F711" s="13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37"/>
      <c r="F712" s="13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37"/>
      <c r="F713" s="13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37"/>
      <c r="F714" s="13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37"/>
      <c r="F715" s="13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37"/>
      <c r="F716" s="13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37"/>
      <c r="F717" s="13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37"/>
      <c r="F718" s="13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37"/>
      <c r="F719" s="13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37"/>
      <c r="F720" s="13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37"/>
      <c r="F721" s="13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37"/>
      <c r="F722" s="13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37"/>
      <c r="F723" s="13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37"/>
      <c r="F724" s="13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37"/>
      <c r="F725" s="13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37"/>
      <c r="F726" s="13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37"/>
      <c r="F727" s="13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37"/>
      <c r="F728" s="13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37"/>
      <c r="F729" s="13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37"/>
      <c r="F730" s="13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37"/>
      <c r="F731" s="13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37"/>
      <c r="F732" s="13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37"/>
      <c r="F733" s="13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37"/>
      <c r="F734" s="13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37"/>
      <c r="F735" s="13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37"/>
      <c r="F736" s="13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37"/>
      <c r="F737" s="13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37"/>
      <c r="F738" s="13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37"/>
      <c r="F739" s="13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37"/>
      <c r="F740" s="13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37"/>
      <c r="F741" s="13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37"/>
      <c r="F742" s="13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37"/>
      <c r="F743" s="13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37"/>
      <c r="F744" s="13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37"/>
      <c r="F745" s="13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37"/>
      <c r="F746" s="13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37"/>
      <c r="F747" s="13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37"/>
      <c r="F748" s="13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37"/>
      <c r="F749" s="13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37"/>
      <c r="F750" s="13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37"/>
      <c r="F751" s="13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37"/>
      <c r="F752" s="13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37"/>
      <c r="F753" s="13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37"/>
      <c r="F754" s="13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37"/>
      <c r="F755" s="13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37"/>
      <c r="F756" s="13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37"/>
      <c r="F757" s="13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37"/>
      <c r="F758" s="13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37"/>
      <c r="F759" s="13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37"/>
      <c r="F760" s="13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37"/>
      <c r="F761" s="13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37"/>
      <c r="F762" s="13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37"/>
      <c r="F763" s="13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37"/>
      <c r="F764" s="13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37"/>
      <c r="F765" s="13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37"/>
      <c r="F766" s="13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37"/>
      <c r="F767" s="13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37"/>
      <c r="F768" s="13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37"/>
      <c r="F769" s="13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37"/>
      <c r="F770" s="13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37"/>
      <c r="F771" s="13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37"/>
      <c r="F772" s="13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37"/>
      <c r="F773" s="13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37"/>
      <c r="F774" s="13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37"/>
      <c r="F775" s="13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37"/>
      <c r="F776" s="13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37"/>
      <c r="F777" s="13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37"/>
      <c r="F778" s="13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37"/>
      <c r="F779" s="13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37"/>
      <c r="F780" s="13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37"/>
      <c r="F781" s="13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37"/>
      <c r="F782" s="13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37"/>
      <c r="F783" s="13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37"/>
      <c r="F784" s="13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37"/>
      <c r="F785" s="13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37"/>
      <c r="F786" s="13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37"/>
      <c r="F787" s="13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37"/>
      <c r="F788" s="13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37"/>
      <c r="F789" s="13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37"/>
      <c r="F790" s="13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37"/>
      <c r="F791" s="13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37"/>
      <c r="F792" s="13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37"/>
      <c r="F793" s="13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37"/>
      <c r="F794" s="13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37"/>
      <c r="F795" s="13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37"/>
      <c r="F796" s="13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37"/>
      <c r="F797" s="13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37"/>
      <c r="F798" s="13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37"/>
      <c r="F799" s="13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37"/>
      <c r="F800" s="13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37"/>
      <c r="F801" s="13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37"/>
      <c r="F802" s="13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37"/>
      <c r="F803" s="13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37"/>
      <c r="F804" s="13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37"/>
      <c r="F805" s="13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37"/>
      <c r="F806" s="13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37"/>
      <c r="F807" s="13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37"/>
      <c r="F808" s="13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37"/>
      <c r="F809" s="13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37"/>
      <c r="F810" s="13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37"/>
      <c r="F811" s="13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37"/>
      <c r="F812" s="13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37"/>
      <c r="F813" s="13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37"/>
      <c r="F814" s="13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37"/>
      <c r="F815" s="13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37"/>
      <c r="F816" s="13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37"/>
      <c r="F817" s="13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37"/>
      <c r="F818" s="13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37"/>
      <c r="F819" s="13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37"/>
      <c r="F820" s="13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37"/>
      <c r="F821" s="13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37"/>
      <c r="F822" s="13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37"/>
      <c r="F823" s="13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37"/>
      <c r="F824" s="13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37"/>
      <c r="F825" s="13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37"/>
      <c r="F826" s="13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37"/>
      <c r="F827" s="13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37"/>
      <c r="F828" s="13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37"/>
      <c r="F829" s="13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37"/>
      <c r="F830" s="13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37"/>
      <c r="F831" s="13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37"/>
      <c r="F832" s="13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37"/>
      <c r="F833" s="13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37"/>
      <c r="F834" s="13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37"/>
      <c r="F835" s="13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37"/>
      <c r="F836" s="13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37"/>
      <c r="F837" s="13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37"/>
      <c r="F838" s="13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37"/>
      <c r="F839" s="13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37"/>
      <c r="F840" s="13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37"/>
      <c r="F841" s="13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37"/>
      <c r="F842" s="13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37"/>
      <c r="F843" s="13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37"/>
      <c r="F844" s="13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37"/>
      <c r="F845" s="13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37"/>
      <c r="F846" s="13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37"/>
      <c r="F847" s="13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37"/>
      <c r="F848" s="13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37"/>
      <c r="F849" s="13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37"/>
      <c r="F850" s="13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37"/>
      <c r="F851" s="13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37"/>
      <c r="F852" s="13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37"/>
      <c r="F853" s="13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37"/>
      <c r="F854" s="13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37"/>
      <c r="F855" s="13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37"/>
      <c r="F856" s="13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37"/>
      <c r="F857" s="13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37"/>
      <c r="F858" s="13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37"/>
      <c r="F859" s="13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37"/>
      <c r="F860" s="13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37"/>
      <c r="F861" s="13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37"/>
      <c r="F862" s="13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37"/>
      <c r="F863" s="13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37"/>
      <c r="F864" s="13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37"/>
      <c r="F865" s="13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37"/>
      <c r="F866" s="13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37"/>
      <c r="F867" s="13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37"/>
      <c r="F868" s="13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37"/>
      <c r="F869" s="13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37"/>
      <c r="F870" s="13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37"/>
      <c r="F871" s="13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37"/>
      <c r="F872" s="13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37"/>
      <c r="F873" s="13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37"/>
      <c r="F874" s="13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37"/>
      <c r="F875" s="13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37"/>
      <c r="F876" s="13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37"/>
      <c r="F877" s="13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37"/>
      <c r="F878" s="13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37"/>
      <c r="F879" s="13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37"/>
      <c r="F880" s="13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37"/>
      <c r="F881" s="13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37"/>
      <c r="F882" s="13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37"/>
      <c r="F883" s="13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37"/>
      <c r="F884" s="13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37"/>
      <c r="F885" s="13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37"/>
      <c r="F886" s="13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37"/>
      <c r="F887" s="13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37"/>
      <c r="F888" s="13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37"/>
      <c r="F889" s="13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37"/>
      <c r="F890" s="13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37"/>
      <c r="F891" s="13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37"/>
      <c r="F892" s="13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37"/>
      <c r="F893" s="13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37"/>
      <c r="F894" s="13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37"/>
      <c r="F895" s="13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37"/>
      <c r="F896" s="13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37"/>
      <c r="F897" s="13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37"/>
      <c r="F898" s="13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37"/>
      <c r="F899" s="13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37"/>
      <c r="F900" s="13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37"/>
      <c r="F901" s="13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37"/>
      <c r="F902" s="13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37"/>
      <c r="F903" s="13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37"/>
      <c r="F904" s="13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37"/>
      <c r="F905" s="13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37"/>
      <c r="F906" s="13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37"/>
      <c r="F907" s="13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37"/>
      <c r="F908" s="13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37"/>
      <c r="F909" s="13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37"/>
      <c r="F910" s="13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37"/>
      <c r="F911" s="13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37"/>
      <c r="F912" s="13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37"/>
      <c r="F913" s="13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37"/>
      <c r="F914" s="13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37"/>
      <c r="F915" s="13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37"/>
      <c r="F916" s="13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37"/>
      <c r="F917" s="13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37"/>
      <c r="F918" s="13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37"/>
      <c r="F919" s="13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37"/>
      <c r="F920" s="13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37"/>
      <c r="F921" s="13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37"/>
      <c r="F922" s="13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37"/>
      <c r="F923" s="13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37"/>
      <c r="F924" s="13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37"/>
      <c r="F925" s="13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37"/>
      <c r="F926" s="13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37"/>
      <c r="F927" s="13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37"/>
      <c r="F928" s="13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37"/>
      <c r="F929" s="13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37"/>
      <c r="F930" s="13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37"/>
      <c r="F931" s="13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37"/>
      <c r="F932" s="13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37"/>
      <c r="F933" s="13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37"/>
      <c r="F934" s="13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37"/>
      <c r="F935" s="13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37"/>
      <c r="F936" s="13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37"/>
      <c r="F937" s="13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37"/>
      <c r="F938" s="13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37"/>
      <c r="F939" s="13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37"/>
      <c r="F940" s="13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37"/>
      <c r="F941" s="13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37"/>
      <c r="F942" s="13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37"/>
      <c r="F943" s="13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37"/>
      <c r="F944" s="13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37"/>
      <c r="F945" s="13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37"/>
      <c r="F946" s="13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37"/>
      <c r="F947" s="13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37"/>
      <c r="F948" s="13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37"/>
      <c r="F949" s="13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37"/>
      <c r="F950" s="13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37"/>
      <c r="F951" s="13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37"/>
      <c r="F952" s="13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37"/>
      <c r="F953" s="13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37"/>
      <c r="F954" s="13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37"/>
      <c r="F955" s="13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37"/>
      <c r="F956" s="13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37"/>
      <c r="F957" s="13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37"/>
      <c r="F958" s="13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37"/>
      <c r="F959" s="13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37"/>
      <c r="F960" s="13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37"/>
      <c r="F961" s="13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37"/>
      <c r="F962" s="13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37"/>
      <c r="F963" s="13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37"/>
      <c r="F964" s="13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37"/>
      <c r="F965" s="13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37"/>
      <c r="F966" s="13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37"/>
      <c r="F967" s="13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37"/>
      <c r="F968" s="13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37"/>
      <c r="F969" s="13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37"/>
      <c r="F970" s="13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37"/>
      <c r="F971" s="13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37"/>
      <c r="F972" s="13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37"/>
      <c r="F973" s="13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37"/>
      <c r="F974" s="13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37"/>
      <c r="F975" s="13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37"/>
      <c r="F976" s="13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37"/>
      <c r="F977" s="13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37"/>
      <c r="F978" s="13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37"/>
      <c r="F979" s="13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37"/>
      <c r="F980" s="13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37"/>
      <c r="F981" s="13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37"/>
      <c r="F982" s="13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37"/>
      <c r="F983" s="13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37"/>
      <c r="F984" s="13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37"/>
      <c r="F985" s="13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37"/>
      <c r="F986" s="13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37"/>
      <c r="F987" s="13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37"/>
      <c r="F988" s="13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37"/>
      <c r="F989" s="13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37"/>
      <c r="F990" s="13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37"/>
      <c r="F991" s="13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37"/>
      <c r="F992" s="13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37"/>
      <c r="F993" s="13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37"/>
      <c r="F994" s="13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37"/>
      <c r="F995" s="13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37"/>
      <c r="F996" s="13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37"/>
      <c r="F997" s="13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37"/>
      <c r="F998" s="13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37"/>
      <c r="F999" s="13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37"/>
      <c r="F1000" s="13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37"/>
      <c r="F1001" s="13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>
      <c r="A1002" s="18"/>
      <c r="B1002" s="18"/>
      <c r="C1002" s="18"/>
      <c r="D1002" s="18"/>
      <c r="E1002" s="137"/>
      <c r="F1002" s="13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  <row r="1003">
      <c r="A1003" s="18"/>
      <c r="B1003" s="18"/>
      <c r="C1003" s="18"/>
      <c r="D1003" s="18"/>
      <c r="E1003" s="137"/>
      <c r="F1003" s="13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</row>
  </sheetData>
  <mergeCells count="5">
    <mergeCell ref="A1:B1"/>
    <mergeCell ref="E1:I1"/>
    <mergeCell ref="K1:L1"/>
    <mergeCell ref="M1:N1"/>
    <mergeCell ref="K14:L14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3" width="13.63"/>
    <col customWidth="1" min="4" max="4" width="10.88"/>
    <col customWidth="1" min="5" max="5" width="21.5"/>
    <col customWidth="1" min="7" max="7" width="9.0"/>
    <col customWidth="1" min="8" max="8" width="8.5"/>
    <col customWidth="1" min="9" max="9" width="10.5"/>
    <col customWidth="1" min="10" max="10" width="2.13"/>
    <col customWidth="1" min="11" max="11" width="16.25"/>
    <col customWidth="1" min="12" max="12" width="9.63"/>
    <col customWidth="1" min="13" max="13" width="11.75"/>
    <col customWidth="1" min="14" max="14" width="10.63"/>
    <col customWidth="1" min="15" max="15" width="4.63"/>
    <col customWidth="1" min="16" max="16" width="13.63"/>
    <col customWidth="1" min="18" max="18" width="14.75"/>
    <col customWidth="1" min="19" max="19" width="14.88"/>
  </cols>
  <sheetData>
    <row r="1">
      <c r="A1" s="4" t="s">
        <v>61</v>
      </c>
      <c r="C1" s="6"/>
      <c r="D1" s="7"/>
      <c r="E1" s="10" t="s">
        <v>4</v>
      </c>
      <c r="F1" s="13"/>
      <c r="G1" s="13"/>
      <c r="H1" s="13"/>
      <c r="I1" s="16"/>
      <c r="J1" s="18"/>
      <c r="K1" s="20" t="s">
        <v>9</v>
      </c>
      <c r="M1" s="20" t="s">
        <v>10</v>
      </c>
      <c r="O1" s="6"/>
      <c r="P1" s="6" t="s">
        <v>11</v>
      </c>
      <c r="Q1" s="6" t="s">
        <v>12</v>
      </c>
      <c r="R1" s="6" t="s">
        <v>13</v>
      </c>
      <c r="S1" s="6" t="s">
        <v>14</v>
      </c>
      <c r="T1" s="6">
        <v>194.81</v>
      </c>
      <c r="U1" s="6">
        <v>21.8</v>
      </c>
      <c r="V1" s="18"/>
    </row>
    <row r="2">
      <c r="A2" s="4" t="s">
        <v>0</v>
      </c>
      <c r="B2" s="4" t="s">
        <v>16</v>
      </c>
      <c r="C2" s="4" t="s">
        <v>18</v>
      </c>
      <c r="D2" s="6"/>
      <c r="E2" s="23" t="s">
        <v>20</v>
      </c>
      <c r="F2" s="25" t="s">
        <v>21</v>
      </c>
      <c r="G2" s="27" t="s">
        <v>22</v>
      </c>
      <c r="H2" s="6" t="s">
        <v>23</v>
      </c>
      <c r="I2" s="29" t="s">
        <v>24</v>
      </c>
      <c r="J2" s="18"/>
      <c r="K2" s="25" t="s">
        <v>20</v>
      </c>
      <c r="L2" s="25" t="s">
        <v>26</v>
      </c>
      <c r="M2" s="6" t="s">
        <v>27</v>
      </c>
      <c r="N2" s="6">
        <v>14.99</v>
      </c>
      <c r="O2" s="4"/>
      <c r="P2" s="156">
        <v>20.55</v>
      </c>
      <c r="Q2" s="25">
        <v>1.79</v>
      </c>
      <c r="R2" s="6">
        <v>21.73</v>
      </c>
      <c r="S2" s="6">
        <v>300.0</v>
      </c>
      <c r="T2" s="6">
        <v>130.0</v>
      </c>
      <c r="U2" s="6">
        <v>359.2</v>
      </c>
      <c r="V2" s="18"/>
    </row>
    <row r="3">
      <c r="A3" s="4">
        <v>2025.0</v>
      </c>
      <c r="B3" s="6">
        <f>-2047.08-52.7</f>
        <v>-2099.78</v>
      </c>
      <c r="C3" s="6"/>
      <c r="D3" s="6"/>
      <c r="E3" s="23" t="s">
        <v>29</v>
      </c>
      <c r="F3" s="34">
        <f t="shared" ref="F3:F24" si="1">G3+I3+H3</f>
        <v>550.93</v>
      </c>
      <c r="G3" s="27"/>
      <c r="H3" s="6"/>
      <c r="I3" s="29">
        <v>550.93</v>
      </c>
      <c r="J3" s="4"/>
      <c r="K3" s="25" t="s">
        <v>32</v>
      </c>
      <c r="L3" s="27">
        <v>29.87</v>
      </c>
      <c r="M3" s="6" t="s">
        <v>33</v>
      </c>
      <c r="N3" s="18">
        <f>IF($A$1="Sep",49.99,0)</f>
        <v>0</v>
      </c>
      <c r="O3" s="18"/>
      <c r="P3" s="156">
        <v>8.01</v>
      </c>
      <c r="Q3" s="25">
        <v>60.0</v>
      </c>
      <c r="R3" s="6">
        <v>300.0</v>
      </c>
      <c r="S3" s="6">
        <v>124.82</v>
      </c>
      <c r="T3" s="6">
        <v>40.0</v>
      </c>
      <c r="U3" s="6">
        <v>1.69</v>
      </c>
      <c r="V3" s="18"/>
    </row>
    <row r="4">
      <c r="A4" s="6" t="s">
        <v>34</v>
      </c>
      <c r="B4" s="6">
        <v>-133.47</v>
      </c>
      <c r="C4" s="18">
        <f>1360.14+50+19.99+202.5</f>
        <v>1632.63</v>
      </c>
      <c r="D4" s="18"/>
      <c r="E4" s="23" t="s">
        <v>36</v>
      </c>
      <c r="F4" s="34">
        <f t="shared" si="1"/>
        <v>242</v>
      </c>
      <c r="G4" s="27"/>
      <c r="H4" s="27"/>
      <c r="I4" s="29">
        <f>IF(OR($A$1="Jul",$A$1="Aug",$A$1="Sep"),0,IF($A$1="Oct",484,242))</f>
        <v>242</v>
      </c>
      <c r="J4" s="6"/>
      <c r="K4" s="8" t="s">
        <v>40</v>
      </c>
      <c r="L4" s="27">
        <v>246.04</v>
      </c>
      <c r="M4" s="6" t="s">
        <v>41</v>
      </c>
      <c r="N4" s="6">
        <v>10.99</v>
      </c>
      <c r="O4" s="18"/>
      <c r="P4" s="156">
        <v>11.0</v>
      </c>
      <c r="Q4" s="6">
        <v>59.9</v>
      </c>
      <c r="R4" s="6">
        <v>30.0</v>
      </c>
      <c r="S4" s="6">
        <v>246.04</v>
      </c>
      <c r="T4" s="6">
        <v>4.65</v>
      </c>
      <c r="U4" s="6"/>
      <c r="V4" s="18"/>
    </row>
    <row r="5">
      <c r="A5" s="6" t="s">
        <v>42</v>
      </c>
      <c r="B5" s="6">
        <v>280.2</v>
      </c>
      <c r="C5" s="6"/>
      <c r="D5" s="18"/>
      <c r="E5" s="23" t="s">
        <v>43</v>
      </c>
      <c r="F5" s="34">
        <f t="shared" si="1"/>
        <v>0</v>
      </c>
      <c r="G5" s="27"/>
      <c r="H5" s="6"/>
      <c r="I5" s="29">
        <f>IF(OR($A$1="Jun",$A$1="Jul",$A$1="Aug"),0,150.93)</f>
        <v>0</v>
      </c>
      <c r="J5" s="4"/>
      <c r="K5" s="20" t="s">
        <v>44</v>
      </c>
      <c r="L5" s="34">
        <v>124.82</v>
      </c>
      <c r="M5" s="6" t="s">
        <v>45</v>
      </c>
      <c r="N5" s="6">
        <v>7.99</v>
      </c>
      <c r="O5" s="18"/>
      <c r="P5" s="156">
        <v>19.49</v>
      </c>
      <c r="Q5" s="6">
        <v>112.97</v>
      </c>
      <c r="R5" s="6">
        <v>29.87</v>
      </c>
      <c r="S5" s="6"/>
      <c r="T5" s="6">
        <v>72.12</v>
      </c>
      <c r="U5" s="6"/>
      <c r="V5" s="18"/>
    </row>
    <row r="6">
      <c r="A6" s="4" t="s">
        <v>46</v>
      </c>
      <c r="B6" s="6">
        <v>-573.43</v>
      </c>
      <c r="C6" s="6">
        <v>100.0</v>
      </c>
      <c r="D6" s="18"/>
      <c r="E6" s="23" t="s">
        <v>47</v>
      </c>
      <c r="F6" s="34">
        <f t="shared" si="1"/>
        <v>0</v>
      </c>
      <c r="G6" s="27">
        <f>IF(OR($A$1="May",$A$1="Jun",$A$1="Jul",$A$1="Aug"),0,42.5)</f>
        <v>0</v>
      </c>
      <c r="H6" s="6"/>
      <c r="I6" s="29"/>
      <c r="J6" s="6"/>
      <c r="K6" s="20" t="s">
        <v>48</v>
      </c>
      <c r="L6" s="34">
        <f>238.4</f>
        <v>238.4</v>
      </c>
      <c r="M6" s="6" t="s">
        <v>49</v>
      </c>
      <c r="N6" s="6">
        <v>16.99</v>
      </c>
      <c r="O6" s="18"/>
      <c r="P6" s="27">
        <v>35.46</v>
      </c>
      <c r="Q6" s="6">
        <v>238.4</v>
      </c>
      <c r="R6" s="6"/>
      <c r="S6" s="18"/>
      <c r="T6" s="6">
        <v>25.19</v>
      </c>
      <c r="U6" s="6"/>
      <c r="V6" s="18"/>
    </row>
    <row r="7">
      <c r="A7" s="6" t="s">
        <v>50</v>
      </c>
      <c r="B7" s="6">
        <v>-779.65</v>
      </c>
      <c r="C7" s="6">
        <f>50+724.6</f>
        <v>774.6</v>
      </c>
      <c r="D7" s="18"/>
      <c r="E7" s="23" t="s">
        <v>51</v>
      </c>
      <c r="F7" s="34">
        <f t="shared" si="1"/>
        <v>30</v>
      </c>
      <c r="G7" s="27">
        <f>IF(OR($A$1="Jul",$A$1="Aug"),0,30)</f>
        <v>30</v>
      </c>
      <c r="H7" s="6"/>
      <c r="I7" s="29"/>
      <c r="J7" s="6"/>
      <c r="K7" s="25" t="s">
        <v>52</v>
      </c>
      <c r="L7" s="25">
        <v>308.96</v>
      </c>
      <c r="M7" s="6" t="s">
        <v>53</v>
      </c>
      <c r="N7" s="6">
        <v>1.79</v>
      </c>
      <c r="O7" s="18"/>
      <c r="P7" s="156">
        <v>185.66</v>
      </c>
      <c r="Q7" s="6">
        <v>16.99</v>
      </c>
      <c r="R7" s="6" t="s">
        <v>54</v>
      </c>
      <c r="S7" s="6" t="s">
        <v>55</v>
      </c>
      <c r="T7" s="6">
        <v>8.25</v>
      </c>
      <c r="U7" s="6"/>
      <c r="V7" s="18"/>
    </row>
    <row r="8">
      <c r="A8" s="6" t="s">
        <v>56</v>
      </c>
      <c r="B8" s="6">
        <v>-125.92</v>
      </c>
      <c r="C8" s="6">
        <v>0.0</v>
      </c>
      <c r="D8" s="18"/>
      <c r="E8" s="23" t="s">
        <v>57</v>
      </c>
      <c r="F8" s="34">
        <f t="shared" si="1"/>
        <v>120</v>
      </c>
      <c r="G8" s="27"/>
      <c r="H8" s="18"/>
      <c r="I8" s="29">
        <f>IF(OR($A$1="Jul",$A$1="Aug",$A$1="Sep"),150,IF(OR($A$1="May",$A$1="Jun",$A$1="Oct",$A$1="Nov"),120,100))</f>
        <v>120</v>
      </c>
      <c r="J8" s="50"/>
      <c r="K8" s="8" t="s">
        <v>141</v>
      </c>
      <c r="L8" s="27">
        <f>IF(OR($A$1="Jan",$A$1="Feb",$A$1="Mar",$A$1="Apr",$A$1="May",$A$1="Jun"),112.97,0)</f>
        <v>112.97</v>
      </c>
      <c r="M8" s="6" t="s">
        <v>59</v>
      </c>
      <c r="N8" s="18">
        <f>IF($A$1="Aug",129.99,0)</f>
        <v>0</v>
      </c>
      <c r="O8" s="18"/>
      <c r="P8" s="156">
        <v>53.51</v>
      </c>
      <c r="Q8" s="6">
        <v>88.47</v>
      </c>
      <c r="R8" s="6">
        <v>30.0</v>
      </c>
      <c r="S8" s="6"/>
      <c r="T8" s="6">
        <v>150.93</v>
      </c>
      <c r="U8" s="6"/>
      <c r="V8" s="18"/>
    </row>
    <row r="9">
      <c r="A9" s="6" t="s">
        <v>61</v>
      </c>
      <c r="B9" s="6">
        <v>-139.27</v>
      </c>
      <c r="C9" s="6">
        <v>150.0</v>
      </c>
      <c r="D9" s="18"/>
      <c r="E9" s="23" t="s">
        <v>62</v>
      </c>
      <c r="F9" s="34">
        <f t="shared" si="1"/>
        <v>90</v>
      </c>
      <c r="G9" s="27"/>
      <c r="H9" s="18"/>
      <c r="I9" s="29">
        <f>IF(OR($A$1="Jun",$A$1="Aug",$A$1="Oct"),90,IF(OR($A$1="Apr",$A$1="Dec"),130,IF($A$1="Feb",200,0)))</f>
        <v>90</v>
      </c>
      <c r="J9" s="50"/>
      <c r="K9" s="57" t="s">
        <v>64</v>
      </c>
      <c r="L9" s="61">
        <f>SUM(L3:L8)</f>
        <v>1061.06</v>
      </c>
      <c r="M9" s="63" t="s">
        <v>66</v>
      </c>
      <c r="N9" s="65">
        <f>SUM(N2:N8)</f>
        <v>52.75</v>
      </c>
      <c r="O9" s="18"/>
      <c r="P9" s="156">
        <v>9.24</v>
      </c>
      <c r="Q9" s="6">
        <v>308.96</v>
      </c>
      <c r="R9" s="6">
        <v>2.0</v>
      </c>
      <c r="S9" s="18"/>
      <c r="T9" s="6">
        <v>38.97</v>
      </c>
      <c r="U9" s="6"/>
      <c r="V9" s="18"/>
    </row>
    <row r="10">
      <c r="A10" s="6" t="s">
        <v>68</v>
      </c>
      <c r="B10" s="18"/>
      <c r="C10" s="18"/>
      <c r="D10" s="18"/>
      <c r="E10" s="68" t="s">
        <v>70</v>
      </c>
      <c r="F10" s="34">
        <f t="shared" si="1"/>
        <v>109</v>
      </c>
      <c r="G10" s="34"/>
      <c r="H10" s="18"/>
      <c r="I10" s="70">
        <f>99+10</f>
        <v>109</v>
      </c>
      <c r="J10" s="72"/>
      <c r="K10" s="8" t="s">
        <v>29</v>
      </c>
      <c r="L10" s="75">
        <f>F3</f>
        <v>550.93</v>
      </c>
      <c r="O10" s="18"/>
      <c r="P10" s="156">
        <v>1.5</v>
      </c>
      <c r="Q10" s="6">
        <v>350.0</v>
      </c>
      <c r="R10" s="6">
        <v>40.0</v>
      </c>
      <c r="S10" s="18"/>
      <c r="T10" s="6">
        <v>1.45</v>
      </c>
      <c r="U10" s="6"/>
      <c r="V10" s="18"/>
    </row>
    <row r="11">
      <c r="A11" s="6" t="s">
        <v>2</v>
      </c>
      <c r="B11" s="18"/>
      <c r="C11" s="18"/>
      <c r="D11" s="6"/>
      <c r="E11" s="23" t="s">
        <v>72</v>
      </c>
      <c r="F11" s="34">
        <f t="shared" si="1"/>
        <v>1061.06</v>
      </c>
      <c r="G11" s="27">
        <f>L3</f>
        <v>29.87</v>
      </c>
      <c r="H11" s="18">
        <f>L4+L5</f>
        <v>370.86</v>
      </c>
      <c r="I11" s="29">
        <f>SUM(L6:L8)</f>
        <v>660.33</v>
      </c>
      <c r="J11" s="25"/>
      <c r="K11" s="57" t="s">
        <v>66</v>
      </c>
      <c r="L11" s="61">
        <f>L9+L10</f>
        <v>1611.99</v>
      </c>
      <c r="O11" s="18"/>
      <c r="P11" s="156">
        <v>251.83</v>
      </c>
      <c r="Q11" s="6">
        <v>14.99</v>
      </c>
      <c r="R11" s="6">
        <v>20.0</v>
      </c>
      <c r="S11" s="18"/>
      <c r="T11" s="6">
        <v>48.88</v>
      </c>
      <c r="U11" s="6"/>
      <c r="V11" s="18"/>
    </row>
    <row r="12">
      <c r="A12" s="6" t="s">
        <v>3</v>
      </c>
      <c r="B12" s="18"/>
      <c r="C12" s="18"/>
      <c r="D12" s="18"/>
      <c r="E12" s="68" t="s">
        <v>73</v>
      </c>
      <c r="F12" s="34">
        <f t="shared" si="1"/>
        <v>0</v>
      </c>
      <c r="G12" s="27"/>
      <c r="H12" s="18"/>
      <c r="I12" s="70">
        <f>IF(OR($A$1="Jan",$A$1="Mar",$A$1="May",$A$1="Jul",$A$1="Sep",$A$1="Nov",),50,0)</f>
        <v>0</v>
      </c>
      <c r="J12" s="72"/>
      <c r="K12" s="79"/>
      <c r="L12" s="80"/>
      <c r="O12" s="18"/>
      <c r="P12" s="156">
        <v>31.8</v>
      </c>
      <c r="Q12" s="6">
        <v>92.5</v>
      </c>
      <c r="R12" s="18"/>
      <c r="S12" s="18"/>
      <c r="T12" s="6">
        <v>12.3</v>
      </c>
      <c r="U12" s="6"/>
      <c r="V12" s="18"/>
    </row>
    <row r="13">
      <c r="A13" s="6" t="s">
        <v>74</v>
      </c>
      <c r="B13" s="6"/>
      <c r="C13" s="18"/>
      <c r="D13" s="18"/>
      <c r="E13" s="68" t="s">
        <v>10</v>
      </c>
      <c r="F13" s="34">
        <f t="shared" si="1"/>
        <v>52.75</v>
      </c>
      <c r="G13" s="27"/>
      <c r="H13" s="6"/>
      <c r="I13" s="70">
        <f>SUM(N2:N8)</f>
        <v>52.75</v>
      </c>
      <c r="J13" s="25"/>
      <c r="O13" s="18"/>
      <c r="P13" s="156">
        <v>166.51</v>
      </c>
      <c r="Q13" s="6">
        <v>98.51</v>
      </c>
      <c r="R13" s="18"/>
      <c r="S13" s="18"/>
      <c r="T13" s="6">
        <v>2.45</v>
      </c>
      <c r="U13" s="6"/>
      <c r="V13" s="18"/>
    </row>
    <row r="14">
      <c r="A14" s="4" t="s">
        <v>76</v>
      </c>
      <c r="B14" s="18"/>
      <c r="C14" s="18"/>
      <c r="D14" s="6"/>
      <c r="E14" s="82" t="s">
        <v>78</v>
      </c>
      <c r="F14" s="34">
        <f t="shared" si="1"/>
        <v>60</v>
      </c>
      <c r="G14" s="18"/>
      <c r="H14" s="18"/>
      <c r="I14" s="83">
        <v>60.0</v>
      </c>
      <c r="J14" s="25"/>
      <c r="K14" s="8" t="s">
        <v>79</v>
      </c>
      <c r="M14" s="8"/>
      <c r="N14" s="8"/>
      <c r="O14" s="18"/>
      <c r="P14" s="6">
        <v>17.65</v>
      </c>
      <c r="Q14" s="6">
        <v>98.51</v>
      </c>
      <c r="R14" s="18"/>
      <c r="S14" s="18"/>
      <c r="T14" s="6">
        <v>130.41</v>
      </c>
      <c r="U14" s="18"/>
      <c r="V14" s="18"/>
    </row>
    <row r="15">
      <c r="A15" s="6" t="s">
        <v>80</v>
      </c>
      <c r="B15" s="18"/>
      <c r="C15" s="18"/>
      <c r="D15" s="18"/>
      <c r="E15" s="23" t="s">
        <v>81</v>
      </c>
      <c r="F15" s="34">
        <f t="shared" si="1"/>
        <v>0</v>
      </c>
      <c r="G15" s="27"/>
      <c r="H15" s="6"/>
      <c r="I15" s="29">
        <f>L20+L19</f>
        <v>0</v>
      </c>
      <c r="J15" s="4"/>
      <c r="K15" s="8" t="s">
        <v>82</v>
      </c>
      <c r="L15" s="18">
        <f>IF(OR($A$1="Feb",$A$1="May",$A$1="Aug",$A$1="Nov"),98.1,0)</f>
        <v>0</v>
      </c>
      <c r="M15" s="8"/>
      <c r="N15" s="8"/>
      <c r="O15" s="18"/>
      <c r="P15" s="6">
        <v>26.26</v>
      </c>
      <c r="Q15" s="6">
        <v>146.3</v>
      </c>
      <c r="R15" s="18"/>
      <c r="S15" s="18"/>
      <c r="T15" s="6">
        <v>18.8</v>
      </c>
      <c r="U15" s="18"/>
      <c r="V15" s="18"/>
    </row>
    <row r="16">
      <c r="A16" s="6" t="s">
        <v>66</v>
      </c>
      <c r="B16" s="6">
        <f>SUM(B3:B15)+C16</f>
        <v>-914.09</v>
      </c>
      <c r="C16" s="6">
        <f>SUM(C3:C15)</f>
        <v>2657.23</v>
      </c>
      <c r="D16" s="6"/>
      <c r="E16" s="68" t="s">
        <v>84</v>
      </c>
      <c r="F16" s="34">
        <f t="shared" si="1"/>
        <v>146.9</v>
      </c>
      <c r="G16" s="27"/>
      <c r="H16" s="6"/>
      <c r="I16" s="70">
        <f>IF($A$1="Feb",60.97,59.9) + 87</f>
        <v>146.9</v>
      </c>
      <c r="J16" s="4"/>
      <c r="K16" s="8" t="s">
        <v>67</v>
      </c>
      <c r="L16" s="18">
        <f>IF(OR($A$1="Feb",$A$1="May",$A$1="Aug",$A$1="Nov"),(39.15+82.31),0)</f>
        <v>0</v>
      </c>
      <c r="M16" s="8"/>
      <c r="N16" s="8"/>
      <c r="O16" s="18"/>
      <c r="P16" s="6">
        <v>2.05</v>
      </c>
      <c r="Q16" s="6">
        <v>47.67</v>
      </c>
      <c r="R16" s="18"/>
      <c r="S16" s="18"/>
      <c r="T16" s="18"/>
      <c r="U16" s="18"/>
      <c r="V16" s="18"/>
    </row>
    <row r="17">
      <c r="A17" s="18"/>
      <c r="B17" s="88"/>
      <c r="C17" s="88"/>
      <c r="D17" s="6"/>
      <c r="E17" s="82" t="s">
        <v>82</v>
      </c>
      <c r="F17" s="34">
        <f t="shared" si="1"/>
        <v>0</v>
      </c>
      <c r="G17" s="75"/>
      <c r="H17" s="6"/>
      <c r="I17" s="29">
        <f t="shared" ref="I17:I20" si="2">L15</f>
        <v>0</v>
      </c>
      <c r="J17" s="25"/>
      <c r="K17" s="8" t="s">
        <v>89</v>
      </c>
      <c r="L17" s="6">
        <f>IF($A$1="May",155.05,0)</f>
        <v>0</v>
      </c>
      <c r="M17" s="8"/>
      <c r="N17" s="93"/>
      <c r="O17" s="18"/>
      <c r="P17" s="6">
        <v>50.76</v>
      </c>
      <c r="Q17" s="6">
        <v>7.99</v>
      </c>
      <c r="R17" s="18"/>
      <c r="S17" s="18"/>
      <c r="T17" s="18"/>
      <c r="U17" s="18"/>
      <c r="V17" s="18"/>
    </row>
    <row r="18">
      <c r="A18" s="18"/>
      <c r="B18" s="18"/>
      <c r="C18" s="18"/>
      <c r="D18" s="6"/>
      <c r="E18" s="82" t="s">
        <v>67</v>
      </c>
      <c r="F18" s="34">
        <f t="shared" si="1"/>
        <v>0</v>
      </c>
      <c r="G18" s="6"/>
      <c r="H18" s="27"/>
      <c r="I18" s="29">
        <f t="shared" si="2"/>
        <v>0</v>
      </c>
      <c r="J18" s="4"/>
      <c r="K18" s="8" t="s">
        <v>91</v>
      </c>
      <c r="L18" s="6">
        <f>IF($A$1="May",80,0)</f>
        <v>0</v>
      </c>
      <c r="M18" s="8"/>
      <c r="N18" s="93"/>
      <c r="O18" s="18"/>
      <c r="P18" s="156">
        <v>1.45</v>
      </c>
      <c r="Q18" s="6">
        <v>10.99</v>
      </c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82" t="s">
        <v>89</v>
      </c>
      <c r="F19" s="34">
        <f t="shared" si="1"/>
        <v>0</v>
      </c>
      <c r="G19" s="6"/>
      <c r="H19" s="18"/>
      <c r="I19" s="94">
        <f t="shared" si="2"/>
        <v>0</v>
      </c>
      <c r="J19" s="25"/>
      <c r="K19" s="8" t="s">
        <v>92</v>
      </c>
      <c r="L19" s="6">
        <f>IF($A$1="Sep",449.58,0)</f>
        <v>0</v>
      </c>
      <c r="M19" s="8"/>
      <c r="N19" s="8"/>
      <c r="O19" s="18"/>
      <c r="P19" s="156">
        <v>4.8</v>
      </c>
      <c r="Q19" s="6">
        <v>83.07</v>
      </c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82" t="s">
        <v>94</v>
      </c>
      <c r="F20" s="34">
        <f t="shared" si="1"/>
        <v>0</v>
      </c>
      <c r="G20" s="75"/>
      <c r="H20" s="75"/>
      <c r="I20" s="29">
        <f t="shared" si="2"/>
        <v>0</v>
      </c>
      <c r="J20" s="4"/>
      <c r="K20" s="8" t="s">
        <v>95</v>
      </c>
      <c r="L20" s="6">
        <f>IF($A$1="Jan",126.66,IF(OR($A$1="Feb",$A$1="Apr"),121.82,0))</f>
        <v>0</v>
      </c>
      <c r="O20" s="18"/>
      <c r="P20" s="156">
        <v>50.11</v>
      </c>
      <c r="Q20" s="6">
        <v>10.0</v>
      </c>
      <c r="R20" s="18"/>
      <c r="S20" s="18"/>
      <c r="T20" s="18"/>
      <c r="U20" s="18"/>
      <c r="V20" s="18"/>
    </row>
    <row r="21">
      <c r="A21" s="4"/>
      <c r="B21" s="18"/>
      <c r="C21" s="6"/>
      <c r="D21" s="18"/>
      <c r="E21" s="82" t="s">
        <v>96</v>
      </c>
      <c r="F21" s="34">
        <f t="shared" si="1"/>
        <v>0</v>
      </c>
      <c r="G21" s="27"/>
      <c r="H21" s="27"/>
      <c r="I21" s="83">
        <f>IF($A$1="Jul",730,0)</f>
        <v>0</v>
      </c>
      <c r="J21" s="88"/>
      <c r="K21" s="88"/>
      <c r="L21" s="88"/>
      <c r="M21" s="88"/>
      <c r="N21" s="88"/>
      <c r="O21" s="18"/>
      <c r="P21" s="156">
        <v>11.15</v>
      </c>
      <c r="Q21" s="6">
        <v>550.93</v>
      </c>
      <c r="R21" s="18"/>
      <c r="S21" s="18"/>
      <c r="T21" s="18"/>
      <c r="U21" s="18"/>
      <c r="V21" s="18"/>
    </row>
    <row r="22">
      <c r="A22" s="18"/>
      <c r="B22" s="6"/>
      <c r="C22" s="6"/>
      <c r="D22" s="18"/>
      <c r="E22" s="82" t="s">
        <v>99</v>
      </c>
      <c r="F22" s="34">
        <f t="shared" si="1"/>
        <v>351.73</v>
      </c>
      <c r="G22" s="6">
        <v>21.73</v>
      </c>
      <c r="H22" s="6"/>
      <c r="I22" s="83">
        <f>IF($A$1="Jun",330,0)</f>
        <v>330</v>
      </c>
      <c r="J22" s="50"/>
      <c r="K22" s="88"/>
      <c r="L22" s="88"/>
      <c r="M22" s="88"/>
      <c r="N22" s="88"/>
      <c r="O22" s="18"/>
      <c r="P22" s="6">
        <v>36.34</v>
      </c>
      <c r="Q22" s="6"/>
      <c r="R22" s="18"/>
      <c r="S22" s="18"/>
      <c r="T22" s="18"/>
      <c r="U22" s="18"/>
      <c r="V22" s="18"/>
    </row>
    <row r="23">
      <c r="A23" s="18"/>
      <c r="B23" s="6"/>
      <c r="C23" s="6"/>
      <c r="D23" s="18"/>
      <c r="E23" s="82" t="s">
        <v>100</v>
      </c>
      <c r="F23" s="34">
        <f t="shared" si="1"/>
        <v>600</v>
      </c>
      <c r="G23" s="6">
        <v>300.0</v>
      </c>
      <c r="H23" s="6">
        <v>300.0</v>
      </c>
      <c r="I23" s="83">
        <v>0.0</v>
      </c>
      <c r="J23" s="50"/>
      <c r="K23" s="88"/>
      <c r="L23" s="88"/>
      <c r="M23" s="88"/>
      <c r="N23" s="88"/>
      <c r="O23" s="18"/>
      <c r="P23" s="6">
        <v>0.75</v>
      </c>
      <c r="Q23" s="6"/>
      <c r="R23" s="18"/>
      <c r="S23" s="18"/>
      <c r="T23" s="18"/>
      <c r="U23" s="18"/>
      <c r="V23" s="18"/>
    </row>
    <row r="24">
      <c r="A24" s="18"/>
      <c r="B24" s="6"/>
      <c r="C24" s="18"/>
      <c r="D24" s="18"/>
      <c r="E24" s="102" t="s">
        <v>101</v>
      </c>
      <c r="F24" s="103">
        <f t="shared" si="1"/>
        <v>200</v>
      </c>
      <c r="G24" s="104"/>
      <c r="H24" s="104"/>
      <c r="I24" s="106">
        <f>IF(OR($A$1="Jan",$A$1="Mar",$A$1="May",$A$1="Jul",$A$1="Sep",$A$1="Nov"),100,IF(OR($A$1="Apr",$A$1="Jun",$A$1="Aug",$A$1="Oct",$A$1="Dec"),200,IF(OR($A$1="Feb"),300,0)))</f>
        <v>200</v>
      </c>
      <c r="J24" s="4"/>
      <c r="K24" s="8" t="s">
        <v>103</v>
      </c>
      <c r="L24" s="88"/>
      <c r="M24" s="88"/>
      <c r="N24" s="88"/>
      <c r="O24" s="88"/>
      <c r="P24" s="6">
        <v>167.46</v>
      </c>
      <c r="Q24" s="6"/>
      <c r="R24" s="18"/>
      <c r="S24" s="18"/>
      <c r="T24" s="18"/>
      <c r="U24" s="18"/>
      <c r="V24" s="18"/>
    </row>
    <row r="25">
      <c r="A25" s="107"/>
      <c r="B25" s="6"/>
      <c r="C25" s="18"/>
      <c r="D25" s="18"/>
      <c r="E25" s="108" t="s">
        <v>104</v>
      </c>
      <c r="F25" s="111">
        <f t="shared" ref="F25:I25" si="3">SUM(F3:F24)</f>
        <v>3614.37</v>
      </c>
      <c r="G25" s="111">
        <f t="shared" si="3"/>
        <v>381.6</v>
      </c>
      <c r="H25" s="111">
        <f t="shared" si="3"/>
        <v>670.86</v>
      </c>
      <c r="I25" s="114">
        <f t="shared" si="3"/>
        <v>2561.91</v>
      </c>
      <c r="J25" s="4"/>
      <c r="K25" s="115"/>
      <c r="L25" s="116"/>
      <c r="M25" s="115"/>
      <c r="N25" s="117"/>
      <c r="O25" s="88"/>
      <c r="P25" s="6"/>
      <c r="Q25" s="6"/>
      <c r="R25" s="18"/>
      <c r="S25" s="18"/>
      <c r="T25" s="18"/>
      <c r="U25" s="18"/>
      <c r="V25" s="18"/>
    </row>
    <row r="26">
      <c r="A26" s="107"/>
      <c r="B26" s="18"/>
      <c r="C26" s="18"/>
      <c r="D26" s="18"/>
      <c r="E26" s="119" t="s">
        <v>11</v>
      </c>
      <c r="F26" s="120">
        <f>G26+I26+H26</f>
        <v>953.1</v>
      </c>
      <c r="G26" s="121">
        <v>0.4</v>
      </c>
      <c r="H26" s="121">
        <v>0.3</v>
      </c>
      <c r="I26" s="122">
        <v>952.4</v>
      </c>
      <c r="J26" s="18"/>
      <c r="K26" s="18"/>
      <c r="L26" s="18"/>
      <c r="M26" s="88"/>
      <c r="N26" s="88"/>
      <c r="O26" s="88"/>
      <c r="P26" s="27"/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23" t="s">
        <v>66</v>
      </c>
      <c r="F27" s="124">
        <f t="shared" ref="F27:I27" si="4">SUM(F25:F26)</f>
        <v>4567.47</v>
      </c>
      <c r="G27" s="124">
        <f t="shared" si="4"/>
        <v>382</v>
      </c>
      <c r="H27" s="124">
        <f t="shared" si="4"/>
        <v>671.16</v>
      </c>
      <c r="I27" s="125">
        <f t="shared" si="4"/>
        <v>3514.31</v>
      </c>
      <c r="J27" s="88"/>
      <c r="K27" s="88"/>
      <c r="L27" s="18"/>
      <c r="M27" s="88"/>
      <c r="N27" s="88"/>
      <c r="O27" s="88"/>
      <c r="P27" s="6"/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08" t="s">
        <v>106</v>
      </c>
      <c r="F28" s="111">
        <f t="shared" ref="F28:F29" si="6">G28+H28+I28</f>
        <v>3451.4</v>
      </c>
      <c r="G28" s="111">
        <f t="shared" ref="G28:H28" si="5">SUM(R2:R6)</f>
        <v>381.6</v>
      </c>
      <c r="H28" s="111">
        <f t="shared" si="5"/>
        <v>670.86</v>
      </c>
      <c r="I28" s="114">
        <f>SUM(Q2:Q31)</f>
        <v>2398.94</v>
      </c>
      <c r="J28" s="88"/>
      <c r="K28" s="4"/>
      <c r="L28" s="18"/>
      <c r="M28" s="4"/>
      <c r="N28" s="4"/>
      <c r="O28" s="4"/>
      <c r="P28" s="6"/>
      <c r="Q28" s="18"/>
      <c r="R28" s="18"/>
      <c r="S28" s="18"/>
      <c r="T28" s="18"/>
      <c r="U28" s="18"/>
      <c r="V28" s="18"/>
    </row>
    <row r="29">
      <c r="A29" s="88"/>
      <c r="B29" s="18"/>
      <c r="C29" s="18"/>
      <c r="D29" s="18"/>
      <c r="E29" s="126" t="s">
        <v>107</v>
      </c>
      <c r="F29" s="127">
        <f t="shared" si="6"/>
        <v>1255.34</v>
      </c>
      <c r="G29" s="129">
        <f t="shared" ref="G29:H29" si="7">SUM(R8:R20)</f>
        <v>92</v>
      </c>
      <c r="H29" s="129">
        <f t="shared" si="7"/>
        <v>0</v>
      </c>
      <c r="I29" s="130">
        <f>SUM(P2:P51)</f>
        <v>1163.34</v>
      </c>
      <c r="J29" s="88"/>
      <c r="K29" s="4"/>
      <c r="L29" s="18"/>
      <c r="M29" s="4"/>
      <c r="N29" s="4"/>
      <c r="O29" s="4"/>
      <c r="P29" s="6"/>
      <c r="Q29" s="18"/>
      <c r="R29" s="18"/>
      <c r="S29" s="18"/>
      <c r="T29" s="18"/>
      <c r="U29" s="18"/>
      <c r="V29" s="18"/>
    </row>
    <row r="30">
      <c r="A30" s="88"/>
      <c r="B30" s="6"/>
      <c r="C30" s="18"/>
      <c r="D30" s="18"/>
      <c r="E30" s="132" t="s">
        <v>108</v>
      </c>
      <c r="F30" s="133">
        <f t="shared" ref="F30:I30" si="8">SUM(F28:F29)</f>
        <v>4706.74</v>
      </c>
      <c r="G30" s="133">
        <f t="shared" si="8"/>
        <v>473.6</v>
      </c>
      <c r="H30" s="133">
        <f t="shared" si="8"/>
        <v>670.86</v>
      </c>
      <c r="I30" s="134">
        <f t="shared" si="8"/>
        <v>3562.28</v>
      </c>
      <c r="J30" s="88"/>
      <c r="K30" s="4"/>
      <c r="L30" s="6"/>
      <c r="M30" s="4"/>
      <c r="N30" s="4"/>
      <c r="O30" s="4"/>
      <c r="P30" s="6"/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6"/>
      <c r="E31" s="108" t="s">
        <v>109</v>
      </c>
      <c r="F31" s="111">
        <f t="shared" ref="F31:F32" si="10">G31+H31+I31</f>
        <v>162.97</v>
      </c>
      <c r="G31" s="111">
        <f t="shared" ref="G31:I31" si="9">G25-G28</f>
        <v>0</v>
      </c>
      <c r="H31" s="111">
        <f t="shared" si="9"/>
        <v>0</v>
      </c>
      <c r="I31" s="114">
        <f t="shared" si="9"/>
        <v>162.97</v>
      </c>
      <c r="J31" s="88"/>
      <c r="K31" s="4"/>
      <c r="L31" s="6"/>
      <c r="M31" s="4"/>
      <c r="N31" s="113"/>
      <c r="O31" s="113"/>
      <c r="P31" s="6"/>
      <c r="Q31" s="18"/>
      <c r="R31" s="18"/>
      <c r="S31" s="18"/>
      <c r="T31" s="18"/>
      <c r="U31" s="18"/>
      <c r="V31" s="18"/>
    </row>
    <row r="32">
      <c r="A32" s="18"/>
      <c r="B32" s="135"/>
      <c r="C32" s="135"/>
      <c r="D32" s="88"/>
      <c r="E32" s="126" t="s">
        <v>110</v>
      </c>
      <c r="F32" s="127">
        <f t="shared" si="10"/>
        <v>-302.24</v>
      </c>
      <c r="G32" s="129">
        <f t="shared" ref="G32:I32" si="11">G26-G29</f>
        <v>-91.6</v>
      </c>
      <c r="H32" s="129">
        <f t="shared" si="11"/>
        <v>0.3</v>
      </c>
      <c r="I32" s="130">
        <f t="shared" si="11"/>
        <v>-210.94</v>
      </c>
      <c r="J32" s="88"/>
      <c r="K32" s="4"/>
      <c r="L32" s="6"/>
      <c r="M32" s="4"/>
      <c r="N32" s="113"/>
      <c r="O32" s="113"/>
      <c r="P32" s="6"/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88"/>
      <c r="E33" s="132" t="s">
        <v>66</v>
      </c>
      <c r="F33" s="133">
        <f t="shared" ref="F33:I33" si="12">SUM(F31:F32)</f>
        <v>-139.27</v>
      </c>
      <c r="G33" s="133">
        <f t="shared" si="12"/>
        <v>-91.6</v>
      </c>
      <c r="H33" s="133">
        <f t="shared" si="12"/>
        <v>0.3</v>
      </c>
      <c r="I33" s="134">
        <f t="shared" si="12"/>
        <v>-47.97</v>
      </c>
      <c r="J33" s="88"/>
      <c r="K33" s="4"/>
      <c r="L33" s="6"/>
      <c r="M33" s="4"/>
      <c r="N33" s="4"/>
      <c r="O33" s="4"/>
      <c r="P33" s="6"/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4" t="s">
        <v>111</v>
      </c>
      <c r="F34" s="18">
        <f>G34+I34+H34</f>
        <v>3792.65</v>
      </c>
      <c r="G34" s="6">
        <v>452.53</v>
      </c>
      <c r="H34" s="6">
        <v>433.9</v>
      </c>
      <c r="I34" s="6">
        <f>2756.22+150</f>
        <v>2906.22</v>
      </c>
      <c r="J34" s="88"/>
      <c r="K34" s="88"/>
      <c r="L34" s="18"/>
      <c r="M34" s="88"/>
      <c r="N34" s="88"/>
      <c r="O34" s="18"/>
      <c r="P34" s="6"/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4" t="s">
        <v>112</v>
      </c>
      <c r="F35" s="18">
        <f t="shared" ref="F35:I35" si="13">F34-F27</f>
        <v>-774.82</v>
      </c>
      <c r="G35" s="6">
        <f t="shared" si="13"/>
        <v>70.53</v>
      </c>
      <c r="H35" s="6">
        <f t="shared" si="13"/>
        <v>-237.26</v>
      </c>
      <c r="I35" s="6">
        <f t="shared" si="13"/>
        <v>-608.09</v>
      </c>
      <c r="J35" s="88"/>
      <c r="K35" s="88"/>
      <c r="L35" s="18"/>
      <c r="M35" s="6"/>
      <c r="N35" s="18"/>
      <c r="O35" s="18"/>
      <c r="P35" s="6"/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4" t="s">
        <v>113</v>
      </c>
      <c r="F36" s="18">
        <f t="shared" ref="F36:I36" si="14">F34-F30</f>
        <v>-914.09</v>
      </c>
      <c r="G36" s="18">
        <f t="shared" si="14"/>
        <v>-21.07</v>
      </c>
      <c r="H36" s="18">
        <f t="shared" si="14"/>
        <v>-236.96</v>
      </c>
      <c r="I36" s="18">
        <f t="shared" si="14"/>
        <v>-656.06</v>
      </c>
      <c r="J36" s="88"/>
      <c r="K36" s="88"/>
      <c r="L36" s="18"/>
      <c r="M36" s="18"/>
      <c r="N36" s="18"/>
      <c r="O36" s="18"/>
      <c r="P36" s="6"/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88"/>
      <c r="F37" s="88"/>
      <c r="G37" s="88"/>
      <c r="H37" s="50"/>
      <c r="I37" s="88"/>
      <c r="J37" s="88"/>
      <c r="K37" s="88"/>
      <c r="L37" s="18"/>
      <c r="M37" s="18"/>
      <c r="N37" s="18"/>
      <c r="O37" s="18"/>
      <c r="P37" s="6"/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88"/>
      <c r="F38" s="88"/>
      <c r="G38" s="88"/>
      <c r="H38" s="6"/>
      <c r="I38" s="88"/>
      <c r="J38" s="18"/>
      <c r="K38" s="18"/>
      <c r="L38" s="18"/>
      <c r="M38" s="18"/>
      <c r="N38" s="18"/>
      <c r="O38" s="18"/>
      <c r="P38" s="6"/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88"/>
      <c r="F39" s="88"/>
      <c r="G39" s="88"/>
      <c r="H39" s="18"/>
      <c r="I39" s="88"/>
      <c r="J39" s="18"/>
      <c r="K39" s="18"/>
      <c r="L39" s="18"/>
      <c r="M39" s="18"/>
      <c r="N39" s="18"/>
      <c r="O39" s="18"/>
      <c r="P39" s="6"/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88"/>
      <c r="F40" s="88"/>
      <c r="G40" s="88"/>
      <c r="H40" s="18"/>
      <c r="I40" s="88"/>
      <c r="J40" s="18"/>
      <c r="K40" s="18"/>
      <c r="L40" s="18"/>
      <c r="M40" s="18"/>
      <c r="N40" s="18"/>
      <c r="O40" s="18"/>
      <c r="P40" s="6"/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88"/>
      <c r="F41" s="88"/>
      <c r="G41" s="88"/>
      <c r="H41" s="18"/>
      <c r="I41" s="88"/>
      <c r="J41" s="18"/>
      <c r="K41" s="18"/>
      <c r="L41" s="18"/>
      <c r="M41" s="18"/>
      <c r="N41" s="18"/>
      <c r="O41" s="18"/>
      <c r="P41" s="6"/>
      <c r="Q41" s="88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37"/>
      <c r="F42" s="137"/>
      <c r="G42" s="18"/>
      <c r="H42" s="18"/>
      <c r="I42" s="18"/>
      <c r="J42" s="18"/>
      <c r="K42" s="18"/>
      <c r="L42" s="18"/>
      <c r="M42" s="18"/>
      <c r="N42" s="18"/>
      <c r="O42" s="18"/>
      <c r="P42" s="6"/>
      <c r="Q42" s="88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37"/>
      <c r="F43" s="137"/>
      <c r="G43" s="18"/>
      <c r="H43" s="18"/>
      <c r="I43" s="18"/>
      <c r="J43" s="18"/>
      <c r="K43" s="18"/>
      <c r="L43" s="18"/>
      <c r="M43" s="18"/>
      <c r="N43" s="18"/>
      <c r="O43" s="18"/>
      <c r="P43" s="6"/>
      <c r="Q43" s="88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37"/>
      <c r="F44" s="137"/>
      <c r="G44" s="18"/>
      <c r="H44" s="18"/>
      <c r="I44" s="18"/>
      <c r="J44" s="18"/>
      <c r="K44" s="18"/>
      <c r="L44" s="18"/>
      <c r="M44" s="18"/>
      <c r="N44" s="18"/>
      <c r="O44" s="18"/>
      <c r="P44" s="6"/>
      <c r="Q44" s="88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37"/>
      <c r="F45" s="137"/>
      <c r="G45" s="18"/>
      <c r="H45" s="18"/>
      <c r="I45" s="18"/>
      <c r="J45" s="18"/>
      <c r="K45" s="18"/>
      <c r="L45" s="18"/>
      <c r="M45" s="18"/>
      <c r="N45" s="18"/>
      <c r="O45" s="18"/>
      <c r="P45" s="6"/>
      <c r="Q45" s="88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37"/>
      <c r="F46" s="137"/>
      <c r="G46" s="18"/>
      <c r="H46" s="18"/>
      <c r="I46" s="18"/>
      <c r="J46" s="18"/>
      <c r="K46" s="18"/>
      <c r="L46" s="18"/>
      <c r="M46" s="18"/>
      <c r="N46" s="18"/>
      <c r="O46" s="18"/>
      <c r="P46" s="6"/>
      <c r="Q46" s="88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37"/>
      <c r="F47" s="137"/>
      <c r="G47" s="18"/>
      <c r="H47" s="18"/>
      <c r="I47" s="18"/>
      <c r="J47" s="18"/>
      <c r="K47" s="18"/>
      <c r="L47" s="18"/>
      <c r="M47" s="18"/>
      <c r="N47" s="18"/>
      <c r="O47" s="18"/>
      <c r="P47" s="6"/>
      <c r="Q47" s="88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37"/>
      <c r="F48" s="137"/>
      <c r="G48" s="18"/>
      <c r="H48" s="18"/>
      <c r="I48" s="18"/>
      <c r="J48" s="18"/>
      <c r="K48" s="18"/>
      <c r="L48" s="18"/>
      <c r="M48" s="18"/>
      <c r="N48" s="18"/>
      <c r="O48" s="18"/>
      <c r="P48" s="6"/>
      <c r="Q48" s="88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37"/>
      <c r="F49" s="13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88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37"/>
      <c r="F50" s="13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37"/>
      <c r="F51" s="13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37"/>
      <c r="F52" s="13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37"/>
      <c r="F53" s="13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37"/>
      <c r="F54" s="13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37"/>
      <c r="F55" s="13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37"/>
      <c r="F56" s="13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37"/>
      <c r="F57" s="13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37"/>
      <c r="F58" s="13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37"/>
      <c r="F59" s="13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37"/>
      <c r="F60" s="13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37"/>
      <c r="F61" s="13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37"/>
      <c r="F62" s="13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37"/>
      <c r="F63" s="13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37"/>
      <c r="F64" s="13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37"/>
      <c r="F65" s="13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37"/>
      <c r="F66" s="13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37"/>
      <c r="F67" s="13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37"/>
      <c r="F68" s="13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37"/>
      <c r="F69" s="13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37"/>
      <c r="F70" s="13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37"/>
      <c r="F71" s="13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37"/>
      <c r="F72" s="13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37"/>
      <c r="F73" s="13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37"/>
      <c r="F74" s="13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37"/>
      <c r="F75" s="13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37"/>
      <c r="F76" s="13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37"/>
      <c r="F77" s="13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37"/>
      <c r="F78" s="13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37"/>
      <c r="F79" s="13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37"/>
      <c r="F80" s="13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37"/>
      <c r="F81" s="13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37"/>
      <c r="F82" s="13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37"/>
      <c r="F83" s="13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37"/>
      <c r="F84" s="13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37"/>
      <c r="F85" s="13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37"/>
      <c r="F86" s="13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37"/>
      <c r="F87" s="13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37"/>
      <c r="F88" s="13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37"/>
      <c r="F89" s="13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37"/>
      <c r="F90" s="13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37"/>
      <c r="F91" s="13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37"/>
      <c r="F92" s="13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37"/>
      <c r="F93" s="13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37"/>
      <c r="F94" s="13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37"/>
      <c r="F95" s="13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37"/>
      <c r="F96" s="13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37"/>
      <c r="F97" s="13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37"/>
      <c r="F98" s="13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37"/>
      <c r="F99" s="13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37"/>
      <c r="F100" s="13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37"/>
      <c r="F101" s="13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37"/>
      <c r="F102" s="13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37"/>
      <c r="F103" s="13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37"/>
      <c r="F104" s="13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37"/>
      <c r="F105" s="13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37"/>
      <c r="F106" s="13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37"/>
      <c r="F107" s="13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37"/>
      <c r="F108" s="13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37"/>
      <c r="F109" s="13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37"/>
      <c r="F110" s="13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37"/>
      <c r="F111" s="13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37"/>
      <c r="F112" s="13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37"/>
      <c r="F113" s="13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37"/>
      <c r="F114" s="13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37"/>
      <c r="F115" s="13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37"/>
      <c r="F116" s="13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37"/>
      <c r="F117" s="13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37"/>
      <c r="F118" s="13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37"/>
      <c r="F119" s="13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37"/>
      <c r="F120" s="13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37"/>
      <c r="F121" s="13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37"/>
      <c r="F122" s="13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37"/>
      <c r="F123" s="13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37"/>
      <c r="F124" s="13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37"/>
      <c r="F125" s="13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37"/>
      <c r="F126" s="13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37"/>
      <c r="F127" s="13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37"/>
      <c r="F128" s="13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37"/>
      <c r="F129" s="13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37"/>
      <c r="F130" s="13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37"/>
      <c r="F131" s="13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37"/>
      <c r="F132" s="13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37"/>
      <c r="F133" s="13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37"/>
      <c r="F134" s="13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37"/>
      <c r="F135" s="13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37"/>
      <c r="F136" s="13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37"/>
      <c r="F137" s="13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37"/>
      <c r="F138" s="13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37"/>
      <c r="F139" s="13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37"/>
      <c r="F140" s="13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37"/>
      <c r="F141" s="13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37"/>
      <c r="F142" s="13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37"/>
      <c r="F143" s="13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37"/>
      <c r="F144" s="13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37"/>
      <c r="F145" s="13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37"/>
      <c r="F146" s="13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37"/>
      <c r="F147" s="13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37"/>
      <c r="F148" s="13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37"/>
      <c r="F149" s="13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37"/>
      <c r="F150" s="13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37"/>
      <c r="F151" s="13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37"/>
      <c r="F152" s="13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37"/>
      <c r="F153" s="13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37"/>
      <c r="F154" s="13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37"/>
      <c r="F155" s="13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37"/>
      <c r="F156" s="13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37"/>
      <c r="F157" s="13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37"/>
      <c r="F158" s="13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37"/>
      <c r="F159" s="13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37"/>
      <c r="F160" s="13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37"/>
      <c r="F161" s="13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37"/>
      <c r="F162" s="13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37"/>
      <c r="F163" s="13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37"/>
      <c r="F164" s="13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37"/>
      <c r="F165" s="13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37"/>
      <c r="F166" s="13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37"/>
      <c r="F167" s="13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37"/>
      <c r="F168" s="13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37"/>
      <c r="F169" s="13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37"/>
      <c r="F170" s="13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37"/>
      <c r="F171" s="13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37"/>
      <c r="F172" s="13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37"/>
      <c r="F173" s="13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37"/>
      <c r="F174" s="13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37"/>
      <c r="F175" s="13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37"/>
      <c r="F176" s="13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37"/>
      <c r="F177" s="13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37"/>
      <c r="F178" s="13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37"/>
      <c r="F179" s="13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37"/>
      <c r="F180" s="13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37"/>
      <c r="F181" s="13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37"/>
      <c r="F182" s="13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37"/>
      <c r="F183" s="13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37"/>
      <c r="F184" s="13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37"/>
      <c r="F185" s="13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37"/>
      <c r="F186" s="13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37"/>
      <c r="F187" s="13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37"/>
      <c r="F188" s="13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37"/>
      <c r="F189" s="13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37"/>
      <c r="F190" s="13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37"/>
      <c r="F191" s="13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37"/>
      <c r="F192" s="13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37"/>
      <c r="F193" s="13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37"/>
      <c r="F194" s="13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37"/>
      <c r="F195" s="13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37"/>
      <c r="F196" s="13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37"/>
      <c r="F197" s="13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37"/>
      <c r="F198" s="13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37"/>
      <c r="F199" s="13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37"/>
      <c r="F200" s="13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37"/>
      <c r="F201" s="13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37"/>
      <c r="F202" s="13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37"/>
      <c r="F203" s="13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37"/>
      <c r="F204" s="13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37"/>
      <c r="F205" s="13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37"/>
      <c r="F206" s="13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37"/>
      <c r="F207" s="13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37"/>
      <c r="F208" s="13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37"/>
      <c r="F209" s="13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37"/>
      <c r="F210" s="13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37"/>
      <c r="F211" s="13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37"/>
      <c r="F212" s="13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37"/>
      <c r="F213" s="13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37"/>
      <c r="F214" s="13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37"/>
      <c r="F215" s="13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37"/>
      <c r="F216" s="13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37"/>
      <c r="F217" s="13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37"/>
      <c r="F218" s="13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37"/>
      <c r="F219" s="13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37"/>
      <c r="F220" s="13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37"/>
      <c r="F221" s="13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37"/>
      <c r="F222" s="13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37"/>
      <c r="F223" s="13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37"/>
      <c r="F224" s="13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37"/>
      <c r="F225" s="13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37"/>
      <c r="F226" s="13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37"/>
      <c r="F227" s="13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37"/>
      <c r="F228" s="13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37"/>
      <c r="F229" s="13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37"/>
      <c r="F230" s="13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37"/>
      <c r="F231" s="13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37"/>
      <c r="F232" s="13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37"/>
      <c r="F233" s="13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37"/>
      <c r="F234" s="13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37"/>
      <c r="F235" s="13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37"/>
      <c r="F236" s="13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37"/>
      <c r="F237" s="13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37"/>
      <c r="F238" s="13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37"/>
      <c r="F239" s="13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37"/>
      <c r="F240" s="13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37"/>
      <c r="F241" s="13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37"/>
      <c r="F242" s="13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37"/>
      <c r="F243" s="13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37"/>
      <c r="F244" s="13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37"/>
      <c r="F245" s="13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37"/>
      <c r="F246" s="13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37"/>
      <c r="F247" s="13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37"/>
      <c r="F248" s="13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37"/>
      <c r="F249" s="13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37"/>
      <c r="F250" s="13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37"/>
      <c r="F251" s="13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37"/>
      <c r="F252" s="13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37"/>
      <c r="F253" s="13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37"/>
      <c r="F254" s="13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37"/>
      <c r="F255" s="13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37"/>
      <c r="F256" s="13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37"/>
      <c r="F257" s="13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37"/>
      <c r="F258" s="13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37"/>
      <c r="F259" s="13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37"/>
      <c r="F260" s="13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37"/>
      <c r="F261" s="13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37"/>
      <c r="F262" s="13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37"/>
      <c r="F263" s="13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37"/>
      <c r="F264" s="13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37"/>
      <c r="F265" s="13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37"/>
      <c r="F266" s="13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37"/>
      <c r="F267" s="13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37"/>
      <c r="F268" s="13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37"/>
      <c r="F269" s="13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37"/>
      <c r="F270" s="13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37"/>
      <c r="F271" s="13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37"/>
      <c r="F272" s="13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37"/>
      <c r="F273" s="13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37"/>
      <c r="F274" s="13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37"/>
      <c r="F275" s="13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37"/>
      <c r="F276" s="13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37"/>
      <c r="F277" s="13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37"/>
      <c r="F278" s="13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37"/>
      <c r="F279" s="13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37"/>
      <c r="F280" s="13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37"/>
      <c r="F281" s="13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37"/>
      <c r="F282" s="13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37"/>
      <c r="F283" s="13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37"/>
      <c r="F284" s="13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37"/>
      <c r="F285" s="13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37"/>
      <c r="F286" s="13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37"/>
      <c r="F287" s="13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37"/>
      <c r="F288" s="13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37"/>
      <c r="F289" s="13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37"/>
      <c r="F290" s="13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37"/>
      <c r="F291" s="13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37"/>
      <c r="F292" s="13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37"/>
      <c r="F293" s="13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37"/>
      <c r="F294" s="13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37"/>
      <c r="F295" s="13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37"/>
      <c r="F296" s="13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37"/>
      <c r="F297" s="13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37"/>
      <c r="F298" s="13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37"/>
      <c r="F299" s="13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37"/>
      <c r="F300" s="13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37"/>
      <c r="F301" s="13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37"/>
      <c r="F302" s="13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37"/>
      <c r="F303" s="13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37"/>
      <c r="F304" s="13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37"/>
      <c r="F305" s="13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37"/>
      <c r="F306" s="13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37"/>
      <c r="F307" s="13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37"/>
      <c r="F308" s="13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37"/>
      <c r="F309" s="13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37"/>
      <c r="F310" s="13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37"/>
      <c r="F311" s="13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37"/>
      <c r="F312" s="13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37"/>
      <c r="F313" s="13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37"/>
      <c r="F314" s="13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37"/>
      <c r="F315" s="13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37"/>
      <c r="F316" s="13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37"/>
      <c r="F317" s="13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37"/>
      <c r="F318" s="13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37"/>
      <c r="F319" s="13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37"/>
      <c r="F320" s="13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37"/>
      <c r="F321" s="13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37"/>
      <c r="F322" s="13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37"/>
      <c r="F323" s="13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37"/>
      <c r="F324" s="13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37"/>
      <c r="F325" s="13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37"/>
      <c r="F326" s="13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37"/>
      <c r="F327" s="13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37"/>
      <c r="F328" s="13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37"/>
      <c r="F329" s="13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37"/>
      <c r="F330" s="13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37"/>
      <c r="F331" s="13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37"/>
      <c r="F332" s="13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37"/>
      <c r="F333" s="13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37"/>
      <c r="F334" s="13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37"/>
      <c r="F335" s="13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37"/>
      <c r="F336" s="13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37"/>
      <c r="F337" s="13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37"/>
      <c r="F338" s="13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37"/>
      <c r="F339" s="13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37"/>
      <c r="F340" s="13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37"/>
      <c r="F341" s="13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37"/>
      <c r="F342" s="13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37"/>
      <c r="F343" s="13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37"/>
      <c r="F344" s="13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37"/>
      <c r="F345" s="13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37"/>
      <c r="F346" s="13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37"/>
      <c r="F347" s="13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37"/>
      <c r="F348" s="13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37"/>
      <c r="F349" s="13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37"/>
      <c r="F350" s="13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37"/>
      <c r="F351" s="13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37"/>
      <c r="F352" s="13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37"/>
      <c r="F353" s="13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37"/>
      <c r="F354" s="13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37"/>
      <c r="F355" s="13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37"/>
      <c r="F356" s="13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37"/>
      <c r="F357" s="13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37"/>
      <c r="F358" s="13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37"/>
      <c r="F359" s="13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37"/>
      <c r="F360" s="13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37"/>
      <c r="F361" s="13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37"/>
      <c r="F362" s="13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37"/>
      <c r="F363" s="13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37"/>
      <c r="F364" s="13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37"/>
      <c r="F365" s="13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37"/>
      <c r="F366" s="13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37"/>
      <c r="F367" s="13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37"/>
      <c r="F368" s="13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37"/>
      <c r="F369" s="13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37"/>
      <c r="F370" s="13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37"/>
      <c r="F371" s="13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37"/>
      <c r="F372" s="13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37"/>
      <c r="F373" s="13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37"/>
      <c r="F374" s="13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37"/>
      <c r="F375" s="13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37"/>
      <c r="F376" s="13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37"/>
      <c r="F377" s="13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37"/>
      <c r="F378" s="13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37"/>
      <c r="F379" s="13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37"/>
      <c r="F380" s="13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37"/>
      <c r="F381" s="13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37"/>
      <c r="F382" s="13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37"/>
      <c r="F383" s="13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37"/>
      <c r="F384" s="13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37"/>
      <c r="F385" s="13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37"/>
      <c r="F386" s="13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37"/>
      <c r="F387" s="13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37"/>
      <c r="F388" s="13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37"/>
      <c r="F389" s="13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37"/>
      <c r="F390" s="13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37"/>
      <c r="F391" s="13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37"/>
      <c r="F392" s="13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37"/>
      <c r="F393" s="13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37"/>
      <c r="F394" s="13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37"/>
      <c r="F395" s="13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37"/>
      <c r="F396" s="13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37"/>
      <c r="F397" s="13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37"/>
      <c r="F398" s="13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37"/>
      <c r="F399" s="13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37"/>
      <c r="F400" s="13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37"/>
      <c r="F401" s="13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37"/>
      <c r="F402" s="13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37"/>
      <c r="F403" s="13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37"/>
      <c r="F404" s="13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37"/>
      <c r="F405" s="13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37"/>
      <c r="F406" s="13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37"/>
      <c r="F407" s="13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37"/>
      <c r="F408" s="13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37"/>
      <c r="F409" s="13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37"/>
      <c r="F410" s="13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37"/>
      <c r="F411" s="13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37"/>
      <c r="F412" s="13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37"/>
      <c r="F413" s="13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37"/>
      <c r="F414" s="13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37"/>
      <c r="F415" s="13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37"/>
      <c r="F416" s="13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37"/>
      <c r="F417" s="13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37"/>
      <c r="F418" s="13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37"/>
      <c r="F419" s="13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37"/>
      <c r="F420" s="13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37"/>
      <c r="F421" s="13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37"/>
      <c r="F422" s="13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37"/>
      <c r="F423" s="13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37"/>
      <c r="F424" s="13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37"/>
      <c r="F425" s="13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37"/>
      <c r="F426" s="13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37"/>
      <c r="F427" s="13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37"/>
      <c r="F428" s="13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37"/>
      <c r="F429" s="13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37"/>
      <c r="F430" s="13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37"/>
      <c r="F431" s="13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37"/>
      <c r="F432" s="13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37"/>
      <c r="F433" s="13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37"/>
      <c r="F434" s="13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37"/>
      <c r="F435" s="13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37"/>
      <c r="F436" s="13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37"/>
      <c r="F437" s="13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37"/>
      <c r="F438" s="13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37"/>
      <c r="F439" s="13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37"/>
      <c r="F440" s="13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37"/>
      <c r="F441" s="13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37"/>
      <c r="F442" s="13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37"/>
      <c r="F443" s="13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37"/>
      <c r="F444" s="13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37"/>
      <c r="F445" s="13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37"/>
      <c r="F446" s="13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37"/>
      <c r="F447" s="13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37"/>
      <c r="F448" s="13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37"/>
      <c r="F449" s="13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37"/>
      <c r="F450" s="13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37"/>
      <c r="F451" s="13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37"/>
      <c r="F452" s="13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37"/>
      <c r="F453" s="13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37"/>
      <c r="F454" s="13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37"/>
      <c r="F455" s="13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37"/>
      <c r="F456" s="13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37"/>
      <c r="F457" s="13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37"/>
      <c r="F458" s="13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37"/>
      <c r="F459" s="13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37"/>
      <c r="F460" s="13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37"/>
      <c r="F461" s="13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37"/>
      <c r="F462" s="13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37"/>
      <c r="F463" s="13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37"/>
      <c r="F464" s="13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37"/>
      <c r="F465" s="13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37"/>
      <c r="F466" s="13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37"/>
      <c r="F467" s="13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37"/>
      <c r="F468" s="13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37"/>
      <c r="F469" s="13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37"/>
      <c r="F470" s="13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37"/>
      <c r="F471" s="13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37"/>
      <c r="F472" s="13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37"/>
      <c r="F473" s="13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37"/>
      <c r="F474" s="13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37"/>
      <c r="F475" s="13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37"/>
      <c r="F476" s="13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37"/>
      <c r="F477" s="13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37"/>
      <c r="F478" s="13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37"/>
      <c r="F479" s="13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37"/>
      <c r="F480" s="13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37"/>
      <c r="F481" s="13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37"/>
      <c r="F482" s="13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37"/>
      <c r="F483" s="13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37"/>
      <c r="F484" s="13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37"/>
      <c r="F485" s="13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37"/>
      <c r="F486" s="13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37"/>
      <c r="F487" s="13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37"/>
      <c r="F488" s="13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37"/>
      <c r="F489" s="13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37"/>
      <c r="F490" s="13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37"/>
      <c r="F491" s="13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37"/>
      <c r="F492" s="13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37"/>
      <c r="F493" s="13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37"/>
      <c r="F494" s="13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37"/>
      <c r="F495" s="13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37"/>
      <c r="F496" s="13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37"/>
      <c r="F497" s="13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37"/>
      <c r="F498" s="13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37"/>
      <c r="F499" s="13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37"/>
      <c r="F500" s="13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37"/>
      <c r="F501" s="13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37"/>
      <c r="F502" s="13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37"/>
      <c r="F503" s="13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37"/>
      <c r="F504" s="13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37"/>
      <c r="F505" s="13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37"/>
      <c r="F506" s="13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37"/>
      <c r="F507" s="13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37"/>
      <c r="F508" s="13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37"/>
      <c r="F509" s="13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37"/>
      <c r="F510" s="13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37"/>
      <c r="F511" s="13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37"/>
      <c r="F512" s="13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37"/>
      <c r="F513" s="13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37"/>
      <c r="F514" s="13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37"/>
      <c r="F515" s="13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37"/>
      <c r="F516" s="13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37"/>
      <c r="F517" s="13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37"/>
      <c r="F518" s="13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37"/>
      <c r="F519" s="13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37"/>
      <c r="F520" s="13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37"/>
      <c r="F521" s="13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37"/>
      <c r="F522" s="13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37"/>
      <c r="F523" s="13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37"/>
      <c r="F524" s="13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37"/>
      <c r="F525" s="13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37"/>
      <c r="F526" s="13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37"/>
      <c r="F527" s="13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37"/>
      <c r="F528" s="13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37"/>
      <c r="F529" s="13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37"/>
      <c r="F530" s="13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37"/>
      <c r="F531" s="13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37"/>
      <c r="F532" s="13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37"/>
      <c r="F533" s="13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37"/>
      <c r="F534" s="13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37"/>
      <c r="F535" s="13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37"/>
      <c r="F536" s="13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37"/>
      <c r="F537" s="13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37"/>
      <c r="F538" s="13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37"/>
      <c r="F539" s="13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37"/>
      <c r="F540" s="13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37"/>
      <c r="F541" s="13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37"/>
      <c r="F542" s="13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37"/>
      <c r="F543" s="13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37"/>
      <c r="F544" s="13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37"/>
      <c r="F545" s="13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37"/>
      <c r="F546" s="13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37"/>
      <c r="F547" s="13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37"/>
      <c r="F548" s="13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37"/>
      <c r="F549" s="13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37"/>
      <c r="F550" s="13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37"/>
      <c r="F551" s="13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37"/>
      <c r="F552" s="13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37"/>
      <c r="F553" s="13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37"/>
      <c r="F554" s="13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37"/>
      <c r="F555" s="13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37"/>
      <c r="F556" s="13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37"/>
      <c r="F557" s="13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37"/>
      <c r="F558" s="13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37"/>
      <c r="F559" s="13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37"/>
      <c r="F560" s="13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37"/>
      <c r="F561" s="13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37"/>
      <c r="F562" s="13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37"/>
      <c r="F563" s="13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37"/>
      <c r="F564" s="13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37"/>
      <c r="F565" s="13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37"/>
      <c r="F566" s="13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37"/>
      <c r="F567" s="13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37"/>
      <c r="F568" s="13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37"/>
      <c r="F569" s="13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37"/>
      <c r="F570" s="13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37"/>
      <c r="F571" s="13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37"/>
      <c r="F572" s="13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37"/>
      <c r="F573" s="13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37"/>
      <c r="F574" s="13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37"/>
      <c r="F575" s="13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37"/>
      <c r="F576" s="13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37"/>
      <c r="F577" s="13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37"/>
      <c r="F578" s="13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37"/>
      <c r="F579" s="13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37"/>
      <c r="F580" s="13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37"/>
      <c r="F581" s="13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37"/>
      <c r="F582" s="13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37"/>
      <c r="F583" s="13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37"/>
      <c r="F584" s="13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37"/>
      <c r="F585" s="13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37"/>
      <c r="F586" s="13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37"/>
      <c r="F587" s="13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37"/>
      <c r="F588" s="13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37"/>
      <c r="F589" s="13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37"/>
      <c r="F590" s="13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37"/>
      <c r="F591" s="13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37"/>
      <c r="F592" s="13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37"/>
      <c r="F593" s="13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37"/>
      <c r="F594" s="13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37"/>
      <c r="F595" s="13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37"/>
      <c r="F596" s="13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37"/>
      <c r="F597" s="13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37"/>
      <c r="F598" s="13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37"/>
      <c r="F599" s="13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37"/>
      <c r="F600" s="13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37"/>
      <c r="F601" s="13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37"/>
      <c r="F602" s="13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37"/>
      <c r="F603" s="13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37"/>
      <c r="F604" s="13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37"/>
      <c r="F605" s="13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37"/>
      <c r="F606" s="13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37"/>
      <c r="F607" s="13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37"/>
      <c r="F608" s="13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37"/>
      <c r="F609" s="13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37"/>
      <c r="F610" s="13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37"/>
      <c r="F611" s="13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37"/>
      <c r="F612" s="13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37"/>
      <c r="F613" s="13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37"/>
      <c r="F614" s="13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37"/>
      <c r="F615" s="13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37"/>
      <c r="F616" s="13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37"/>
      <c r="F617" s="13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37"/>
      <c r="F618" s="13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37"/>
      <c r="F619" s="13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37"/>
      <c r="F620" s="13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37"/>
      <c r="F621" s="13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37"/>
      <c r="F622" s="13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37"/>
      <c r="F623" s="13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37"/>
      <c r="F624" s="13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37"/>
      <c r="F625" s="13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37"/>
      <c r="F626" s="13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37"/>
      <c r="F627" s="13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37"/>
      <c r="F628" s="13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37"/>
      <c r="F629" s="13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37"/>
      <c r="F630" s="13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37"/>
      <c r="F631" s="13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37"/>
      <c r="F632" s="13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37"/>
      <c r="F633" s="13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37"/>
      <c r="F634" s="13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37"/>
      <c r="F635" s="13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37"/>
      <c r="F636" s="13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37"/>
      <c r="F637" s="13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37"/>
      <c r="F638" s="13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37"/>
      <c r="F639" s="13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37"/>
      <c r="F640" s="13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37"/>
      <c r="F641" s="13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37"/>
      <c r="F642" s="13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37"/>
      <c r="F643" s="13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37"/>
      <c r="F644" s="13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37"/>
      <c r="F645" s="13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37"/>
      <c r="F646" s="13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37"/>
      <c r="F647" s="13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37"/>
      <c r="F648" s="13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37"/>
      <c r="F649" s="13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37"/>
      <c r="F650" s="13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37"/>
      <c r="F651" s="13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37"/>
      <c r="F652" s="13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37"/>
      <c r="F653" s="13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37"/>
      <c r="F654" s="13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37"/>
      <c r="F655" s="13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37"/>
      <c r="F656" s="13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37"/>
      <c r="F657" s="13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37"/>
      <c r="F658" s="13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37"/>
      <c r="F659" s="13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37"/>
      <c r="F660" s="13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37"/>
      <c r="F661" s="13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37"/>
      <c r="F662" s="13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37"/>
      <c r="F663" s="13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37"/>
      <c r="F664" s="13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37"/>
      <c r="F665" s="13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37"/>
      <c r="F666" s="13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37"/>
      <c r="F667" s="13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37"/>
      <c r="F668" s="13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37"/>
      <c r="F669" s="13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37"/>
      <c r="F670" s="13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37"/>
      <c r="F671" s="13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37"/>
      <c r="F672" s="13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37"/>
      <c r="F673" s="13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37"/>
      <c r="F674" s="13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37"/>
      <c r="F675" s="13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37"/>
      <c r="F676" s="13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37"/>
      <c r="F677" s="13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37"/>
      <c r="F678" s="13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37"/>
      <c r="F679" s="13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37"/>
      <c r="F680" s="13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37"/>
      <c r="F681" s="13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37"/>
      <c r="F682" s="13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37"/>
      <c r="F683" s="13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37"/>
      <c r="F684" s="13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37"/>
      <c r="F685" s="13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37"/>
      <c r="F686" s="13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37"/>
      <c r="F687" s="13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37"/>
      <c r="F688" s="13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37"/>
      <c r="F689" s="13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37"/>
      <c r="F690" s="13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37"/>
      <c r="F691" s="13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37"/>
      <c r="F692" s="13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37"/>
      <c r="F693" s="13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37"/>
      <c r="F694" s="13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37"/>
      <c r="F695" s="13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37"/>
      <c r="F696" s="13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37"/>
      <c r="F697" s="13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37"/>
      <c r="F698" s="13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37"/>
      <c r="F699" s="13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37"/>
      <c r="F700" s="13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37"/>
      <c r="F701" s="13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37"/>
      <c r="F702" s="13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37"/>
      <c r="F703" s="13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37"/>
      <c r="F704" s="13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37"/>
      <c r="F705" s="13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37"/>
      <c r="F706" s="13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37"/>
      <c r="F707" s="13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37"/>
      <c r="F708" s="13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37"/>
      <c r="F709" s="13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37"/>
      <c r="F710" s="13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37"/>
      <c r="F711" s="13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37"/>
      <c r="F712" s="13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37"/>
      <c r="F713" s="13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37"/>
      <c r="F714" s="13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37"/>
      <c r="F715" s="13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37"/>
      <c r="F716" s="13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37"/>
      <c r="F717" s="13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37"/>
      <c r="F718" s="13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37"/>
      <c r="F719" s="13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37"/>
      <c r="F720" s="13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37"/>
      <c r="F721" s="13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37"/>
      <c r="F722" s="13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37"/>
      <c r="F723" s="13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37"/>
      <c r="F724" s="13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37"/>
      <c r="F725" s="13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37"/>
      <c r="F726" s="13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37"/>
      <c r="F727" s="13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37"/>
      <c r="F728" s="13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37"/>
      <c r="F729" s="13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37"/>
      <c r="F730" s="13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37"/>
      <c r="F731" s="13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37"/>
      <c r="F732" s="13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37"/>
      <c r="F733" s="13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37"/>
      <c r="F734" s="13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37"/>
      <c r="F735" s="13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37"/>
      <c r="F736" s="13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37"/>
      <c r="F737" s="13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37"/>
      <c r="F738" s="13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37"/>
      <c r="F739" s="13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37"/>
      <c r="F740" s="13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37"/>
      <c r="F741" s="13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37"/>
      <c r="F742" s="13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37"/>
      <c r="F743" s="13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37"/>
      <c r="F744" s="13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37"/>
      <c r="F745" s="13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37"/>
      <c r="F746" s="13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37"/>
      <c r="F747" s="13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37"/>
      <c r="F748" s="13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37"/>
      <c r="F749" s="13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37"/>
      <c r="F750" s="13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37"/>
      <c r="F751" s="13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37"/>
      <c r="F752" s="13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37"/>
      <c r="F753" s="13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37"/>
      <c r="F754" s="13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37"/>
      <c r="F755" s="13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37"/>
      <c r="F756" s="13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37"/>
      <c r="F757" s="13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37"/>
      <c r="F758" s="13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37"/>
      <c r="F759" s="13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37"/>
      <c r="F760" s="13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37"/>
      <c r="F761" s="13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37"/>
      <c r="F762" s="13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37"/>
      <c r="F763" s="13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37"/>
      <c r="F764" s="13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37"/>
      <c r="F765" s="13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37"/>
      <c r="F766" s="13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37"/>
      <c r="F767" s="13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37"/>
      <c r="F768" s="13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37"/>
      <c r="F769" s="13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37"/>
      <c r="F770" s="13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37"/>
      <c r="F771" s="13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37"/>
      <c r="F772" s="13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37"/>
      <c r="F773" s="13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37"/>
      <c r="F774" s="13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37"/>
      <c r="F775" s="13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37"/>
      <c r="F776" s="13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37"/>
      <c r="F777" s="13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37"/>
      <c r="F778" s="13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37"/>
      <c r="F779" s="13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37"/>
      <c r="F780" s="13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37"/>
      <c r="F781" s="13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37"/>
      <c r="F782" s="13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37"/>
      <c r="F783" s="13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37"/>
      <c r="F784" s="13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37"/>
      <c r="F785" s="13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37"/>
      <c r="F786" s="13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37"/>
      <c r="F787" s="13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37"/>
      <c r="F788" s="13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37"/>
      <c r="F789" s="13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37"/>
      <c r="F790" s="13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37"/>
      <c r="F791" s="13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37"/>
      <c r="F792" s="13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37"/>
      <c r="F793" s="13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37"/>
      <c r="F794" s="13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37"/>
      <c r="F795" s="13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37"/>
      <c r="F796" s="13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37"/>
      <c r="F797" s="13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37"/>
      <c r="F798" s="13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37"/>
      <c r="F799" s="13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37"/>
      <c r="F800" s="13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37"/>
      <c r="F801" s="13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37"/>
      <c r="F802" s="13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37"/>
      <c r="F803" s="13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37"/>
      <c r="F804" s="13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37"/>
      <c r="F805" s="13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37"/>
      <c r="F806" s="13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37"/>
      <c r="F807" s="13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37"/>
      <c r="F808" s="13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37"/>
      <c r="F809" s="13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37"/>
      <c r="F810" s="13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37"/>
      <c r="F811" s="13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37"/>
      <c r="F812" s="13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37"/>
      <c r="F813" s="13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37"/>
      <c r="F814" s="13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37"/>
      <c r="F815" s="13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37"/>
      <c r="F816" s="13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37"/>
      <c r="F817" s="13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37"/>
      <c r="F818" s="13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37"/>
      <c r="F819" s="13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37"/>
      <c r="F820" s="13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37"/>
      <c r="F821" s="13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37"/>
      <c r="F822" s="13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37"/>
      <c r="F823" s="13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37"/>
      <c r="F824" s="13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37"/>
      <c r="F825" s="13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37"/>
      <c r="F826" s="13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37"/>
      <c r="F827" s="13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37"/>
      <c r="F828" s="13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37"/>
      <c r="F829" s="13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37"/>
      <c r="F830" s="13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37"/>
      <c r="F831" s="13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37"/>
      <c r="F832" s="13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37"/>
      <c r="F833" s="13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37"/>
      <c r="F834" s="13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37"/>
      <c r="F835" s="13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37"/>
      <c r="F836" s="13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37"/>
      <c r="F837" s="13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37"/>
      <c r="F838" s="13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37"/>
      <c r="F839" s="13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37"/>
      <c r="F840" s="13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37"/>
      <c r="F841" s="13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37"/>
      <c r="F842" s="13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37"/>
      <c r="F843" s="13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37"/>
      <c r="F844" s="13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37"/>
      <c r="F845" s="13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37"/>
      <c r="F846" s="13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37"/>
      <c r="F847" s="13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37"/>
      <c r="F848" s="13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37"/>
      <c r="F849" s="13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37"/>
      <c r="F850" s="13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37"/>
      <c r="F851" s="13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37"/>
      <c r="F852" s="13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37"/>
      <c r="F853" s="13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37"/>
      <c r="F854" s="13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37"/>
      <c r="F855" s="13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37"/>
      <c r="F856" s="13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37"/>
      <c r="F857" s="13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37"/>
      <c r="F858" s="13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37"/>
      <c r="F859" s="13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37"/>
      <c r="F860" s="13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37"/>
      <c r="F861" s="13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37"/>
      <c r="F862" s="13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37"/>
      <c r="F863" s="13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37"/>
      <c r="F864" s="13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37"/>
      <c r="F865" s="13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37"/>
      <c r="F866" s="13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37"/>
      <c r="F867" s="13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37"/>
      <c r="F868" s="13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37"/>
      <c r="F869" s="13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37"/>
      <c r="F870" s="13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37"/>
      <c r="F871" s="13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37"/>
      <c r="F872" s="13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37"/>
      <c r="F873" s="13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37"/>
      <c r="F874" s="13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37"/>
      <c r="F875" s="13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37"/>
      <c r="F876" s="13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37"/>
      <c r="F877" s="13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37"/>
      <c r="F878" s="13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37"/>
      <c r="F879" s="13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37"/>
      <c r="F880" s="13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37"/>
      <c r="F881" s="13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37"/>
      <c r="F882" s="13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37"/>
      <c r="F883" s="13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37"/>
      <c r="F884" s="13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37"/>
      <c r="F885" s="13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37"/>
      <c r="F886" s="13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37"/>
      <c r="F887" s="13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37"/>
      <c r="F888" s="13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37"/>
      <c r="F889" s="13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37"/>
      <c r="F890" s="13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37"/>
      <c r="F891" s="13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37"/>
      <c r="F892" s="13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37"/>
      <c r="F893" s="13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37"/>
      <c r="F894" s="13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37"/>
      <c r="F895" s="13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37"/>
      <c r="F896" s="13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37"/>
      <c r="F897" s="13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37"/>
      <c r="F898" s="13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37"/>
      <c r="F899" s="13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37"/>
      <c r="F900" s="13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37"/>
      <c r="F901" s="13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37"/>
      <c r="F902" s="13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37"/>
      <c r="F903" s="13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37"/>
      <c r="F904" s="13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37"/>
      <c r="F905" s="13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37"/>
      <c r="F906" s="13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37"/>
      <c r="F907" s="13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37"/>
      <c r="F908" s="13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37"/>
      <c r="F909" s="13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37"/>
      <c r="F910" s="13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37"/>
      <c r="F911" s="13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37"/>
      <c r="F912" s="13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37"/>
      <c r="F913" s="13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37"/>
      <c r="F914" s="13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37"/>
      <c r="F915" s="13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37"/>
      <c r="F916" s="13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37"/>
      <c r="F917" s="13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37"/>
      <c r="F918" s="13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37"/>
      <c r="F919" s="13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37"/>
      <c r="F920" s="13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37"/>
      <c r="F921" s="13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37"/>
      <c r="F922" s="13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37"/>
      <c r="F923" s="13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37"/>
      <c r="F924" s="13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37"/>
      <c r="F925" s="13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37"/>
      <c r="F926" s="13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37"/>
      <c r="F927" s="13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37"/>
      <c r="F928" s="13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37"/>
      <c r="F929" s="13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37"/>
      <c r="F930" s="13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37"/>
      <c r="F931" s="13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37"/>
      <c r="F932" s="13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37"/>
      <c r="F933" s="13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37"/>
      <c r="F934" s="13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37"/>
      <c r="F935" s="13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37"/>
      <c r="F936" s="13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37"/>
      <c r="F937" s="13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37"/>
      <c r="F938" s="13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37"/>
      <c r="F939" s="13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37"/>
      <c r="F940" s="13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37"/>
      <c r="F941" s="13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37"/>
      <c r="F942" s="13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37"/>
      <c r="F943" s="13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37"/>
      <c r="F944" s="13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37"/>
      <c r="F945" s="13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37"/>
      <c r="F946" s="13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37"/>
      <c r="F947" s="13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37"/>
      <c r="F948" s="13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37"/>
      <c r="F949" s="13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37"/>
      <c r="F950" s="13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37"/>
      <c r="F951" s="13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37"/>
      <c r="F952" s="13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37"/>
      <c r="F953" s="13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37"/>
      <c r="F954" s="13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37"/>
      <c r="F955" s="13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37"/>
      <c r="F956" s="13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37"/>
      <c r="F957" s="13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37"/>
      <c r="F958" s="13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37"/>
      <c r="F959" s="13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37"/>
      <c r="F960" s="13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37"/>
      <c r="F961" s="13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37"/>
      <c r="F962" s="13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37"/>
      <c r="F963" s="13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37"/>
      <c r="F964" s="13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37"/>
      <c r="F965" s="13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37"/>
      <c r="F966" s="13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37"/>
      <c r="F967" s="13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37"/>
      <c r="F968" s="13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37"/>
      <c r="F969" s="13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37"/>
      <c r="F970" s="13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37"/>
      <c r="F971" s="13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37"/>
      <c r="F972" s="13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37"/>
      <c r="F973" s="13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37"/>
      <c r="F974" s="13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37"/>
      <c r="F975" s="13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37"/>
      <c r="F976" s="13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37"/>
      <c r="F977" s="13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37"/>
      <c r="F978" s="13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37"/>
      <c r="F979" s="13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37"/>
      <c r="F980" s="13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37"/>
      <c r="F981" s="13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37"/>
      <c r="F982" s="13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37"/>
      <c r="F983" s="13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37"/>
      <c r="F984" s="13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37"/>
      <c r="F985" s="13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37"/>
      <c r="F986" s="13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37"/>
      <c r="F987" s="13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37"/>
      <c r="F988" s="13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37"/>
      <c r="F989" s="13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37"/>
      <c r="F990" s="13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37"/>
      <c r="F991" s="13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37"/>
      <c r="F992" s="13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37"/>
      <c r="F993" s="13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37"/>
      <c r="F994" s="13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37"/>
      <c r="F995" s="13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37"/>
      <c r="F996" s="13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37"/>
      <c r="F997" s="13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37"/>
      <c r="F998" s="13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37"/>
      <c r="F999" s="13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37"/>
      <c r="F1000" s="13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37"/>
      <c r="F1001" s="13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>
      <c r="A1002" s="18"/>
      <c r="B1002" s="18"/>
      <c r="C1002" s="18"/>
      <c r="D1002" s="18"/>
      <c r="E1002" s="137"/>
      <c r="F1002" s="13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  <row r="1003">
      <c r="A1003" s="18"/>
      <c r="B1003" s="18"/>
      <c r="C1003" s="18"/>
      <c r="D1003" s="18"/>
      <c r="E1003" s="137"/>
      <c r="F1003" s="13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</row>
  </sheetData>
  <mergeCells count="5">
    <mergeCell ref="A1:B1"/>
    <mergeCell ref="E1:I1"/>
    <mergeCell ref="K1:L1"/>
    <mergeCell ref="M1:N1"/>
    <mergeCell ref="K14:L14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3" width="13.63"/>
    <col customWidth="1" min="4" max="4" width="10.88"/>
    <col customWidth="1" min="5" max="5" width="21.5"/>
    <col customWidth="1" min="7" max="7" width="9.0"/>
    <col customWidth="1" min="8" max="8" width="8.5"/>
    <col customWidth="1" min="9" max="9" width="10.5"/>
    <col customWidth="1" min="10" max="10" width="2.13"/>
    <col customWidth="1" min="11" max="11" width="16.25"/>
    <col customWidth="1" min="12" max="12" width="9.63"/>
    <col customWidth="1" min="13" max="13" width="11.75"/>
    <col customWidth="1" min="14" max="14" width="10.63"/>
    <col customWidth="1" min="15" max="15" width="4.63"/>
    <col customWidth="1" min="16" max="16" width="13.63"/>
    <col customWidth="1" min="18" max="18" width="14.75"/>
    <col customWidth="1" min="19" max="19" width="14.88"/>
  </cols>
  <sheetData>
    <row r="1">
      <c r="A1" s="4" t="s">
        <v>68</v>
      </c>
      <c r="C1" s="6"/>
      <c r="D1" s="7"/>
      <c r="E1" s="10" t="s">
        <v>4</v>
      </c>
      <c r="F1" s="13"/>
      <c r="G1" s="13"/>
      <c r="H1" s="13"/>
      <c r="I1" s="16"/>
      <c r="J1" s="18"/>
      <c r="K1" s="20" t="s">
        <v>9</v>
      </c>
      <c r="M1" s="20" t="s">
        <v>10</v>
      </c>
      <c r="O1" s="6"/>
      <c r="P1" s="6" t="s">
        <v>11</v>
      </c>
      <c r="Q1" s="6" t="s">
        <v>12</v>
      </c>
      <c r="R1" s="6" t="s">
        <v>13</v>
      </c>
      <c r="S1" s="6" t="s">
        <v>14</v>
      </c>
      <c r="T1" s="6">
        <v>194.81</v>
      </c>
      <c r="U1" s="6">
        <v>21.8</v>
      </c>
      <c r="V1" s="18"/>
    </row>
    <row r="2">
      <c r="A2" s="4" t="s">
        <v>0</v>
      </c>
      <c r="B2" s="4" t="s">
        <v>16</v>
      </c>
      <c r="C2" s="4" t="s">
        <v>18</v>
      </c>
      <c r="D2" s="6"/>
      <c r="E2" s="23" t="s">
        <v>20</v>
      </c>
      <c r="F2" s="25" t="s">
        <v>21</v>
      </c>
      <c r="G2" s="27" t="s">
        <v>22</v>
      </c>
      <c r="H2" s="6" t="s">
        <v>23</v>
      </c>
      <c r="I2" s="29" t="s">
        <v>24</v>
      </c>
      <c r="J2" s="18"/>
      <c r="K2" s="25" t="s">
        <v>20</v>
      </c>
      <c r="L2" s="25" t="s">
        <v>26</v>
      </c>
      <c r="M2" s="6" t="s">
        <v>27</v>
      </c>
      <c r="N2" s="6">
        <v>14.99</v>
      </c>
      <c r="O2" s="4"/>
      <c r="P2" s="31">
        <v>1.2</v>
      </c>
      <c r="Q2" s="31">
        <v>1.79</v>
      </c>
      <c r="R2" s="6">
        <v>21.73</v>
      </c>
      <c r="S2" s="6">
        <v>124.82</v>
      </c>
      <c r="T2" s="6">
        <v>130.0</v>
      </c>
      <c r="U2" s="6">
        <v>359.2</v>
      </c>
      <c r="V2" s="18"/>
    </row>
    <row r="3">
      <c r="A3" s="4">
        <v>2025.0</v>
      </c>
      <c r="B3" s="6">
        <f>-2047.08-52.7</f>
        <v>-2099.78</v>
      </c>
      <c r="C3" s="6"/>
      <c r="D3" s="6"/>
      <c r="E3" s="23" t="s">
        <v>29</v>
      </c>
      <c r="F3" s="34">
        <f t="shared" ref="F3:F24" si="1">G3+I3+H3</f>
        <v>550.93</v>
      </c>
      <c r="G3" s="27"/>
      <c r="H3" s="6"/>
      <c r="I3" s="29">
        <v>550.93</v>
      </c>
      <c r="J3" s="4"/>
      <c r="K3" s="25" t="s">
        <v>32</v>
      </c>
      <c r="L3" s="27">
        <v>30.3</v>
      </c>
      <c r="M3" s="6" t="s">
        <v>33</v>
      </c>
      <c r="N3" s="18">
        <f>IF($A$1="Sep",49.99,0)</f>
        <v>0</v>
      </c>
      <c r="O3" s="18"/>
      <c r="P3" s="31">
        <v>14.85</v>
      </c>
      <c r="Q3" s="31">
        <v>59.9</v>
      </c>
      <c r="R3" s="6">
        <v>30.3</v>
      </c>
      <c r="S3" s="6">
        <v>246.04</v>
      </c>
      <c r="T3" s="6">
        <v>40.0</v>
      </c>
      <c r="U3" s="6">
        <v>1.69</v>
      </c>
      <c r="V3" s="18"/>
    </row>
    <row r="4">
      <c r="A4" s="6" t="s">
        <v>34</v>
      </c>
      <c r="B4" s="6">
        <v>-133.47</v>
      </c>
      <c r="C4" s="18">
        <f>1360.14+50+19.99+202.5</f>
        <v>1632.63</v>
      </c>
      <c r="D4" s="18"/>
      <c r="E4" s="23" t="s">
        <v>36</v>
      </c>
      <c r="F4" s="34">
        <f t="shared" si="1"/>
        <v>0</v>
      </c>
      <c r="G4" s="27"/>
      <c r="H4" s="27"/>
      <c r="I4" s="29">
        <f>IF(OR($A$1="Jul",$A$1="Aug",$A$1="Sep"),0,IF($A$1="Oct",242,121))</f>
        <v>0</v>
      </c>
      <c r="J4" s="6"/>
      <c r="K4" s="8" t="s">
        <v>40</v>
      </c>
      <c r="L4" s="27">
        <v>246.04</v>
      </c>
      <c r="M4" s="6" t="s">
        <v>41</v>
      </c>
      <c r="N4" s="6">
        <v>10.99</v>
      </c>
      <c r="O4" s="18"/>
      <c r="P4" s="31">
        <v>28.8</v>
      </c>
      <c r="Q4" s="31">
        <v>238.4</v>
      </c>
      <c r="R4" s="6"/>
      <c r="S4" s="6"/>
      <c r="T4" s="6">
        <v>4.65</v>
      </c>
      <c r="U4" s="6">
        <v>40.0</v>
      </c>
      <c r="V4" s="18"/>
    </row>
    <row r="5">
      <c r="A5" s="6" t="s">
        <v>42</v>
      </c>
      <c r="B5" s="6">
        <v>280.2</v>
      </c>
      <c r="C5" s="6"/>
      <c r="D5" s="18"/>
      <c r="E5" s="23" t="s">
        <v>43</v>
      </c>
      <c r="F5" s="34">
        <f t="shared" si="1"/>
        <v>74.22</v>
      </c>
      <c r="G5" s="27"/>
      <c r="H5" s="6"/>
      <c r="I5" s="29">
        <v>74.22</v>
      </c>
      <c r="J5" s="4"/>
      <c r="K5" s="20" t="s">
        <v>44</v>
      </c>
      <c r="L5" s="34">
        <v>124.82</v>
      </c>
      <c r="M5" s="6" t="s">
        <v>45</v>
      </c>
      <c r="N5" s="6">
        <v>7.99</v>
      </c>
      <c r="O5" s="18"/>
      <c r="P5" s="31">
        <v>37.6</v>
      </c>
      <c r="Q5" s="31">
        <v>74.22</v>
      </c>
      <c r="R5" s="6"/>
      <c r="S5" s="6"/>
      <c r="T5" s="6">
        <v>72.12</v>
      </c>
      <c r="U5" s="6"/>
      <c r="V5" s="18"/>
    </row>
    <row r="6">
      <c r="A6" s="4" t="s">
        <v>46</v>
      </c>
      <c r="B6" s="6">
        <v>-573.43</v>
      </c>
      <c r="C6" s="6">
        <v>100.0</v>
      </c>
      <c r="D6" s="18"/>
      <c r="E6" s="23" t="s">
        <v>47</v>
      </c>
      <c r="F6" s="34">
        <f t="shared" si="1"/>
        <v>0</v>
      </c>
      <c r="G6" s="27">
        <f>IF(OR($A$1="May",$A$1="Jun",$A$1="Jul",$A$1="Aug"),0,42.5)</f>
        <v>0</v>
      </c>
      <c r="H6" s="6"/>
      <c r="I6" s="29">
        <v>0.0</v>
      </c>
      <c r="J6" s="6"/>
      <c r="K6" s="20" t="s">
        <v>48</v>
      </c>
      <c r="L6" s="34">
        <f>238.4</f>
        <v>238.4</v>
      </c>
      <c r="M6" s="6" t="s">
        <v>49</v>
      </c>
      <c r="N6" s="6">
        <v>16.99</v>
      </c>
      <c r="O6" s="18"/>
      <c r="P6" s="31">
        <v>62.55</v>
      </c>
      <c r="Q6" s="31">
        <v>16.99</v>
      </c>
      <c r="R6" s="6"/>
      <c r="S6" s="18"/>
      <c r="T6" s="6">
        <v>25.19</v>
      </c>
      <c r="U6" s="6"/>
      <c r="V6" s="18"/>
    </row>
    <row r="7">
      <c r="A7" s="6" t="s">
        <v>50</v>
      </c>
      <c r="B7" s="6">
        <v>-779.65</v>
      </c>
      <c r="C7" s="6">
        <f>50+724.6</f>
        <v>774.6</v>
      </c>
      <c r="D7" s="18"/>
      <c r="E7" s="23" t="s">
        <v>51</v>
      </c>
      <c r="F7" s="34">
        <f t="shared" si="1"/>
        <v>0</v>
      </c>
      <c r="G7" s="27">
        <f>IF(OR($A$1="Jul",$A$1="Aug"),0,30)</f>
        <v>0</v>
      </c>
      <c r="H7" s="6"/>
      <c r="I7" s="29">
        <v>0.0</v>
      </c>
      <c r="J7" s="6"/>
      <c r="K7" s="25" t="s">
        <v>52</v>
      </c>
      <c r="L7" s="25">
        <v>308.96</v>
      </c>
      <c r="M7" s="6" t="s">
        <v>53</v>
      </c>
      <c r="N7" s="6">
        <v>1.79</v>
      </c>
      <c r="O7" s="18"/>
      <c r="P7" s="31">
        <v>44.95</v>
      </c>
      <c r="Q7" s="31">
        <v>20.0</v>
      </c>
      <c r="R7" s="6" t="s">
        <v>54</v>
      </c>
      <c r="S7" s="6" t="s">
        <v>55</v>
      </c>
      <c r="T7" s="6">
        <v>8.25</v>
      </c>
      <c r="U7" s="6"/>
      <c r="V7" s="18"/>
    </row>
    <row r="8">
      <c r="A8" s="6" t="s">
        <v>56</v>
      </c>
      <c r="B8" s="6">
        <v>-125.92</v>
      </c>
      <c r="C8" s="6">
        <v>0.0</v>
      </c>
      <c r="D8" s="18"/>
      <c r="E8" s="23" t="s">
        <v>57</v>
      </c>
      <c r="F8" s="34">
        <f t="shared" si="1"/>
        <v>150</v>
      </c>
      <c r="G8" s="27"/>
      <c r="H8" s="18"/>
      <c r="I8" s="29">
        <f>IF(OR($A$1="Jul",$A$1="Aug",$A$1="Sep"),150,IF(OR($A$1="May",$A$1="Jun",$A$1="Oct",$A$1="Nov"),120,100))</f>
        <v>150</v>
      </c>
      <c r="J8" s="50"/>
      <c r="K8" s="8"/>
      <c r="L8" s="27"/>
      <c r="M8" s="6" t="s">
        <v>59</v>
      </c>
      <c r="N8" s="18">
        <f>IF($A$1="Aug",129.99,0)</f>
        <v>0</v>
      </c>
      <c r="O8" s="18"/>
      <c r="P8" s="31">
        <v>182.58</v>
      </c>
      <c r="Q8" s="31">
        <v>60.0</v>
      </c>
      <c r="R8" s="6">
        <v>0.99</v>
      </c>
      <c r="S8" s="6"/>
      <c r="T8" s="6">
        <v>150.93</v>
      </c>
      <c r="U8" s="6"/>
      <c r="V8" s="18"/>
    </row>
    <row r="9">
      <c r="A9" s="6" t="s">
        <v>61</v>
      </c>
      <c r="B9" s="6">
        <v>-139.27</v>
      </c>
      <c r="C9" s="6">
        <v>150.0</v>
      </c>
      <c r="D9" s="18"/>
      <c r="E9" s="23" t="s">
        <v>62</v>
      </c>
      <c r="F9" s="34">
        <f t="shared" si="1"/>
        <v>0</v>
      </c>
      <c r="G9" s="27"/>
      <c r="H9" s="18"/>
      <c r="I9" s="29">
        <f>IF(OR($A$1="Jun",$A$1="Aug",$A$1="Oct"),90,IF(OR($A$1="Apr",$A$1="Dec"),130,IF($A$1="Feb",200,0)))</f>
        <v>0</v>
      </c>
      <c r="J9" s="50"/>
      <c r="K9" s="57" t="s">
        <v>64</v>
      </c>
      <c r="L9" s="61">
        <f>SUM(L3:L8)</f>
        <v>948.52</v>
      </c>
      <c r="M9" s="63" t="s">
        <v>66</v>
      </c>
      <c r="N9" s="65">
        <f>SUM(N2:N8)</f>
        <v>52.75</v>
      </c>
      <c r="O9" s="18"/>
      <c r="P9" s="31">
        <v>43.95</v>
      </c>
      <c r="Q9" s="31">
        <v>41.35</v>
      </c>
      <c r="R9" s="6">
        <v>6.0</v>
      </c>
      <c r="S9" s="18"/>
      <c r="T9" s="6">
        <v>38.97</v>
      </c>
      <c r="U9" s="6"/>
      <c r="V9" s="18"/>
    </row>
    <row r="10">
      <c r="A10" s="6" t="s">
        <v>68</v>
      </c>
      <c r="B10" s="6">
        <v>-308.8</v>
      </c>
      <c r="C10" s="6">
        <v>-0.43</v>
      </c>
      <c r="D10" s="18"/>
      <c r="E10" s="68" t="s">
        <v>70</v>
      </c>
      <c r="F10" s="34">
        <f t="shared" si="1"/>
        <v>109</v>
      </c>
      <c r="G10" s="34"/>
      <c r="H10" s="18"/>
      <c r="I10" s="70">
        <f>99+10</f>
        <v>109</v>
      </c>
      <c r="J10" s="72"/>
      <c r="K10" s="8" t="s">
        <v>29</v>
      </c>
      <c r="L10" s="75">
        <f>F3</f>
        <v>550.93</v>
      </c>
      <c r="O10" s="18"/>
      <c r="P10" s="31">
        <v>11.5</v>
      </c>
      <c r="Q10" s="31">
        <v>422.69</v>
      </c>
      <c r="R10" s="6"/>
      <c r="S10" s="18"/>
      <c r="T10" s="6">
        <v>1.45</v>
      </c>
      <c r="U10" s="6"/>
      <c r="V10" s="18"/>
    </row>
    <row r="11">
      <c r="A11" s="6" t="s">
        <v>2</v>
      </c>
      <c r="B11" s="18"/>
      <c r="C11" s="18"/>
      <c r="D11" s="6"/>
      <c r="E11" s="23" t="s">
        <v>72</v>
      </c>
      <c r="F11" s="34">
        <f t="shared" si="1"/>
        <v>948.52</v>
      </c>
      <c r="G11" s="27">
        <f>L3</f>
        <v>30.3</v>
      </c>
      <c r="H11" s="18">
        <f>L4+L5</f>
        <v>370.86</v>
      </c>
      <c r="I11" s="29">
        <f>SUM(L6:L8)</f>
        <v>547.36</v>
      </c>
      <c r="J11" s="25"/>
      <c r="K11" s="57" t="s">
        <v>66</v>
      </c>
      <c r="L11" s="61">
        <f>L9+L10</f>
        <v>1499.45</v>
      </c>
      <c r="O11" s="18"/>
      <c r="P11" s="31">
        <v>11.59</v>
      </c>
      <c r="Q11" s="31">
        <v>879.24</v>
      </c>
      <c r="R11" s="6"/>
      <c r="S11" s="18"/>
      <c r="T11" s="6">
        <v>48.88</v>
      </c>
      <c r="U11" s="6"/>
      <c r="V11" s="18"/>
    </row>
    <row r="12">
      <c r="A12" s="6" t="s">
        <v>3</v>
      </c>
      <c r="B12" s="18"/>
      <c r="C12" s="18"/>
      <c r="D12" s="18"/>
      <c r="E12" s="68" t="s">
        <v>73</v>
      </c>
      <c r="F12" s="34">
        <f t="shared" si="1"/>
        <v>50</v>
      </c>
      <c r="G12" s="27"/>
      <c r="H12" s="18"/>
      <c r="I12" s="70">
        <f>IF(OR($A$1="Jan",$A$1="Mar",$A$1="May",$A$1="Jul",$A$1="Sep",$A$1="Nov",),50,0)</f>
        <v>50</v>
      </c>
      <c r="J12" s="72"/>
      <c r="K12" s="79"/>
      <c r="L12" s="80"/>
      <c r="O12" s="18"/>
      <c r="P12" s="31">
        <v>34.65</v>
      </c>
      <c r="Q12" s="31">
        <v>308.96</v>
      </c>
      <c r="R12" s="18"/>
      <c r="S12" s="18"/>
      <c r="T12" s="6">
        <v>12.3</v>
      </c>
      <c r="U12" s="6"/>
      <c r="V12" s="18"/>
    </row>
    <row r="13">
      <c r="A13" s="6" t="s">
        <v>74</v>
      </c>
      <c r="B13" s="6"/>
      <c r="C13" s="18"/>
      <c r="D13" s="18"/>
      <c r="E13" s="68" t="s">
        <v>10</v>
      </c>
      <c r="F13" s="34">
        <f t="shared" si="1"/>
        <v>52.75</v>
      </c>
      <c r="G13" s="27"/>
      <c r="H13" s="6"/>
      <c r="I13" s="70">
        <f>SUM(N2:N8)</f>
        <v>52.75</v>
      </c>
      <c r="J13" s="25"/>
      <c r="O13" s="18"/>
      <c r="P13" s="31">
        <v>10.95</v>
      </c>
      <c r="Q13" s="31">
        <v>99.0</v>
      </c>
      <c r="R13" s="18"/>
      <c r="S13" s="18"/>
      <c r="T13" s="6">
        <v>2.45</v>
      </c>
      <c r="U13" s="6"/>
      <c r="V13" s="18"/>
    </row>
    <row r="14">
      <c r="A14" s="4" t="s">
        <v>76</v>
      </c>
      <c r="B14" s="18"/>
      <c r="C14" s="18"/>
      <c r="D14" s="6"/>
      <c r="E14" s="82" t="s">
        <v>78</v>
      </c>
      <c r="F14" s="34">
        <f t="shared" si="1"/>
        <v>60</v>
      </c>
      <c r="G14" s="18"/>
      <c r="H14" s="18"/>
      <c r="I14" s="83">
        <v>60.0</v>
      </c>
      <c r="J14" s="25"/>
      <c r="K14" s="8" t="s">
        <v>79</v>
      </c>
      <c r="M14" s="8"/>
      <c r="N14" s="8"/>
      <c r="O14" s="18"/>
      <c r="P14" s="31">
        <v>3.2</v>
      </c>
      <c r="Q14" s="31">
        <v>14.99</v>
      </c>
      <c r="R14" s="18"/>
      <c r="S14" s="18"/>
      <c r="T14" s="6">
        <v>130.41</v>
      </c>
      <c r="U14" s="18"/>
      <c r="V14" s="18"/>
    </row>
    <row r="15">
      <c r="A15" s="6" t="s">
        <v>80</v>
      </c>
      <c r="B15" s="18"/>
      <c r="C15" s="18"/>
      <c r="D15" s="18"/>
      <c r="E15" s="23" t="s">
        <v>81</v>
      </c>
      <c r="F15" s="34">
        <f t="shared" si="1"/>
        <v>0</v>
      </c>
      <c r="G15" s="27"/>
      <c r="H15" s="6"/>
      <c r="I15" s="29">
        <f>L20+L19</f>
        <v>0</v>
      </c>
      <c r="J15" s="4"/>
      <c r="K15" s="8" t="s">
        <v>82</v>
      </c>
      <c r="L15" s="18">
        <f>IF(OR($A$1="Feb",$A$1="May",$A$1="Aug",$A$1="Nov"),98.1,0)</f>
        <v>0</v>
      </c>
      <c r="M15" s="8"/>
      <c r="N15" s="8"/>
      <c r="O15" s="18"/>
      <c r="P15" s="31">
        <v>173.87</v>
      </c>
      <c r="Q15" s="31">
        <v>7.99</v>
      </c>
      <c r="R15" s="18"/>
      <c r="S15" s="18"/>
      <c r="T15" s="6">
        <v>18.8</v>
      </c>
      <c r="U15" s="18"/>
      <c r="V15" s="18"/>
    </row>
    <row r="16">
      <c r="A16" s="6" t="s">
        <v>66</v>
      </c>
      <c r="B16" s="6">
        <f>SUM(B3:B15)+C16</f>
        <v>-1223.32</v>
      </c>
      <c r="C16" s="6">
        <f>SUM(C3:C15)</f>
        <v>2656.8</v>
      </c>
      <c r="D16" s="6"/>
      <c r="E16" s="68" t="s">
        <v>84</v>
      </c>
      <c r="F16" s="34">
        <f t="shared" si="1"/>
        <v>59.9</v>
      </c>
      <c r="G16" s="27"/>
      <c r="H16" s="6"/>
      <c r="I16" s="70">
        <f>IF($A$1="Feb",60.97,59.9)</f>
        <v>59.9</v>
      </c>
      <c r="J16" s="4"/>
      <c r="K16" s="8" t="s">
        <v>67</v>
      </c>
      <c r="L16" s="18">
        <f>IF(OR($A$1="Feb",$A$1="May",$A$1="Aug",$A$1="Nov"),(39.15+329.22/4),0)</f>
        <v>0</v>
      </c>
      <c r="M16" s="8"/>
      <c r="N16" s="8"/>
      <c r="O16" s="18"/>
      <c r="P16" s="31">
        <v>117.62</v>
      </c>
      <c r="Q16" s="31">
        <v>137.12</v>
      </c>
      <c r="R16" s="18"/>
      <c r="S16" s="18"/>
      <c r="T16" s="18"/>
      <c r="U16" s="18"/>
      <c r="V16" s="18"/>
    </row>
    <row r="17">
      <c r="A17" s="18"/>
      <c r="B17" s="88"/>
      <c r="C17" s="88"/>
      <c r="D17" s="6"/>
      <c r="E17" s="82" t="s">
        <v>82</v>
      </c>
      <c r="F17" s="34">
        <f t="shared" si="1"/>
        <v>0</v>
      </c>
      <c r="G17" s="75"/>
      <c r="H17" s="6"/>
      <c r="I17" s="29">
        <f t="shared" ref="I17:I20" si="2">L15</f>
        <v>0</v>
      </c>
      <c r="J17" s="25"/>
      <c r="K17" s="8" t="s">
        <v>89</v>
      </c>
      <c r="L17" s="6">
        <f>IF($A$1="May",155.05,0)</f>
        <v>0</v>
      </c>
      <c r="M17" s="8"/>
      <c r="N17" s="93"/>
      <c r="O17" s="18"/>
      <c r="P17" s="31">
        <v>9.2</v>
      </c>
      <c r="Q17" s="31">
        <v>10.99</v>
      </c>
      <c r="R17" s="18"/>
      <c r="S17" s="18"/>
      <c r="T17" s="18"/>
      <c r="U17" s="18"/>
      <c r="V17" s="18"/>
    </row>
    <row r="18">
      <c r="A18" s="18"/>
      <c r="B18" s="18"/>
      <c r="C18" s="18"/>
      <c r="D18" s="6"/>
      <c r="E18" s="82" t="s">
        <v>67</v>
      </c>
      <c r="F18" s="34">
        <f t="shared" si="1"/>
        <v>0</v>
      </c>
      <c r="G18" s="6"/>
      <c r="H18" s="27"/>
      <c r="I18" s="29">
        <f t="shared" si="2"/>
        <v>0</v>
      </c>
      <c r="J18" s="4"/>
      <c r="K18" s="8" t="s">
        <v>91</v>
      </c>
      <c r="L18" s="6">
        <f>IF($A$1="Jul",80,0)</f>
        <v>80</v>
      </c>
      <c r="M18" s="8"/>
      <c r="N18" s="93"/>
      <c r="O18" s="18"/>
      <c r="P18" s="31">
        <v>27.0</v>
      </c>
      <c r="Q18" s="31">
        <v>10.0</v>
      </c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82" t="s">
        <v>89</v>
      </c>
      <c r="F19" s="34">
        <f t="shared" si="1"/>
        <v>0</v>
      </c>
      <c r="G19" s="6"/>
      <c r="H19" s="18"/>
      <c r="I19" s="94">
        <f t="shared" si="2"/>
        <v>0</v>
      </c>
      <c r="J19" s="25"/>
      <c r="K19" s="8" t="s">
        <v>92</v>
      </c>
      <c r="L19" s="6">
        <f>IF($A$1="Sep",449.58,0)</f>
        <v>0</v>
      </c>
      <c r="M19" s="8"/>
      <c r="N19" s="8"/>
      <c r="O19" s="18"/>
      <c r="P19" s="31">
        <v>21.97</v>
      </c>
      <c r="Q19" s="31">
        <v>63.0</v>
      </c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82" t="s">
        <v>94</v>
      </c>
      <c r="F20" s="34">
        <f t="shared" si="1"/>
        <v>80</v>
      </c>
      <c r="G20" s="75"/>
      <c r="H20" s="75"/>
      <c r="I20" s="29">
        <f t="shared" si="2"/>
        <v>80</v>
      </c>
      <c r="J20" s="4"/>
      <c r="K20" s="8" t="s">
        <v>95</v>
      </c>
      <c r="L20" s="6">
        <f>IF($A$1="Jan",126.66,IF(OR($A$1="Feb",$A$1="Apr"),121.82,0))</f>
        <v>0</v>
      </c>
      <c r="O20" s="18"/>
      <c r="P20" s="95">
        <v>-18.98</v>
      </c>
      <c r="Q20" s="31">
        <v>550.93</v>
      </c>
      <c r="R20" s="18"/>
      <c r="S20" s="18"/>
      <c r="T20" s="18"/>
      <c r="U20" s="18"/>
      <c r="V20" s="18"/>
    </row>
    <row r="21">
      <c r="A21" s="4"/>
      <c r="B21" s="18"/>
      <c r="C21" s="6"/>
      <c r="D21" s="18"/>
      <c r="E21" s="82" t="s">
        <v>96</v>
      </c>
      <c r="F21" s="34">
        <f t="shared" si="1"/>
        <v>1181.9</v>
      </c>
      <c r="G21" s="27"/>
      <c r="H21" s="27"/>
      <c r="I21" s="83">
        <f>IF($A$1="Jul",879.21+382.69-80,0)</f>
        <v>1181.9</v>
      </c>
      <c r="J21" s="88"/>
      <c r="K21" s="88"/>
      <c r="L21" s="88"/>
      <c r="M21" s="88"/>
      <c r="N21" s="88"/>
      <c r="O21" s="18"/>
      <c r="P21" s="31">
        <v>4.39</v>
      </c>
      <c r="Q21" s="6">
        <v>51.57</v>
      </c>
      <c r="R21" s="18"/>
      <c r="S21" s="18"/>
      <c r="T21" s="18"/>
      <c r="U21" s="18"/>
      <c r="V21" s="18"/>
    </row>
    <row r="22">
      <c r="A22" s="18"/>
      <c r="B22" s="6"/>
      <c r="C22" s="6"/>
      <c r="D22" s="18"/>
      <c r="E22" s="82" t="s">
        <v>99</v>
      </c>
      <c r="F22" s="34">
        <f t="shared" si="1"/>
        <v>21.73</v>
      </c>
      <c r="G22" s="6">
        <v>21.73</v>
      </c>
      <c r="H22" s="6"/>
      <c r="I22" s="83">
        <f>IF($A$1="Jun",330,0)</f>
        <v>0</v>
      </c>
      <c r="J22" s="50"/>
      <c r="K22" s="88"/>
      <c r="L22" s="88"/>
      <c r="M22" s="88"/>
      <c r="N22" s="88"/>
      <c r="O22" s="18"/>
      <c r="P22" s="31">
        <v>21.0</v>
      </c>
      <c r="Q22" s="6"/>
      <c r="R22" s="18"/>
      <c r="S22" s="18"/>
      <c r="T22" s="18"/>
      <c r="U22" s="18"/>
      <c r="V22" s="18"/>
    </row>
    <row r="23">
      <c r="A23" s="18"/>
      <c r="B23" s="6"/>
      <c r="C23" s="6"/>
      <c r="D23" s="18"/>
      <c r="E23" s="82" t="s">
        <v>100</v>
      </c>
      <c r="F23" s="34">
        <f t="shared" si="1"/>
        <v>0</v>
      </c>
      <c r="G23" s="6"/>
      <c r="H23" s="6"/>
      <c r="I23" s="83">
        <v>0.0</v>
      </c>
      <c r="J23" s="50"/>
      <c r="K23" s="88"/>
      <c r="L23" s="88"/>
      <c r="M23" s="88"/>
      <c r="N23" s="88"/>
      <c r="O23" s="18"/>
      <c r="P23" s="31">
        <v>1.79</v>
      </c>
      <c r="Q23" s="6"/>
      <c r="R23" s="18"/>
      <c r="S23" s="18"/>
      <c r="T23" s="18"/>
      <c r="U23" s="18"/>
      <c r="V23" s="18"/>
    </row>
    <row r="24">
      <c r="A24" s="18"/>
      <c r="B24" s="6"/>
      <c r="C24" s="18"/>
      <c r="D24" s="18"/>
      <c r="E24" s="102" t="s">
        <v>101</v>
      </c>
      <c r="F24" s="103">
        <f t="shared" si="1"/>
        <v>100</v>
      </c>
      <c r="G24" s="104"/>
      <c r="H24" s="104"/>
      <c r="I24" s="106">
        <f>IF(OR($A$1="Jan",$A$1="Mar",$A$1="May",$A$1="Jul",$A$1="Sep",$A$1="Nov"),100,IF(OR($A$1="Apr",$A$1="Jun",$A$1="Aug",$A$1="Oct",$A$1="Dec"),200,IF(OR($A$1="Feb"),300,0)))</f>
        <v>100</v>
      </c>
      <c r="J24" s="4"/>
      <c r="K24" s="8" t="s">
        <v>103</v>
      </c>
      <c r="L24" s="88"/>
      <c r="M24" s="88"/>
      <c r="N24" s="88"/>
      <c r="O24" s="88"/>
      <c r="P24" s="31">
        <v>10.89</v>
      </c>
      <c r="Q24" s="6"/>
      <c r="R24" s="18"/>
      <c r="S24" s="18"/>
      <c r="T24" s="18"/>
      <c r="U24" s="18"/>
      <c r="V24" s="18"/>
    </row>
    <row r="25">
      <c r="A25" s="107"/>
      <c r="B25" s="6"/>
      <c r="C25" s="18"/>
      <c r="D25" s="18"/>
      <c r="E25" s="108" t="s">
        <v>104</v>
      </c>
      <c r="F25" s="111">
        <f t="shared" ref="F25:I25" si="3">SUM(F3:F24)</f>
        <v>3438.95</v>
      </c>
      <c r="G25" s="111">
        <f t="shared" si="3"/>
        <v>52.03</v>
      </c>
      <c r="H25" s="111">
        <f t="shared" si="3"/>
        <v>370.86</v>
      </c>
      <c r="I25" s="114">
        <f t="shared" si="3"/>
        <v>3016.06</v>
      </c>
      <c r="J25" s="4"/>
      <c r="K25" s="115"/>
      <c r="L25" s="116"/>
      <c r="M25" s="115"/>
      <c r="N25" s="117"/>
      <c r="O25" s="88"/>
      <c r="P25" s="31">
        <v>0.75</v>
      </c>
      <c r="Q25" s="6"/>
      <c r="R25" s="18"/>
      <c r="S25" s="18"/>
      <c r="T25" s="18"/>
      <c r="U25" s="18"/>
      <c r="V25" s="18"/>
    </row>
    <row r="26">
      <c r="A26" s="107"/>
      <c r="B26" s="18"/>
      <c r="C26" s="18"/>
      <c r="D26" s="18"/>
      <c r="E26" s="119" t="s">
        <v>11</v>
      </c>
      <c r="F26" s="120">
        <f>G26+I26+H26</f>
        <v>1617.82</v>
      </c>
      <c r="G26" s="121">
        <v>0.4</v>
      </c>
      <c r="H26" s="121">
        <v>0.21</v>
      </c>
      <c r="I26" s="122">
        <v>1617.21</v>
      </c>
      <c r="J26" s="18"/>
      <c r="K26" s="18"/>
      <c r="L26" s="18"/>
      <c r="M26" s="88"/>
      <c r="N26" s="88"/>
      <c r="O26" s="88"/>
      <c r="P26" s="31">
        <v>6.5</v>
      </c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23" t="s">
        <v>66</v>
      </c>
      <c r="F27" s="124">
        <f t="shared" ref="F27:I27" si="4">SUM(F25:F26)</f>
        <v>5056.77</v>
      </c>
      <c r="G27" s="124">
        <f t="shared" si="4"/>
        <v>52.43</v>
      </c>
      <c r="H27" s="124">
        <f t="shared" si="4"/>
        <v>371.07</v>
      </c>
      <c r="I27" s="125">
        <f t="shared" si="4"/>
        <v>4633.27</v>
      </c>
      <c r="J27" s="88"/>
      <c r="K27" s="88"/>
      <c r="L27" s="18"/>
      <c r="M27" s="88"/>
      <c r="N27" s="88"/>
      <c r="O27" s="88"/>
      <c r="P27" s="31">
        <v>58.34</v>
      </c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08" t="s">
        <v>106</v>
      </c>
      <c r="F28" s="111">
        <f t="shared" ref="F28:F29" si="6">G28+H28+I28</f>
        <v>3492.02</v>
      </c>
      <c r="G28" s="111">
        <f t="shared" ref="G28:H28" si="5">SUM(R2:R6)</f>
        <v>52.03</v>
      </c>
      <c r="H28" s="111">
        <f t="shared" si="5"/>
        <v>370.86</v>
      </c>
      <c r="I28" s="114">
        <f>SUM(Q2:Q31)</f>
        <v>3069.13</v>
      </c>
      <c r="J28" s="88"/>
      <c r="K28" s="4"/>
      <c r="L28" s="18"/>
      <c r="M28" s="4"/>
      <c r="N28" s="4"/>
      <c r="O28" s="4"/>
      <c r="P28" s="31">
        <v>114.24</v>
      </c>
      <c r="Q28" s="18"/>
      <c r="R28" s="18"/>
      <c r="S28" s="18"/>
      <c r="T28" s="18"/>
      <c r="U28" s="18"/>
      <c r="V28" s="18"/>
    </row>
    <row r="29">
      <c r="A29" s="88"/>
      <c r="B29" s="18"/>
      <c r="C29" s="18"/>
      <c r="D29" s="18"/>
      <c r="E29" s="126" t="s">
        <v>107</v>
      </c>
      <c r="F29" s="127">
        <f t="shared" si="6"/>
        <v>1873.55</v>
      </c>
      <c r="G29" s="129">
        <f t="shared" ref="G29:H29" si="7">SUM(R8:R20)</f>
        <v>6.99</v>
      </c>
      <c r="H29" s="129">
        <f t="shared" si="7"/>
        <v>0</v>
      </c>
      <c r="I29" s="130">
        <f>SUM(P2:P100)</f>
        <v>1866.56</v>
      </c>
      <c r="J29" s="88"/>
      <c r="K29" s="4"/>
      <c r="L29" s="18"/>
      <c r="M29" s="4"/>
      <c r="N29" s="4"/>
      <c r="O29" s="4"/>
      <c r="P29" s="31">
        <v>35.05</v>
      </c>
      <c r="Q29" s="18"/>
      <c r="R29" s="18"/>
      <c r="S29" s="18"/>
      <c r="T29" s="18"/>
      <c r="U29" s="18"/>
      <c r="V29" s="18"/>
    </row>
    <row r="30">
      <c r="A30" s="88"/>
      <c r="B30" s="6"/>
      <c r="C30" s="18"/>
      <c r="D30" s="18"/>
      <c r="E30" s="132" t="s">
        <v>108</v>
      </c>
      <c r="F30" s="133">
        <f t="shared" ref="F30:I30" si="8">SUM(F28:F29)</f>
        <v>5365.57</v>
      </c>
      <c r="G30" s="133">
        <f t="shared" si="8"/>
        <v>59.02</v>
      </c>
      <c r="H30" s="133">
        <f t="shared" si="8"/>
        <v>370.86</v>
      </c>
      <c r="I30" s="134">
        <f t="shared" si="8"/>
        <v>4935.69</v>
      </c>
      <c r="J30" s="88"/>
      <c r="K30" s="4"/>
      <c r="L30" s="6"/>
      <c r="M30" s="4"/>
      <c r="N30" s="4"/>
      <c r="O30" s="4"/>
      <c r="P30" s="31">
        <v>33.8</v>
      </c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6"/>
      <c r="E31" s="108" t="s">
        <v>109</v>
      </c>
      <c r="F31" s="111">
        <f t="shared" ref="F31:F32" si="10">G31+H31+I31</f>
        <v>-53.07</v>
      </c>
      <c r="G31" s="111">
        <f t="shared" ref="G31:I31" si="9">G25-G28</f>
        <v>0</v>
      </c>
      <c r="H31" s="111">
        <f t="shared" si="9"/>
        <v>0</v>
      </c>
      <c r="I31" s="114">
        <f t="shared" si="9"/>
        <v>-53.07</v>
      </c>
      <c r="J31" s="88"/>
      <c r="K31" s="4"/>
      <c r="L31" s="6"/>
      <c r="M31" s="4"/>
      <c r="N31" s="113"/>
      <c r="O31" s="113"/>
      <c r="P31" s="31">
        <v>19.85</v>
      </c>
      <c r="Q31" s="18"/>
      <c r="R31" s="18"/>
      <c r="S31" s="18"/>
      <c r="T31" s="18"/>
      <c r="U31" s="18"/>
      <c r="V31" s="18"/>
    </row>
    <row r="32">
      <c r="A32" s="18"/>
      <c r="B32" s="135"/>
      <c r="C32" s="135"/>
      <c r="D32" s="88"/>
      <c r="E32" s="126" t="s">
        <v>110</v>
      </c>
      <c r="F32" s="127">
        <f t="shared" si="10"/>
        <v>-255.73</v>
      </c>
      <c r="G32" s="129">
        <f t="shared" ref="G32:I32" si="11">G26-G29</f>
        <v>-6.59</v>
      </c>
      <c r="H32" s="129">
        <f t="shared" si="11"/>
        <v>0.21</v>
      </c>
      <c r="I32" s="130">
        <f t="shared" si="11"/>
        <v>-249.35</v>
      </c>
      <c r="J32" s="88"/>
      <c r="K32" s="4"/>
      <c r="L32" s="6"/>
      <c r="M32" s="4"/>
      <c r="N32" s="113"/>
      <c r="O32" s="113"/>
      <c r="P32" s="31">
        <v>8.85</v>
      </c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88"/>
      <c r="E33" s="132" t="s">
        <v>66</v>
      </c>
      <c r="F33" s="133">
        <f t="shared" ref="F33:I33" si="12">SUM(F31:F32)</f>
        <v>-308.8</v>
      </c>
      <c r="G33" s="133">
        <f t="shared" si="12"/>
        <v>-6.59</v>
      </c>
      <c r="H33" s="133">
        <f t="shared" si="12"/>
        <v>0.21</v>
      </c>
      <c r="I33" s="134">
        <f t="shared" si="12"/>
        <v>-302.42</v>
      </c>
      <c r="J33" s="88"/>
      <c r="K33" s="4"/>
      <c r="L33" s="6"/>
      <c r="M33" s="4"/>
      <c r="N33" s="4"/>
      <c r="O33" s="4"/>
      <c r="P33" s="31">
        <v>5.75</v>
      </c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4" t="s">
        <v>111</v>
      </c>
      <c r="F34" s="18">
        <f>G34+I34+H34</f>
        <v>4142.25</v>
      </c>
      <c r="G34" s="6">
        <v>30.93</v>
      </c>
      <c r="H34" s="6">
        <v>134.11</v>
      </c>
      <c r="I34" s="6">
        <v>3977.21</v>
      </c>
      <c r="J34" s="88"/>
      <c r="K34" s="88"/>
      <c r="L34" s="18"/>
      <c r="M34" s="88"/>
      <c r="N34" s="88"/>
      <c r="O34" s="18"/>
      <c r="P34" s="31">
        <v>131.44</v>
      </c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4" t="s">
        <v>112</v>
      </c>
      <c r="F35" s="18">
        <f t="shared" ref="F35:I35" si="13">F34-F27</f>
        <v>-914.52</v>
      </c>
      <c r="G35" s="6">
        <f t="shared" si="13"/>
        <v>-21.5</v>
      </c>
      <c r="H35" s="6">
        <f t="shared" si="13"/>
        <v>-236.96</v>
      </c>
      <c r="I35" s="6">
        <f t="shared" si="13"/>
        <v>-656.06</v>
      </c>
      <c r="J35" s="88"/>
      <c r="K35" s="88"/>
      <c r="L35" s="18"/>
      <c r="M35" s="6"/>
      <c r="N35" s="18"/>
      <c r="O35" s="18"/>
      <c r="P35" s="31">
        <v>170.0</v>
      </c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4" t="s">
        <v>113</v>
      </c>
      <c r="F36" s="18">
        <f t="shared" ref="F36:I36" si="14">F34-F30</f>
        <v>-1223.32</v>
      </c>
      <c r="G36" s="18">
        <f t="shared" si="14"/>
        <v>-28.09</v>
      </c>
      <c r="H36" s="18">
        <f t="shared" si="14"/>
        <v>-236.75</v>
      </c>
      <c r="I36" s="18">
        <f t="shared" si="14"/>
        <v>-958.48</v>
      </c>
      <c r="J36" s="88"/>
      <c r="K36" s="88"/>
      <c r="L36" s="18"/>
      <c r="M36" s="18"/>
      <c r="N36" s="18"/>
      <c r="O36" s="18"/>
      <c r="P36" s="31">
        <v>15.98</v>
      </c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88"/>
      <c r="F37" s="88"/>
      <c r="G37" s="88"/>
      <c r="H37" s="50"/>
      <c r="I37" s="88"/>
      <c r="J37" s="88"/>
      <c r="K37" s="88"/>
      <c r="L37" s="18"/>
      <c r="M37" s="18"/>
      <c r="N37" s="18"/>
      <c r="O37" s="18"/>
      <c r="P37" s="31">
        <v>59.99</v>
      </c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88"/>
      <c r="F38" s="88"/>
      <c r="G38" s="88"/>
      <c r="H38" s="6"/>
      <c r="I38" s="88"/>
      <c r="J38" s="18"/>
      <c r="K38" s="18"/>
      <c r="L38" s="18"/>
      <c r="M38" s="18"/>
      <c r="N38" s="18"/>
      <c r="O38" s="18"/>
      <c r="P38" s="31">
        <v>4.0</v>
      </c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88"/>
      <c r="F39" s="88"/>
      <c r="G39" s="88"/>
      <c r="H39" s="18"/>
      <c r="I39" s="88"/>
      <c r="J39" s="18"/>
      <c r="K39" s="18"/>
      <c r="L39" s="18"/>
      <c r="M39" s="18"/>
      <c r="N39" s="18"/>
      <c r="O39" s="18"/>
      <c r="P39" s="31">
        <v>60.65</v>
      </c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88"/>
      <c r="F40" s="88"/>
      <c r="G40" s="88"/>
      <c r="H40" s="18"/>
      <c r="I40" s="88"/>
      <c r="J40" s="18"/>
      <c r="K40" s="18"/>
      <c r="L40" s="18"/>
      <c r="M40" s="18"/>
      <c r="N40" s="18"/>
      <c r="O40" s="18"/>
      <c r="P40" s="31">
        <v>34.33</v>
      </c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88"/>
      <c r="F41" s="88"/>
      <c r="G41" s="88"/>
      <c r="H41" s="18"/>
      <c r="I41" s="88"/>
      <c r="J41" s="18"/>
      <c r="K41" s="18"/>
      <c r="L41" s="18"/>
      <c r="M41" s="18"/>
      <c r="N41" s="18"/>
      <c r="O41" s="18"/>
      <c r="P41" s="31">
        <v>59.18</v>
      </c>
      <c r="Q41" s="50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37"/>
      <c r="F42" s="137"/>
      <c r="G42" s="18"/>
      <c r="H42" s="18"/>
      <c r="I42" s="18"/>
      <c r="J42" s="18"/>
      <c r="K42" s="18"/>
      <c r="L42" s="18"/>
      <c r="M42" s="18"/>
      <c r="N42" s="18"/>
      <c r="O42" s="18"/>
      <c r="P42" s="31">
        <v>4.29</v>
      </c>
      <c r="Q42" s="50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37"/>
      <c r="F43" s="137"/>
      <c r="G43" s="18"/>
      <c r="H43" s="18"/>
      <c r="I43" s="18"/>
      <c r="J43" s="18"/>
      <c r="K43" s="18"/>
      <c r="L43" s="18"/>
      <c r="M43" s="18"/>
      <c r="N43" s="18"/>
      <c r="O43" s="18"/>
      <c r="P43" s="31">
        <v>10.74</v>
      </c>
      <c r="Q43" s="50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37"/>
      <c r="F44" s="137"/>
      <c r="G44" s="18"/>
      <c r="H44" s="18"/>
      <c r="I44" s="18"/>
      <c r="J44" s="18"/>
      <c r="K44" s="18"/>
      <c r="L44" s="18"/>
      <c r="M44" s="18"/>
      <c r="N44" s="18"/>
      <c r="O44" s="18"/>
      <c r="P44" s="31">
        <v>32.99</v>
      </c>
      <c r="Q44" s="50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37"/>
      <c r="F45" s="137"/>
      <c r="G45" s="18"/>
      <c r="H45" s="18"/>
      <c r="I45" s="18"/>
      <c r="J45" s="18"/>
      <c r="K45" s="18"/>
      <c r="L45" s="18"/>
      <c r="M45" s="18"/>
      <c r="N45" s="18"/>
      <c r="O45" s="18"/>
      <c r="P45" s="31">
        <v>16.6</v>
      </c>
      <c r="Q45" s="50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37"/>
      <c r="F46" s="137"/>
      <c r="G46" s="18"/>
      <c r="H46" s="18"/>
      <c r="I46" s="18"/>
      <c r="J46" s="18"/>
      <c r="K46" s="18"/>
      <c r="L46" s="18"/>
      <c r="M46" s="18"/>
      <c r="N46" s="18"/>
      <c r="O46" s="18"/>
      <c r="P46" s="31">
        <v>36.33</v>
      </c>
      <c r="Q46" s="50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37"/>
      <c r="F47" s="137"/>
      <c r="G47" s="18"/>
      <c r="H47" s="18"/>
      <c r="I47" s="18"/>
      <c r="J47" s="18"/>
      <c r="K47" s="18"/>
      <c r="L47" s="18"/>
      <c r="M47" s="18"/>
      <c r="N47" s="18"/>
      <c r="O47" s="18"/>
      <c r="P47" s="31">
        <v>9.5</v>
      </c>
      <c r="Q47" s="50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37"/>
      <c r="F48" s="137"/>
      <c r="G48" s="18"/>
      <c r="H48" s="18"/>
      <c r="I48" s="18"/>
      <c r="J48" s="18"/>
      <c r="K48" s="18"/>
      <c r="L48" s="18"/>
      <c r="M48" s="18"/>
      <c r="N48" s="18"/>
      <c r="O48" s="18"/>
      <c r="P48" s="31">
        <v>39.48</v>
      </c>
      <c r="Q48" s="50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37"/>
      <c r="F49" s="137"/>
      <c r="G49" s="18"/>
      <c r="H49" s="18"/>
      <c r="I49" s="18"/>
      <c r="J49" s="18"/>
      <c r="K49" s="18"/>
      <c r="L49" s="18"/>
      <c r="M49" s="18"/>
      <c r="N49" s="18"/>
      <c r="O49" s="18"/>
      <c r="P49" s="31">
        <v>18.19</v>
      </c>
      <c r="Q49" s="50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37"/>
      <c r="F50" s="137"/>
      <c r="G50" s="18"/>
      <c r="H50" s="18"/>
      <c r="I50" s="18"/>
      <c r="J50" s="18"/>
      <c r="K50" s="18"/>
      <c r="L50" s="18"/>
      <c r="M50" s="18"/>
      <c r="N50" s="18"/>
      <c r="O50" s="18"/>
      <c r="P50" s="31">
        <v>22.62</v>
      </c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37"/>
      <c r="F51" s="137"/>
      <c r="G51" s="18"/>
      <c r="H51" s="18"/>
      <c r="I51" s="18"/>
      <c r="J51" s="18"/>
      <c r="K51" s="18"/>
      <c r="L51" s="18"/>
      <c r="M51" s="18"/>
      <c r="N51" s="18"/>
      <c r="O51" s="18"/>
      <c r="P51" s="31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37"/>
      <c r="F52" s="137"/>
      <c r="G52" s="18"/>
      <c r="H52" s="18"/>
      <c r="I52" s="18"/>
      <c r="J52" s="18"/>
      <c r="K52" s="18"/>
      <c r="L52" s="18"/>
      <c r="M52" s="18"/>
      <c r="N52" s="18"/>
      <c r="O52" s="18"/>
      <c r="P52" s="31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37"/>
      <c r="F53" s="137"/>
      <c r="G53" s="18"/>
      <c r="H53" s="18"/>
      <c r="I53" s="18"/>
      <c r="J53" s="18"/>
      <c r="K53" s="18"/>
      <c r="L53" s="18"/>
      <c r="M53" s="18"/>
      <c r="N53" s="18"/>
      <c r="O53" s="18"/>
      <c r="P53" s="31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37"/>
      <c r="F54" s="137"/>
      <c r="G54" s="18"/>
      <c r="H54" s="18"/>
      <c r="I54" s="18"/>
      <c r="J54" s="18"/>
      <c r="K54" s="18"/>
      <c r="L54" s="18"/>
      <c r="M54" s="18"/>
      <c r="N54" s="18"/>
      <c r="O54" s="18"/>
      <c r="P54" s="31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37"/>
      <c r="F55" s="137"/>
      <c r="G55" s="18"/>
      <c r="H55" s="18"/>
      <c r="I55" s="18"/>
      <c r="J55" s="18"/>
      <c r="K55" s="18"/>
      <c r="L55" s="18"/>
      <c r="M55" s="18"/>
      <c r="N55" s="18"/>
      <c r="O55" s="18"/>
      <c r="P55" s="31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37"/>
      <c r="F56" s="137"/>
      <c r="G56" s="18"/>
      <c r="H56" s="18"/>
      <c r="I56" s="18"/>
      <c r="J56" s="18"/>
      <c r="K56" s="18"/>
      <c r="L56" s="18"/>
      <c r="M56" s="18"/>
      <c r="N56" s="18"/>
      <c r="O56" s="18"/>
      <c r="P56" s="31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37"/>
      <c r="F57" s="137"/>
      <c r="G57" s="18"/>
      <c r="H57" s="18"/>
      <c r="I57" s="18"/>
      <c r="J57" s="18"/>
      <c r="K57" s="18"/>
      <c r="L57" s="18"/>
      <c r="M57" s="18"/>
      <c r="N57" s="18"/>
      <c r="O57" s="18"/>
      <c r="P57" s="31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37"/>
      <c r="F58" s="137"/>
      <c r="G58" s="18"/>
      <c r="H58" s="18"/>
      <c r="I58" s="18"/>
      <c r="J58" s="18"/>
      <c r="K58" s="18"/>
      <c r="L58" s="18"/>
      <c r="M58" s="18"/>
      <c r="N58" s="18"/>
      <c r="O58" s="18"/>
      <c r="P58" s="31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37"/>
      <c r="F59" s="137"/>
      <c r="G59" s="18"/>
      <c r="H59" s="18"/>
      <c r="I59" s="18"/>
      <c r="J59" s="18"/>
      <c r="K59" s="18"/>
      <c r="L59" s="18"/>
      <c r="M59" s="18"/>
      <c r="N59" s="18"/>
      <c r="O59" s="18"/>
      <c r="P59" s="31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37"/>
      <c r="F60" s="137"/>
      <c r="G60" s="18"/>
      <c r="H60" s="18"/>
      <c r="I60" s="18"/>
      <c r="J60" s="18"/>
      <c r="K60" s="18"/>
      <c r="L60" s="18"/>
      <c r="M60" s="18"/>
      <c r="N60" s="18"/>
      <c r="O60" s="18"/>
      <c r="P60" s="31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37"/>
      <c r="F61" s="137"/>
      <c r="G61" s="18"/>
      <c r="H61" s="18"/>
      <c r="I61" s="18"/>
      <c r="J61" s="18"/>
      <c r="K61" s="18"/>
      <c r="L61" s="18"/>
      <c r="M61" s="18"/>
      <c r="N61" s="18"/>
      <c r="O61" s="18"/>
      <c r="P61" s="31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37"/>
      <c r="F62" s="137"/>
      <c r="G62" s="18"/>
      <c r="H62" s="18"/>
      <c r="I62" s="18"/>
      <c r="J62" s="18"/>
      <c r="K62" s="18"/>
      <c r="L62" s="18"/>
      <c r="M62" s="18"/>
      <c r="N62" s="18"/>
      <c r="O62" s="18"/>
      <c r="P62" s="31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37"/>
      <c r="F63" s="137"/>
      <c r="G63" s="18"/>
      <c r="H63" s="18"/>
      <c r="I63" s="18"/>
      <c r="J63" s="18"/>
      <c r="K63" s="18"/>
      <c r="L63" s="18"/>
      <c r="M63" s="18"/>
      <c r="N63" s="18"/>
      <c r="O63" s="18"/>
      <c r="P63" s="31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37"/>
      <c r="F64" s="137"/>
      <c r="G64" s="18"/>
      <c r="H64" s="18"/>
      <c r="I64" s="18"/>
      <c r="J64" s="18"/>
      <c r="K64" s="18"/>
      <c r="L64" s="18"/>
      <c r="M64" s="18"/>
      <c r="N64" s="18"/>
      <c r="O64" s="18"/>
      <c r="P64" s="31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37"/>
      <c r="F65" s="137"/>
      <c r="G65" s="18"/>
      <c r="H65" s="18"/>
      <c r="I65" s="18"/>
      <c r="J65" s="18"/>
      <c r="K65" s="18"/>
      <c r="L65" s="18"/>
      <c r="M65" s="18"/>
      <c r="N65" s="18"/>
      <c r="O65" s="18"/>
      <c r="P65" s="31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37"/>
      <c r="F66" s="137"/>
      <c r="G66" s="18"/>
      <c r="H66" s="18"/>
      <c r="I66" s="18"/>
      <c r="J66" s="18"/>
      <c r="K66" s="18"/>
      <c r="L66" s="18"/>
      <c r="M66" s="18"/>
      <c r="N66" s="18"/>
      <c r="O66" s="18"/>
      <c r="P66" s="31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37"/>
      <c r="F67" s="137"/>
      <c r="G67" s="18"/>
      <c r="H67" s="18"/>
      <c r="I67" s="18"/>
      <c r="J67" s="18"/>
      <c r="K67" s="18"/>
      <c r="L67" s="18"/>
      <c r="M67" s="18"/>
      <c r="N67" s="18"/>
      <c r="O67" s="18"/>
      <c r="P67" s="31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37"/>
      <c r="F68" s="137"/>
      <c r="G68" s="18"/>
      <c r="H68" s="18"/>
      <c r="I68" s="18"/>
      <c r="J68" s="18"/>
      <c r="K68" s="18"/>
      <c r="L68" s="18"/>
      <c r="M68" s="18"/>
      <c r="N68" s="18"/>
      <c r="O68" s="18"/>
      <c r="P68" s="31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37"/>
      <c r="F69" s="137"/>
      <c r="G69" s="18"/>
      <c r="H69" s="18"/>
      <c r="I69" s="18"/>
      <c r="J69" s="18"/>
      <c r="K69" s="18"/>
      <c r="L69" s="18"/>
      <c r="M69" s="18"/>
      <c r="N69" s="18"/>
      <c r="O69" s="18"/>
      <c r="P69" s="31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37"/>
      <c r="F70" s="137"/>
      <c r="G70" s="18"/>
      <c r="H70" s="18"/>
      <c r="I70" s="18"/>
      <c r="J70" s="18"/>
      <c r="K70" s="18"/>
      <c r="L70" s="18"/>
      <c r="M70" s="18"/>
      <c r="N70" s="18"/>
      <c r="O70" s="18"/>
      <c r="P70" s="31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37"/>
      <c r="F71" s="13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37"/>
      <c r="F72" s="13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37"/>
      <c r="F73" s="13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37"/>
      <c r="F74" s="13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37"/>
      <c r="F75" s="13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37"/>
      <c r="F76" s="13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37"/>
      <c r="F77" s="13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37"/>
      <c r="F78" s="13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37"/>
      <c r="F79" s="13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37"/>
      <c r="F80" s="13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37"/>
      <c r="F81" s="13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37"/>
      <c r="F82" s="13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37"/>
      <c r="F83" s="13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37"/>
      <c r="F84" s="13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37"/>
      <c r="F85" s="13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37"/>
      <c r="F86" s="13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37"/>
      <c r="F87" s="13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37"/>
      <c r="F88" s="13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37"/>
      <c r="F89" s="13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37"/>
      <c r="F90" s="13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37"/>
      <c r="F91" s="13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37"/>
      <c r="F92" s="13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37"/>
      <c r="F93" s="13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37"/>
      <c r="F94" s="13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37"/>
      <c r="F95" s="13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37"/>
      <c r="F96" s="13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37"/>
      <c r="F97" s="13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37"/>
      <c r="F98" s="13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37"/>
      <c r="F99" s="13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37"/>
      <c r="F100" s="13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37"/>
      <c r="F101" s="13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37"/>
      <c r="F102" s="13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37"/>
      <c r="F103" s="13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37"/>
      <c r="F104" s="13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37"/>
      <c r="F105" s="13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37"/>
      <c r="F106" s="13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37"/>
      <c r="F107" s="13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37"/>
      <c r="F108" s="13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37"/>
      <c r="F109" s="13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37"/>
      <c r="F110" s="13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37"/>
      <c r="F111" s="13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37"/>
      <c r="F112" s="13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37"/>
      <c r="F113" s="13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37"/>
      <c r="F114" s="13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37"/>
      <c r="F115" s="13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37"/>
      <c r="F116" s="13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37"/>
      <c r="F117" s="13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37"/>
      <c r="F118" s="13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37"/>
      <c r="F119" s="13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37"/>
      <c r="F120" s="13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37"/>
      <c r="F121" s="13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37"/>
      <c r="F122" s="13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37"/>
      <c r="F123" s="13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37"/>
      <c r="F124" s="13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37"/>
      <c r="F125" s="13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37"/>
      <c r="F126" s="13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37"/>
      <c r="F127" s="13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37"/>
      <c r="F128" s="13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37"/>
      <c r="F129" s="13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37"/>
      <c r="F130" s="13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37"/>
      <c r="F131" s="13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37"/>
      <c r="F132" s="13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37"/>
      <c r="F133" s="13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37"/>
      <c r="F134" s="13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37"/>
      <c r="F135" s="13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37"/>
      <c r="F136" s="13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37"/>
      <c r="F137" s="13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37"/>
      <c r="F138" s="13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37"/>
      <c r="F139" s="13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37"/>
      <c r="F140" s="13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37"/>
      <c r="F141" s="13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37"/>
      <c r="F142" s="13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37"/>
      <c r="F143" s="13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37"/>
      <c r="F144" s="13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37"/>
      <c r="F145" s="13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37"/>
      <c r="F146" s="13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37"/>
      <c r="F147" s="13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37"/>
      <c r="F148" s="13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37"/>
      <c r="F149" s="13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37"/>
      <c r="F150" s="13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37"/>
      <c r="F151" s="13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37"/>
      <c r="F152" s="13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37"/>
      <c r="F153" s="13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37"/>
      <c r="F154" s="13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37"/>
      <c r="F155" s="13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37"/>
      <c r="F156" s="13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37"/>
      <c r="F157" s="13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37"/>
      <c r="F158" s="13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37"/>
      <c r="F159" s="13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37"/>
      <c r="F160" s="13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37"/>
      <c r="F161" s="13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37"/>
      <c r="F162" s="13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37"/>
      <c r="F163" s="13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37"/>
      <c r="F164" s="13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37"/>
      <c r="F165" s="13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37"/>
      <c r="F166" s="13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37"/>
      <c r="F167" s="13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37"/>
      <c r="F168" s="13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37"/>
      <c r="F169" s="13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37"/>
      <c r="F170" s="13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37"/>
      <c r="F171" s="13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37"/>
      <c r="F172" s="13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37"/>
      <c r="F173" s="13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37"/>
      <c r="F174" s="13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37"/>
      <c r="F175" s="13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37"/>
      <c r="F176" s="13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37"/>
      <c r="F177" s="13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37"/>
      <c r="F178" s="13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37"/>
      <c r="F179" s="13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37"/>
      <c r="F180" s="13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37"/>
      <c r="F181" s="13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37"/>
      <c r="F182" s="13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37"/>
      <c r="F183" s="13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37"/>
      <c r="F184" s="13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37"/>
      <c r="F185" s="13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37"/>
      <c r="F186" s="13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37"/>
      <c r="F187" s="13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37"/>
      <c r="F188" s="13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37"/>
      <c r="F189" s="13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37"/>
      <c r="F190" s="13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37"/>
      <c r="F191" s="13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37"/>
      <c r="F192" s="13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37"/>
      <c r="F193" s="13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37"/>
      <c r="F194" s="13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37"/>
      <c r="F195" s="13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37"/>
      <c r="F196" s="13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37"/>
      <c r="F197" s="13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37"/>
      <c r="F198" s="13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37"/>
      <c r="F199" s="13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37"/>
      <c r="F200" s="13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37"/>
      <c r="F201" s="13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37"/>
      <c r="F202" s="13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37"/>
      <c r="F203" s="13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37"/>
      <c r="F204" s="13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37"/>
      <c r="F205" s="13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37"/>
      <c r="F206" s="13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37"/>
      <c r="F207" s="13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37"/>
      <c r="F208" s="13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37"/>
      <c r="F209" s="13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37"/>
      <c r="F210" s="13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37"/>
      <c r="F211" s="13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37"/>
      <c r="F212" s="13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37"/>
      <c r="F213" s="13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37"/>
      <c r="F214" s="13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37"/>
      <c r="F215" s="13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37"/>
      <c r="F216" s="13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37"/>
      <c r="F217" s="13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37"/>
      <c r="F218" s="13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37"/>
      <c r="F219" s="13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37"/>
      <c r="F220" s="13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37"/>
      <c r="F221" s="13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37"/>
      <c r="F222" s="13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37"/>
      <c r="F223" s="13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37"/>
      <c r="F224" s="13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37"/>
      <c r="F225" s="13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37"/>
      <c r="F226" s="13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37"/>
      <c r="F227" s="13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37"/>
      <c r="F228" s="13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37"/>
      <c r="F229" s="13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37"/>
      <c r="F230" s="13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37"/>
      <c r="F231" s="13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37"/>
      <c r="F232" s="13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37"/>
      <c r="F233" s="13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37"/>
      <c r="F234" s="13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37"/>
      <c r="F235" s="13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37"/>
      <c r="F236" s="13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37"/>
      <c r="F237" s="13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37"/>
      <c r="F238" s="13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37"/>
      <c r="F239" s="13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37"/>
      <c r="F240" s="13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37"/>
      <c r="F241" s="13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37"/>
      <c r="F242" s="13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37"/>
      <c r="F243" s="13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37"/>
      <c r="F244" s="13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37"/>
      <c r="F245" s="13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37"/>
      <c r="F246" s="13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37"/>
      <c r="F247" s="13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37"/>
      <c r="F248" s="13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37"/>
      <c r="F249" s="13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37"/>
      <c r="F250" s="13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37"/>
      <c r="F251" s="13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37"/>
      <c r="F252" s="13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37"/>
      <c r="F253" s="13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37"/>
      <c r="F254" s="13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37"/>
      <c r="F255" s="13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37"/>
      <c r="F256" s="13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37"/>
      <c r="F257" s="13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37"/>
      <c r="F258" s="13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37"/>
      <c r="F259" s="13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37"/>
      <c r="F260" s="13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37"/>
      <c r="F261" s="13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37"/>
      <c r="F262" s="13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37"/>
      <c r="F263" s="13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37"/>
      <c r="F264" s="13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37"/>
      <c r="F265" s="13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37"/>
      <c r="F266" s="13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37"/>
      <c r="F267" s="13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37"/>
      <c r="F268" s="13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37"/>
      <c r="F269" s="13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37"/>
      <c r="F270" s="13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37"/>
      <c r="F271" s="13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37"/>
      <c r="F272" s="13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37"/>
      <c r="F273" s="13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37"/>
      <c r="F274" s="13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37"/>
      <c r="F275" s="13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37"/>
      <c r="F276" s="13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37"/>
      <c r="F277" s="13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37"/>
      <c r="F278" s="13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37"/>
      <c r="F279" s="13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37"/>
      <c r="F280" s="13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37"/>
      <c r="F281" s="13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37"/>
      <c r="F282" s="13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37"/>
      <c r="F283" s="13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37"/>
      <c r="F284" s="13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37"/>
      <c r="F285" s="13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37"/>
      <c r="F286" s="13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37"/>
      <c r="F287" s="13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37"/>
      <c r="F288" s="13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37"/>
      <c r="F289" s="13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37"/>
      <c r="F290" s="13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37"/>
      <c r="F291" s="13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37"/>
      <c r="F292" s="13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37"/>
      <c r="F293" s="13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37"/>
      <c r="F294" s="13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37"/>
      <c r="F295" s="13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37"/>
      <c r="F296" s="13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37"/>
      <c r="F297" s="13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37"/>
      <c r="F298" s="13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37"/>
      <c r="F299" s="13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37"/>
      <c r="F300" s="13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37"/>
      <c r="F301" s="13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37"/>
      <c r="F302" s="13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37"/>
      <c r="F303" s="13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37"/>
      <c r="F304" s="13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37"/>
      <c r="F305" s="13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37"/>
      <c r="F306" s="13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37"/>
      <c r="F307" s="13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37"/>
      <c r="F308" s="13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37"/>
      <c r="F309" s="13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37"/>
      <c r="F310" s="13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37"/>
      <c r="F311" s="13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37"/>
      <c r="F312" s="13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37"/>
      <c r="F313" s="13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37"/>
      <c r="F314" s="13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37"/>
      <c r="F315" s="13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37"/>
      <c r="F316" s="13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37"/>
      <c r="F317" s="13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37"/>
      <c r="F318" s="13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37"/>
      <c r="F319" s="13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37"/>
      <c r="F320" s="13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37"/>
      <c r="F321" s="13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37"/>
      <c r="F322" s="13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37"/>
      <c r="F323" s="13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37"/>
      <c r="F324" s="13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37"/>
      <c r="F325" s="13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37"/>
      <c r="F326" s="13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37"/>
      <c r="F327" s="13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37"/>
      <c r="F328" s="13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37"/>
      <c r="F329" s="13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37"/>
      <c r="F330" s="13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37"/>
      <c r="F331" s="13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37"/>
      <c r="F332" s="13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37"/>
      <c r="F333" s="13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37"/>
      <c r="F334" s="13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37"/>
      <c r="F335" s="13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37"/>
      <c r="F336" s="13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37"/>
      <c r="F337" s="13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37"/>
      <c r="F338" s="13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37"/>
      <c r="F339" s="13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37"/>
      <c r="F340" s="13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37"/>
      <c r="F341" s="13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37"/>
      <c r="F342" s="13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37"/>
      <c r="F343" s="13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37"/>
      <c r="F344" s="13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37"/>
      <c r="F345" s="13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37"/>
      <c r="F346" s="13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37"/>
      <c r="F347" s="13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37"/>
      <c r="F348" s="13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37"/>
      <c r="F349" s="13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37"/>
      <c r="F350" s="13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37"/>
      <c r="F351" s="13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37"/>
      <c r="F352" s="13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37"/>
      <c r="F353" s="13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37"/>
      <c r="F354" s="13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37"/>
      <c r="F355" s="13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37"/>
      <c r="F356" s="13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37"/>
      <c r="F357" s="13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37"/>
      <c r="F358" s="13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37"/>
      <c r="F359" s="13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37"/>
      <c r="F360" s="13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37"/>
      <c r="F361" s="13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37"/>
      <c r="F362" s="13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37"/>
      <c r="F363" s="13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37"/>
      <c r="F364" s="13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37"/>
      <c r="F365" s="13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37"/>
      <c r="F366" s="13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37"/>
      <c r="F367" s="13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37"/>
      <c r="F368" s="13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37"/>
      <c r="F369" s="13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37"/>
      <c r="F370" s="13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37"/>
      <c r="F371" s="13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37"/>
      <c r="F372" s="13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37"/>
      <c r="F373" s="13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37"/>
      <c r="F374" s="13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37"/>
      <c r="F375" s="13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37"/>
      <c r="F376" s="13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37"/>
      <c r="F377" s="13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37"/>
      <c r="F378" s="13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37"/>
      <c r="F379" s="13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37"/>
      <c r="F380" s="13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37"/>
      <c r="F381" s="13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37"/>
      <c r="F382" s="13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37"/>
      <c r="F383" s="13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37"/>
      <c r="F384" s="13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37"/>
      <c r="F385" s="13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37"/>
      <c r="F386" s="13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37"/>
      <c r="F387" s="13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37"/>
      <c r="F388" s="13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37"/>
      <c r="F389" s="13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37"/>
      <c r="F390" s="13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37"/>
      <c r="F391" s="13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37"/>
      <c r="F392" s="13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37"/>
      <c r="F393" s="13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37"/>
      <c r="F394" s="13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37"/>
      <c r="F395" s="13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37"/>
      <c r="F396" s="13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37"/>
      <c r="F397" s="13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37"/>
      <c r="F398" s="13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37"/>
      <c r="F399" s="13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37"/>
      <c r="F400" s="13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37"/>
      <c r="F401" s="13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37"/>
      <c r="F402" s="13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37"/>
      <c r="F403" s="13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37"/>
      <c r="F404" s="13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37"/>
      <c r="F405" s="13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37"/>
      <c r="F406" s="13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37"/>
      <c r="F407" s="13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37"/>
      <c r="F408" s="13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37"/>
      <c r="F409" s="13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37"/>
      <c r="F410" s="13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37"/>
      <c r="F411" s="13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37"/>
      <c r="F412" s="13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37"/>
      <c r="F413" s="13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37"/>
      <c r="F414" s="13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37"/>
      <c r="F415" s="13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37"/>
      <c r="F416" s="13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37"/>
      <c r="F417" s="13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37"/>
      <c r="F418" s="13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37"/>
      <c r="F419" s="13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37"/>
      <c r="F420" s="13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37"/>
      <c r="F421" s="13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37"/>
      <c r="F422" s="13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37"/>
      <c r="F423" s="13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37"/>
      <c r="F424" s="13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37"/>
      <c r="F425" s="13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37"/>
      <c r="F426" s="13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37"/>
      <c r="F427" s="13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37"/>
      <c r="F428" s="13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37"/>
      <c r="F429" s="13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37"/>
      <c r="F430" s="13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37"/>
      <c r="F431" s="13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37"/>
      <c r="F432" s="13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37"/>
      <c r="F433" s="13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37"/>
      <c r="F434" s="13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37"/>
      <c r="F435" s="13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37"/>
      <c r="F436" s="13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37"/>
      <c r="F437" s="13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37"/>
      <c r="F438" s="13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37"/>
      <c r="F439" s="13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37"/>
      <c r="F440" s="13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37"/>
      <c r="F441" s="13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37"/>
      <c r="F442" s="13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37"/>
      <c r="F443" s="13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37"/>
      <c r="F444" s="13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37"/>
      <c r="F445" s="13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37"/>
      <c r="F446" s="13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37"/>
      <c r="F447" s="13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37"/>
      <c r="F448" s="13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37"/>
      <c r="F449" s="13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37"/>
      <c r="F450" s="13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37"/>
      <c r="F451" s="13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37"/>
      <c r="F452" s="13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37"/>
      <c r="F453" s="13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37"/>
      <c r="F454" s="13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37"/>
      <c r="F455" s="13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37"/>
      <c r="F456" s="13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37"/>
      <c r="F457" s="13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37"/>
      <c r="F458" s="13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37"/>
      <c r="F459" s="13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37"/>
      <c r="F460" s="13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37"/>
      <c r="F461" s="13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37"/>
      <c r="F462" s="13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37"/>
      <c r="F463" s="13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37"/>
      <c r="F464" s="13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37"/>
      <c r="F465" s="13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37"/>
      <c r="F466" s="13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37"/>
      <c r="F467" s="13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37"/>
      <c r="F468" s="13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37"/>
      <c r="F469" s="13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37"/>
      <c r="F470" s="13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37"/>
      <c r="F471" s="13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37"/>
      <c r="F472" s="13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37"/>
      <c r="F473" s="13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37"/>
      <c r="F474" s="13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37"/>
      <c r="F475" s="13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37"/>
      <c r="F476" s="13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37"/>
      <c r="F477" s="13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37"/>
      <c r="F478" s="13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37"/>
      <c r="F479" s="13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37"/>
      <c r="F480" s="13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37"/>
      <c r="F481" s="13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37"/>
      <c r="F482" s="13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37"/>
      <c r="F483" s="13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37"/>
      <c r="F484" s="13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37"/>
      <c r="F485" s="13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37"/>
      <c r="F486" s="13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37"/>
      <c r="F487" s="13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37"/>
      <c r="F488" s="13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37"/>
      <c r="F489" s="13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37"/>
      <c r="F490" s="13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37"/>
      <c r="F491" s="13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37"/>
      <c r="F492" s="13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37"/>
      <c r="F493" s="13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37"/>
      <c r="F494" s="13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37"/>
      <c r="F495" s="13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37"/>
      <c r="F496" s="13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37"/>
      <c r="F497" s="13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37"/>
      <c r="F498" s="13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37"/>
      <c r="F499" s="13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37"/>
      <c r="F500" s="13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37"/>
      <c r="F501" s="13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37"/>
      <c r="F502" s="13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37"/>
      <c r="F503" s="13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37"/>
      <c r="F504" s="13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37"/>
      <c r="F505" s="13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37"/>
      <c r="F506" s="13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37"/>
      <c r="F507" s="13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37"/>
      <c r="F508" s="13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37"/>
      <c r="F509" s="13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37"/>
      <c r="F510" s="13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37"/>
      <c r="F511" s="13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37"/>
      <c r="F512" s="13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37"/>
      <c r="F513" s="13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37"/>
      <c r="F514" s="13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37"/>
      <c r="F515" s="13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37"/>
      <c r="F516" s="13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37"/>
      <c r="F517" s="13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37"/>
      <c r="F518" s="13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37"/>
      <c r="F519" s="13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37"/>
      <c r="F520" s="13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37"/>
      <c r="F521" s="13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37"/>
      <c r="F522" s="13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37"/>
      <c r="F523" s="13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37"/>
      <c r="F524" s="13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37"/>
      <c r="F525" s="13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37"/>
      <c r="F526" s="13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37"/>
      <c r="F527" s="13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37"/>
      <c r="F528" s="13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37"/>
      <c r="F529" s="13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37"/>
      <c r="F530" s="13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37"/>
      <c r="F531" s="13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37"/>
      <c r="F532" s="13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37"/>
      <c r="F533" s="13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37"/>
      <c r="F534" s="13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37"/>
      <c r="F535" s="13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37"/>
      <c r="F536" s="13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37"/>
      <c r="F537" s="13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37"/>
      <c r="F538" s="13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37"/>
      <c r="F539" s="13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37"/>
      <c r="F540" s="13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37"/>
      <c r="F541" s="13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37"/>
      <c r="F542" s="13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37"/>
      <c r="F543" s="13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37"/>
      <c r="F544" s="13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37"/>
      <c r="F545" s="13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37"/>
      <c r="F546" s="13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37"/>
      <c r="F547" s="13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37"/>
      <c r="F548" s="13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37"/>
      <c r="F549" s="13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37"/>
      <c r="F550" s="13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37"/>
      <c r="F551" s="13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37"/>
      <c r="F552" s="13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37"/>
      <c r="F553" s="13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37"/>
      <c r="F554" s="13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37"/>
      <c r="F555" s="13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37"/>
      <c r="F556" s="13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37"/>
      <c r="F557" s="13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37"/>
      <c r="F558" s="13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37"/>
      <c r="F559" s="13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37"/>
      <c r="F560" s="13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37"/>
      <c r="F561" s="13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37"/>
      <c r="F562" s="13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37"/>
      <c r="F563" s="13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37"/>
      <c r="F564" s="13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37"/>
      <c r="F565" s="13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37"/>
      <c r="F566" s="13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37"/>
      <c r="F567" s="13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37"/>
      <c r="F568" s="13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37"/>
      <c r="F569" s="13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37"/>
      <c r="F570" s="13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37"/>
      <c r="F571" s="13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37"/>
      <c r="F572" s="13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37"/>
      <c r="F573" s="13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37"/>
      <c r="F574" s="13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37"/>
      <c r="F575" s="13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37"/>
      <c r="F576" s="13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37"/>
      <c r="F577" s="13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37"/>
      <c r="F578" s="13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37"/>
      <c r="F579" s="13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37"/>
      <c r="F580" s="13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37"/>
      <c r="F581" s="13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37"/>
      <c r="F582" s="13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37"/>
      <c r="F583" s="13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37"/>
      <c r="F584" s="13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37"/>
      <c r="F585" s="13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37"/>
      <c r="F586" s="13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37"/>
      <c r="F587" s="13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37"/>
      <c r="F588" s="13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37"/>
      <c r="F589" s="13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37"/>
      <c r="F590" s="13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37"/>
      <c r="F591" s="13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37"/>
      <c r="F592" s="13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37"/>
      <c r="F593" s="13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37"/>
      <c r="F594" s="13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37"/>
      <c r="F595" s="13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37"/>
      <c r="F596" s="13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37"/>
      <c r="F597" s="13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37"/>
      <c r="F598" s="13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37"/>
      <c r="F599" s="13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37"/>
      <c r="F600" s="13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37"/>
      <c r="F601" s="13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37"/>
      <c r="F602" s="13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37"/>
      <c r="F603" s="13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37"/>
      <c r="F604" s="13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37"/>
      <c r="F605" s="13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37"/>
      <c r="F606" s="13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37"/>
      <c r="F607" s="13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37"/>
      <c r="F608" s="13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37"/>
      <c r="F609" s="13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37"/>
      <c r="F610" s="13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37"/>
      <c r="F611" s="13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37"/>
      <c r="F612" s="13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37"/>
      <c r="F613" s="13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37"/>
      <c r="F614" s="13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37"/>
      <c r="F615" s="13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37"/>
      <c r="F616" s="13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37"/>
      <c r="F617" s="13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37"/>
      <c r="F618" s="13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37"/>
      <c r="F619" s="13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37"/>
      <c r="F620" s="13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37"/>
      <c r="F621" s="13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37"/>
      <c r="F622" s="13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37"/>
      <c r="F623" s="13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37"/>
      <c r="F624" s="13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37"/>
      <c r="F625" s="13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37"/>
      <c r="F626" s="13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37"/>
      <c r="F627" s="13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37"/>
      <c r="F628" s="13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37"/>
      <c r="F629" s="13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37"/>
      <c r="F630" s="13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37"/>
      <c r="F631" s="13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37"/>
      <c r="F632" s="13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37"/>
      <c r="F633" s="13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37"/>
      <c r="F634" s="13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37"/>
      <c r="F635" s="13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37"/>
      <c r="F636" s="13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37"/>
      <c r="F637" s="13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37"/>
      <c r="F638" s="13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37"/>
      <c r="F639" s="13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37"/>
      <c r="F640" s="13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37"/>
      <c r="F641" s="13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37"/>
      <c r="F642" s="13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37"/>
      <c r="F643" s="13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37"/>
      <c r="F644" s="13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37"/>
      <c r="F645" s="13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37"/>
      <c r="F646" s="13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37"/>
      <c r="F647" s="13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37"/>
      <c r="F648" s="13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37"/>
      <c r="F649" s="13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37"/>
      <c r="F650" s="13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37"/>
      <c r="F651" s="13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37"/>
      <c r="F652" s="13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37"/>
      <c r="F653" s="13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37"/>
      <c r="F654" s="13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37"/>
      <c r="F655" s="13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37"/>
      <c r="F656" s="13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37"/>
      <c r="F657" s="13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37"/>
      <c r="F658" s="13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37"/>
      <c r="F659" s="13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37"/>
      <c r="F660" s="13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37"/>
      <c r="F661" s="13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37"/>
      <c r="F662" s="13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37"/>
      <c r="F663" s="13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37"/>
      <c r="F664" s="13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37"/>
      <c r="F665" s="13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37"/>
      <c r="F666" s="13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37"/>
      <c r="F667" s="13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37"/>
      <c r="F668" s="13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37"/>
      <c r="F669" s="13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37"/>
      <c r="F670" s="13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37"/>
      <c r="F671" s="13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37"/>
      <c r="F672" s="13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37"/>
      <c r="F673" s="13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37"/>
      <c r="F674" s="13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37"/>
      <c r="F675" s="13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37"/>
      <c r="F676" s="13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37"/>
      <c r="F677" s="13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37"/>
      <c r="F678" s="13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37"/>
      <c r="F679" s="13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37"/>
      <c r="F680" s="13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37"/>
      <c r="F681" s="13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37"/>
      <c r="F682" s="13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37"/>
      <c r="F683" s="13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37"/>
      <c r="F684" s="13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37"/>
      <c r="F685" s="13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37"/>
      <c r="F686" s="13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37"/>
      <c r="F687" s="13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37"/>
      <c r="F688" s="13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37"/>
      <c r="F689" s="13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37"/>
      <c r="F690" s="13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37"/>
      <c r="F691" s="13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37"/>
      <c r="F692" s="13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37"/>
      <c r="F693" s="13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37"/>
      <c r="F694" s="13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37"/>
      <c r="F695" s="13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37"/>
      <c r="F696" s="13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37"/>
      <c r="F697" s="13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37"/>
      <c r="F698" s="13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37"/>
      <c r="F699" s="13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37"/>
      <c r="F700" s="13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37"/>
      <c r="F701" s="13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37"/>
      <c r="F702" s="13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37"/>
      <c r="F703" s="13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37"/>
      <c r="F704" s="13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37"/>
      <c r="F705" s="13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37"/>
      <c r="F706" s="13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37"/>
      <c r="F707" s="13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37"/>
      <c r="F708" s="13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37"/>
      <c r="F709" s="13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37"/>
      <c r="F710" s="13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37"/>
      <c r="F711" s="13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37"/>
      <c r="F712" s="13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37"/>
      <c r="F713" s="13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37"/>
      <c r="F714" s="13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37"/>
      <c r="F715" s="13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37"/>
      <c r="F716" s="13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37"/>
      <c r="F717" s="13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37"/>
      <c r="F718" s="13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37"/>
      <c r="F719" s="13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37"/>
      <c r="F720" s="13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37"/>
      <c r="F721" s="13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37"/>
      <c r="F722" s="13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37"/>
      <c r="F723" s="13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37"/>
      <c r="F724" s="13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37"/>
      <c r="F725" s="13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37"/>
      <c r="F726" s="13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37"/>
      <c r="F727" s="13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37"/>
      <c r="F728" s="13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37"/>
      <c r="F729" s="13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37"/>
      <c r="F730" s="13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37"/>
      <c r="F731" s="13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37"/>
      <c r="F732" s="13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37"/>
      <c r="F733" s="13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37"/>
      <c r="F734" s="13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37"/>
      <c r="F735" s="13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37"/>
      <c r="F736" s="13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37"/>
      <c r="F737" s="13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37"/>
      <c r="F738" s="13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37"/>
      <c r="F739" s="13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37"/>
      <c r="F740" s="13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37"/>
      <c r="F741" s="13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37"/>
      <c r="F742" s="13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37"/>
      <c r="F743" s="13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37"/>
      <c r="F744" s="13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37"/>
      <c r="F745" s="13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37"/>
      <c r="F746" s="13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37"/>
      <c r="F747" s="13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37"/>
      <c r="F748" s="13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37"/>
      <c r="F749" s="13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37"/>
      <c r="F750" s="13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37"/>
      <c r="F751" s="13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37"/>
      <c r="F752" s="13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37"/>
      <c r="F753" s="13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37"/>
      <c r="F754" s="13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37"/>
      <c r="F755" s="13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37"/>
      <c r="F756" s="13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37"/>
      <c r="F757" s="13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37"/>
      <c r="F758" s="13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37"/>
      <c r="F759" s="13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37"/>
      <c r="F760" s="13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37"/>
      <c r="F761" s="13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37"/>
      <c r="F762" s="13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37"/>
      <c r="F763" s="13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37"/>
      <c r="F764" s="13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37"/>
      <c r="F765" s="13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37"/>
      <c r="F766" s="13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37"/>
      <c r="F767" s="13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37"/>
      <c r="F768" s="13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37"/>
      <c r="F769" s="13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37"/>
      <c r="F770" s="13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37"/>
      <c r="F771" s="13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37"/>
      <c r="F772" s="13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37"/>
      <c r="F773" s="13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37"/>
      <c r="F774" s="13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37"/>
      <c r="F775" s="13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37"/>
      <c r="F776" s="13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37"/>
      <c r="F777" s="13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37"/>
      <c r="F778" s="13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37"/>
      <c r="F779" s="13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37"/>
      <c r="F780" s="13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37"/>
      <c r="F781" s="13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37"/>
      <c r="F782" s="13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37"/>
      <c r="F783" s="13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37"/>
      <c r="F784" s="13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37"/>
      <c r="F785" s="13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37"/>
      <c r="F786" s="13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37"/>
      <c r="F787" s="13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37"/>
      <c r="F788" s="13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37"/>
      <c r="F789" s="13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37"/>
      <c r="F790" s="13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37"/>
      <c r="F791" s="13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37"/>
      <c r="F792" s="13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37"/>
      <c r="F793" s="13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37"/>
      <c r="F794" s="13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37"/>
      <c r="F795" s="13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37"/>
      <c r="F796" s="13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37"/>
      <c r="F797" s="13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37"/>
      <c r="F798" s="13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37"/>
      <c r="F799" s="13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37"/>
      <c r="F800" s="13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37"/>
      <c r="F801" s="13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37"/>
      <c r="F802" s="13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37"/>
      <c r="F803" s="13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37"/>
      <c r="F804" s="13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37"/>
      <c r="F805" s="13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37"/>
      <c r="F806" s="13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37"/>
      <c r="F807" s="13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37"/>
      <c r="F808" s="13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37"/>
      <c r="F809" s="13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37"/>
      <c r="F810" s="13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37"/>
      <c r="F811" s="13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37"/>
      <c r="F812" s="13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37"/>
      <c r="F813" s="13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37"/>
      <c r="F814" s="13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37"/>
      <c r="F815" s="13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37"/>
      <c r="F816" s="13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37"/>
      <c r="F817" s="13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37"/>
      <c r="F818" s="13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37"/>
      <c r="F819" s="13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37"/>
      <c r="F820" s="13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37"/>
      <c r="F821" s="13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37"/>
      <c r="F822" s="13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37"/>
      <c r="F823" s="13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37"/>
      <c r="F824" s="13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37"/>
      <c r="F825" s="13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37"/>
      <c r="F826" s="13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37"/>
      <c r="F827" s="13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37"/>
      <c r="F828" s="13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37"/>
      <c r="F829" s="13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37"/>
      <c r="F830" s="13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37"/>
      <c r="F831" s="13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37"/>
      <c r="F832" s="13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37"/>
      <c r="F833" s="13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37"/>
      <c r="F834" s="13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37"/>
      <c r="F835" s="13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37"/>
      <c r="F836" s="13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37"/>
      <c r="F837" s="13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37"/>
      <c r="F838" s="13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37"/>
      <c r="F839" s="13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37"/>
      <c r="F840" s="13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37"/>
      <c r="F841" s="13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37"/>
      <c r="F842" s="13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37"/>
      <c r="F843" s="13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37"/>
      <c r="F844" s="13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37"/>
      <c r="F845" s="13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37"/>
      <c r="F846" s="13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37"/>
      <c r="F847" s="13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37"/>
      <c r="F848" s="13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37"/>
      <c r="F849" s="13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37"/>
      <c r="F850" s="13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37"/>
      <c r="F851" s="13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37"/>
      <c r="F852" s="13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37"/>
      <c r="F853" s="13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37"/>
      <c r="F854" s="13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37"/>
      <c r="F855" s="13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37"/>
      <c r="F856" s="13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37"/>
      <c r="F857" s="13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37"/>
      <c r="F858" s="13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37"/>
      <c r="F859" s="13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37"/>
      <c r="F860" s="13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37"/>
      <c r="F861" s="13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37"/>
      <c r="F862" s="13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37"/>
      <c r="F863" s="13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37"/>
      <c r="F864" s="13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37"/>
      <c r="F865" s="13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37"/>
      <c r="F866" s="13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37"/>
      <c r="F867" s="13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37"/>
      <c r="F868" s="13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37"/>
      <c r="F869" s="13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37"/>
      <c r="F870" s="13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37"/>
      <c r="F871" s="13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37"/>
      <c r="F872" s="13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37"/>
      <c r="F873" s="13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37"/>
      <c r="F874" s="13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37"/>
      <c r="F875" s="13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37"/>
      <c r="F876" s="13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37"/>
      <c r="F877" s="13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37"/>
      <c r="F878" s="13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37"/>
      <c r="F879" s="13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37"/>
      <c r="F880" s="13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37"/>
      <c r="F881" s="13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37"/>
      <c r="F882" s="13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37"/>
      <c r="F883" s="13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37"/>
      <c r="F884" s="13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37"/>
      <c r="F885" s="13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37"/>
      <c r="F886" s="13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37"/>
      <c r="F887" s="13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37"/>
      <c r="F888" s="13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37"/>
      <c r="F889" s="13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37"/>
      <c r="F890" s="13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37"/>
      <c r="F891" s="13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37"/>
      <c r="F892" s="13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37"/>
      <c r="F893" s="13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37"/>
      <c r="F894" s="13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37"/>
      <c r="F895" s="13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37"/>
      <c r="F896" s="13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37"/>
      <c r="F897" s="13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37"/>
      <c r="F898" s="13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37"/>
      <c r="F899" s="13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37"/>
      <c r="F900" s="13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37"/>
      <c r="F901" s="13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37"/>
      <c r="F902" s="13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37"/>
      <c r="F903" s="13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37"/>
      <c r="F904" s="13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37"/>
      <c r="F905" s="13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37"/>
      <c r="F906" s="13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37"/>
      <c r="F907" s="13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37"/>
      <c r="F908" s="13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37"/>
      <c r="F909" s="13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37"/>
      <c r="F910" s="13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37"/>
      <c r="F911" s="13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37"/>
      <c r="F912" s="13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37"/>
      <c r="F913" s="13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37"/>
      <c r="F914" s="13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37"/>
      <c r="F915" s="13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37"/>
      <c r="F916" s="13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37"/>
      <c r="F917" s="13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37"/>
      <c r="F918" s="13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37"/>
      <c r="F919" s="13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37"/>
      <c r="F920" s="13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37"/>
      <c r="F921" s="13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37"/>
      <c r="F922" s="13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37"/>
      <c r="F923" s="13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37"/>
      <c r="F924" s="13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37"/>
      <c r="F925" s="13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37"/>
      <c r="F926" s="13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37"/>
      <c r="F927" s="13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37"/>
      <c r="F928" s="13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37"/>
      <c r="F929" s="13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37"/>
      <c r="F930" s="13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37"/>
      <c r="F931" s="13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37"/>
      <c r="F932" s="13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37"/>
      <c r="F933" s="13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37"/>
      <c r="F934" s="13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37"/>
      <c r="F935" s="13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37"/>
      <c r="F936" s="13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37"/>
      <c r="F937" s="13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37"/>
      <c r="F938" s="13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37"/>
      <c r="F939" s="13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37"/>
      <c r="F940" s="13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37"/>
      <c r="F941" s="13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37"/>
      <c r="F942" s="13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37"/>
      <c r="F943" s="13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37"/>
      <c r="F944" s="13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37"/>
      <c r="F945" s="13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37"/>
      <c r="F946" s="13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37"/>
      <c r="F947" s="13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37"/>
      <c r="F948" s="13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37"/>
      <c r="F949" s="13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37"/>
      <c r="F950" s="13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37"/>
      <c r="F951" s="13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37"/>
      <c r="F952" s="13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37"/>
      <c r="F953" s="13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37"/>
      <c r="F954" s="13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37"/>
      <c r="F955" s="13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37"/>
      <c r="F956" s="13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37"/>
      <c r="F957" s="13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37"/>
      <c r="F958" s="13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37"/>
      <c r="F959" s="13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37"/>
      <c r="F960" s="13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37"/>
      <c r="F961" s="13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37"/>
      <c r="F962" s="13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37"/>
      <c r="F963" s="13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37"/>
      <c r="F964" s="13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37"/>
      <c r="F965" s="13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37"/>
      <c r="F966" s="13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37"/>
      <c r="F967" s="13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37"/>
      <c r="F968" s="13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37"/>
      <c r="F969" s="13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37"/>
      <c r="F970" s="13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37"/>
      <c r="F971" s="13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37"/>
      <c r="F972" s="13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37"/>
      <c r="F973" s="13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37"/>
      <c r="F974" s="13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37"/>
      <c r="F975" s="13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37"/>
      <c r="F976" s="13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37"/>
      <c r="F977" s="13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37"/>
      <c r="F978" s="13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37"/>
      <c r="F979" s="13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37"/>
      <c r="F980" s="13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37"/>
      <c r="F981" s="13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37"/>
      <c r="F982" s="13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37"/>
      <c r="F983" s="13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37"/>
      <c r="F984" s="13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37"/>
      <c r="F985" s="13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37"/>
      <c r="F986" s="13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37"/>
      <c r="F987" s="13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37"/>
      <c r="F988" s="13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37"/>
      <c r="F989" s="13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37"/>
      <c r="F990" s="13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37"/>
      <c r="F991" s="13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37"/>
      <c r="F992" s="13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37"/>
      <c r="F993" s="13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37"/>
      <c r="F994" s="13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37"/>
      <c r="F995" s="13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37"/>
      <c r="F996" s="13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37"/>
      <c r="F997" s="13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37"/>
      <c r="F998" s="13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37"/>
      <c r="F999" s="13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37"/>
      <c r="F1000" s="13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37"/>
      <c r="F1001" s="13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>
      <c r="A1002" s="18"/>
      <c r="B1002" s="18"/>
      <c r="C1002" s="18"/>
      <c r="D1002" s="18"/>
      <c r="E1002" s="137"/>
      <c r="F1002" s="13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  <row r="1003">
      <c r="A1003" s="18"/>
      <c r="B1003" s="18"/>
      <c r="C1003" s="18"/>
      <c r="D1003" s="18"/>
      <c r="E1003" s="137"/>
      <c r="F1003" s="13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</row>
  </sheetData>
  <mergeCells count="5">
    <mergeCell ref="A1:B1"/>
    <mergeCell ref="E1:I1"/>
    <mergeCell ref="K1:L1"/>
    <mergeCell ref="M1:N1"/>
    <mergeCell ref="K14:L14"/>
  </mergeCells>
  <dataValidations>
    <dataValidation type="list" allowBlank="1" showErrorMessage="1" sqref="A1">
      <formula1>"Jan,Feb,Mar,Apr,May,Jun,Jul,Aug,Sep,Oct,Nov,Dec"</formula1>
    </dataValidation>
  </dataValidations>
  <drawing r:id="rId1"/>
</worksheet>
</file>